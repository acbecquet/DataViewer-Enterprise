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921" firstSheet="0" activeTab="1" autoFilterDateGrouping="1"/>
  </bookViews>
  <sheets>
    <sheet xmlns:r="http://schemas.openxmlformats.org/officeDocument/2006/relationships" name="Test SOP's" sheetId="1" state="visible" r:id="rId1"/>
    <sheet xmlns:r="http://schemas.openxmlformats.org/officeDocument/2006/relationships" name="Negative Pressure Test" sheetId="2" state="visible" r:id="rId2"/>
    <sheet xmlns:r="http://schemas.openxmlformats.org/officeDocument/2006/relationships" name="Lifetime Test" sheetId="3" state="visible" r:id="rId3"/>
    <sheet xmlns:r="http://schemas.openxmlformats.org/officeDocument/2006/relationships" name="User Test Simulation" sheetId="4" state="visible" r:id="rId4"/>
    <sheet xmlns:r="http://schemas.openxmlformats.org/officeDocument/2006/relationships" name="Long Puff Lifetime Test" sheetId="5" state="visible" r:id="rId5"/>
    <sheet xmlns:r="http://schemas.openxmlformats.org/officeDocument/2006/relationships" name="Rapid Puff Lifetime Test" sheetId="6" state="visible" r:id="rId6"/>
    <sheet xmlns:r="http://schemas.openxmlformats.org/officeDocument/2006/relationships" name="Intense Test" sheetId="7" state="visible" r:id="rId7"/>
    <sheet xmlns:r="http://schemas.openxmlformats.org/officeDocument/2006/relationships" name="Big Headspace Serial Test" sheetId="8" state="visible" r:id="rId8"/>
    <sheet xmlns:r="http://schemas.openxmlformats.org/officeDocument/2006/relationships" name="Temperature Cycling Test #1" sheetId="9" state="visible" r:id="rId9"/>
    <sheet xmlns:r="http://schemas.openxmlformats.org/officeDocument/2006/relationships" name="Temperature Cycling Test #2" sheetId="10" state="visible" r:id="rId10"/>
    <sheet xmlns:r="http://schemas.openxmlformats.org/officeDocument/2006/relationships" name="Viscosity Compatibility" sheetId="11" state="visible" r:id="rId11"/>
    <sheet xmlns:r="http://schemas.openxmlformats.org/officeDocument/2006/relationships" name="Various Oil Compatibility" sheetId="12" state="visible" r:id="rId12"/>
  </sheets>
  <definedNames/>
  <calcPr calcId="191029" fullCalcOnLoad="1"/>
</workbook>
</file>

<file path=xl/styles.xml><?xml version="1.0" encoding="utf-8"?>
<styleSheet xmlns="http://schemas.openxmlformats.org/spreadsheetml/2006/main">
  <numFmts count="0"/>
  <fonts count="8">
    <font>
      <name val="Aptos Narrow"/>
      <family val="2"/>
      <color theme="1"/>
      <sz val="11"/>
      <scheme val="minor"/>
    </font>
    <font>
      <name val="Aptos Narrow"/>
      <family val="2"/>
      <color theme="1"/>
      <sz val="11"/>
      <scheme val="minor"/>
    </font>
    <font>
      <name val="Aptos Narrow"/>
      <family val="2"/>
      <color rgb="FF006100"/>
      <sz val="11"/>
      <scheme val="minor"/>
    </font>
    <font>
      <name val="Aptos Narrow"/>
      <family val="2"/>
      <color rgb="FF9C0006"/>
      <sz val="11"/>
      <scheme val="minor"/>
    </font>
    <font>
      <name val="Aptos Narrow"/>
      <family val="2"/>
      <b val="1"/>
      <color theme="1"/>
      <sz val="11"/>
      <u val="single"/>
      <scheme val="minor"/>
    </font>
    <font>
      <name val="Consolas"/>
      <family val="3"/>
      <color rgb="FF242424"/>
      <sz val="11"/>
    </font>
    <font>
      <name val="Calibri"/>
      <family val="2"/>
      <sz val="12"/>
    </font>
    <font>
      <name val="Aptos Narrow"/>
      <family val="2"/>
      <color theme="1"/>
      <sz val="11"/>
    </font>
  </fonts>
  <fills count="6">
    <fill>
      <patternFill/>
    </fill>
    <fill>
      <patternFill patternType="gray125"/>
    </fill>
    <fill>
      <patternFill patternType="solid">
        <fgColor rgb="FFC6EFCE"/>
      </patternFill>
    </fill>
    <fill>
      <patternFill patternType="solid">
        <fgColor rgb="FFFFC7CE"/>
      </patternFill>
    </fill>
    <fill>
      <patternFill patternType="solid">
        <fgColor theme="0"/>
        <bgColor indexed="64"/>
      </patternFill>
    </fill>
    <fill>
      <patternFill patternType="solid">
        <fgColor them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1" fillId="0" borderId="0"/>
    <xf numFmtId="0" fontId="2" fillId="2" borderId="0"/>
    <xf numFmtId="0" fontId="3" fillId="3" borderId="0"/>
    <xf numFmtId="0" fontId="1" fillId="0" borderId="0" applyAlignment="1">
      <alignment vertical="center"/>
    </xf>
    <xf numFmtId="0" fontId="1" fillId="0" borderId="0"/>
  </cellStyleXfs>
  <cellXfs count="32">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4" fillId="0" borderId="0" applyAlignment="1" pivotButton="0" quotePrefix="0" xfId="0">
      <alignment horizontal="left" vertical="center" wrapText="1"/>
    </xf>
    <xf numFmtId="0" fontId="0" fillId="5" borderId="0" applyAlignment="1" pivotButton="0" quotePrefix="0" xfId="0">
      <alignment horizontal="left" vertical="center" wrapText="1"/>
    </xf>
    <xf numFmtId="0" fontId="0" fillId="5" borderId="0" applyAlignment="1" pivotButton="0" quotePrefix="0" xfId="0">
      <alignment horizontal="left" vertical="center"/>
    </xf>
    <xf numFmtId="0" fontId="0" fillId="5" borderId="3" applyAlignment="1" pivotButton="0" quotePrefix="0" xfId="0">
      <alignment horizontal="left" vertical="center" wrapText="1"/>
    </xf>
    <xf numFmtId="0" fontId="0" fillId="0" borderId="3" applyAlignment="1" pivotButton="0" quotePrefix="0" xfId="0">
      <alignment horizontal="left" vertical="center"/>
    </xf>
    <xf numFmtId="0" fontId="5" fillId="0" borderId="3" applyAlignment="1" pivotButton="0" quotePrefix="0" xfId="0">
      <alignment horizontal="left" vertical="center"/>
    </xf>
    <xf numFmtId="0" fontId="0" fillId="0" borderId="0" applyAlignment="1" pivotButton="0" quotePrefix="1" xfId="0">
      <alignment horizontal="left" vertical="center"/>
    </xf>
    <xf numFmtId="0" fontId="4" fillId="5" borderId="1" applyAlignment="1" pivotButton="0" quotePrefix="0" xfId="0">
      <alignment horizontal="left" vertical="center"/>
    </xf>
    <xf numFmtId="0" fontId="0" fillId="4" borderId="1" applyAlignment="1" pivotButton="0" quotePrefix="0" xfId="2">
      <alignment horizontal="left" vertical="center"/>
    </xf>
    <xf numFmtId="0" fontId="0" fillId="0" borderId="1" applyAlignment="1" pivotButton="0" quotePrefix="0" xfId="0">
      <alignment horizontal="left" vertical="center"/>
    </xf>
    <xf numFmtId="0" fontId="1" fillId="3" borderId="1" applyAlignment="1" pivotButton="0" quotePrefix="0" xfId="2">
      <alignment horizontal="left" vertical="center"/>
    </xf>
    <xf numFmtId="0" fontId="2" fillId="0" borderId="1" applyAlignment="1" pivotButton="0" quotePrefix="0" xfId="1">
      <alignment horizontal="left" vertical="center"/>
    </xf>
    <xf numFmtId="0" fontId="0" fillId="0" borderId="2" applyAlignment="1" pivotButton="0" quotePrefix="0" xfId="0">
      <alignment horizontal="left" vertical="center" wrapText="1"/>
    </xf>
    <xf numFmtId="0" fontId="0" fillId="0" borderId="1" applyAlignment="1" pivotButton="0" quotePrefix="0" xfId="0">
      <alignment horizontal="left" vertical="center" wrapText="1"/>
    </xf>
    <xf numFmtId="0" fontId="2" fillId="2" borderId="1" applyAlignment="1" pivotButton="0" quotePrefix="0" xfId="1">
      <alignment horizontal="left" vertical="center"/>
    </xf>
    <xf numFmtId="0" fontId="0" fillId="0" borderId="1" applyAlignment="1" pivotButton="0" quotePrefix="0" xfId="0">
      <alignment vertical="center" wrapText="1"/>
    </xf>
    <xf numFmtId="0" fontId="6" fillId="0" borderId="1" applyAlignment="1" pivotButton="0" quotePrefix="0" xfId="3">
      <alignment horizontal="left" vertical="center" wrapText="1"/>
    </xf>
    <xf numFmtId="0" fontId="0" fillId="0" borderId="3" applyAlignment="1" pivotButton="0" quotePrefix="0" xfId="0">
      <alignment horizontal="left" vertical="center" wrapText="1"/>
    </xf>
    <xf numFmtId="0" fontId="5" fillId="0" borderId="0" applyAlignment="1" pivotButton="0" quotePrefix="0" xfId="0">
      <alignment horizontal="left" vertical="center" wrapText="1"/>
    </xf>
    <xf numFmtId="0" fontId="5"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5"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0"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5" fillId="0" borderId="10" applyAlignment="1" pivotButton="0" quotePrefix="0" xfId="0">
      <alignment horizontal="left" vertical="center" wrapText="1"/>
    </xf>
    <xf numFmtId="0" fontId="0" fillId="0" borderId="0" applyAlignment="1" pivotButton="0" quotePrefix="1" xfId="0">
      <alignment horizontal="left" vertical="center" wrapText="1"/>
    </xf>
  </cellXfs>
  <cellStyles count="5">
    <cellStyle name="Normal" xfId="0" builtinId="0"/>
    <cellStyle name="Good" xfId="1" builtinId="26"/>
    <cellStyle name="Bad" xfId="2" builtinId="27"/>
    <cellStyle name="常规 3 4" xfId="3"/>
    <cellStyle name="Normal 2" xfId="4"/>
  </cellStyles>
  <dxfs count="21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FFD1D1"/>
        </patternFill>
      </fill>
    </dxf>
    <dxf>
      <fill>
        <patternFill>
          <bgColor rgb="FFFFFFCC"/>
        </patternFill>
      </fill>
    </dxf>
    <dxf>
      <fill>
        <patternFill>
          <bgColor theme="9" tint="0.7999816888943144"/>
        </patternFill>
      </fill>
    </dxf>
    <dxf>
      <fill>
        <patternFill>
          <bgColor auto="1"/>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ill>
        <patternFill>
          <bgColor auto="1"/>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ill>
        <patternFill>
          <bgColor auto="1"/>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ill>
        <patternFill>
          <bgColor auto="1"/>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ont>
        <color theme="0"/>
      </font>
    </dxf>
    <dxf>
      <fill>
        <patternFill>
          <bgColor rgb="FFFFD1D1"/>
        </patternFill>
      </fill>
    </dxf>
    <dxf>
      <fill>
        <patternFill>
          <bgColor rgb="FFFFFFCC"/>
        </patternFill>
      </fill>
    </dxf>
    <dxf>
      <fill>
        <patternFill>
          <bgColor theme="9" tint="0.7999816888943144"/>
        </patternFill>
      </fill>
    </dxf>
    <dxf>
      <fill>
        <patternFill>
          <bgColor auto="1"/>
        </patternFill>
      </fill>
    </dxf>
    <dxf>
      <font>
        <color theme="0"/>
      </font>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ont>
        <color theme="0"/>
      </font>
    </dxf>
    <dxf>
      <fill>
        <patternFill>
          <bgColor rgb="FFFFD1D1"/>
        </patternFill>
      </fill>
    </dxf>
    <dxf>
      <fill>
        <patternFill>
          <bgColor rgb="FFFFFFCC"/>
        </patternFill>
      </fill>
    </dxf>
    <dxf>
      <fill>
        <patternFill>
          <bgColor theme="9" tint="0.7999816888943144"/>
        </patternFill>
      </fill>
    </dxf>
    <dxf>
      <fill>
        <patternFill>
          <bgColor auto="1"/>
        </patternFill>
      </fill>
    </dxf>
    <dxf>
      <font>
        <color theme="0"/>
      </font>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EFA9A9"/>
        </patternFill>
      </fill>
    </dxf>
    <dxf>
      <fill>
        <patternFill>
          <bgColor rgb="FF99FF99"/>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
      <fill>
        <patternFill>
          <bgColor rgb="FFFFD1D1"/>
        </patternFill>
      </fill>
    </dxf>
    <dxf>
      <fill>
        <patternFill>
          <bgColor rgb="FFFFFFCC"/>
        </patternFill>
      </fill>
    </dxf>
    <dxf>
      <fill>
        <patternFill>
          <bgColor theme="9" tint="0.7999816888943144"/>
        </patternFill>
      </fill>
    </dxf>
    <dxf>
      <fill>
        <patternFill>
          <bgColor auto="1"/>
        </patternFill>
      </fill>
    </dxf>
    <dxf>
      <font>
        <color theme="0"/>
      </font>
    </dxf>
    <dxf>
      <font>
        <color theme="0"/>
      </font>
    </dxf>
    <dxf>
      <fill>
        <patternFill>
          <bgColor rgb="FFFFD1D1"/>
        </patternFill>
      </fill>
    </dxf>
    <dxf>
      <fill>
        <patternFill>
          <bgColor rgb="FFFFFFCC"/>
        </patternFill>
      </fill>
    </dxf>
    <dxf>
      <fill>
        <patternFill>
          <bgColor theme="9" tint="0.7999816888943144"/>
        </patternFill>
      </fill>
    </dxf>
    <dxf>
      <font>
        <color theme="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2" sqref="A2"/>
    </sheetView>
  </sheetViews>
  <sheetFormatPr baseColWidth="8" defaultRowHeight="15"/>
  <cols>
    <col width="33.42578125" bestFit="1" customWidth="1" style="18" min="1" max="1"/>
    <col width="76.7109375" customWidth="1" style="18" min="2" max="3"/>
    <col width="35.7109375" bestFit="1" customWidth="1" style="18" min="4" max="4"/>
    <col width="31.7109375" bestFit="1" customWidth="1" style="18" min="5" max="5"/>
    <col width="13.140625" customWidth="1" style="18" min="6" max="6"/>
    <col width="23.85546875" bestFit="1" customWidth="1" style="18" min="7" max="8"/>
    <col width="21.7109375" bestFit="1" customWidth="1" style="18" min="9" max="9"/>
    <col width="9.140625" customWidth="1" style="18" min="10" max="16384"/>
  </cols>
  <sheetData>
    <row r="1">
      <c r="A1" s="18" t="inlineStr">
        <is>
          <t>Test:</t>
        </is>
      </c>
      <c r="B1" s="18" t="inlineStr">
        <is>
          <t>SOP</t>
        </is>
      </c>
      <c r="C1" s="18" t="inlineStr">
        <is>
          <t>Objective</t>
        </is>
      </c>
      <c r="D1" s="18" t="inlineStr">
        <is>
          <t>Pass Criteria</t>
        </is>
      </c>
      <c r="E1" s="18" t="inlineStr">
        <is>
          <t>Equipment</t>
        </is>
      </c>
      <c r="F1" s="18" t="inlineStr">
        <is>
          <t>Quantity</t>
        </is>
      </c>
      <c r="G1" s="18" t="inlineStr">
        <is>
          <t>Estimated Duration (1mL)</t>
        </is>
      </c>
      <c r="H1" s="18" t="inlineStr">
        <is>
          <t>Estimated Duration (2mL)</t>
        </is>
      </c>
      <c r="I1" s="18" t="inlineStr">
        <is>
          <t>Note</t>
        </is>
      </c>
    </row>
    <row r="2" ht="276" customHeight="1">
      <c r="A2" s="18" t="inlineStr">
        <is>
          <t>Negative Pressure Test</t>
        </is>
      </c>
      <c r="B2" s="18" t="inlineStr">
        <is>
          <t>Fill 6 samples and measure the initial device resistance and initial oil mass. Label the samples 'Upright-1, Upright-2, Horizontal-1, Horizontal-2, Upside-Down-1, Upside-Down-2' plus any additional key indicators. Input this information as the sample ID, media details, tester, voltage, and resistance for each sample in the template. Conduct 10 puffs at 60mL/3s/30s to ensure each device is working. For the initial 10 puff session, measure the device before and after each puff and enter into the test template. Collect the draw pressure of each puff. Place the samples in the vacuum chamber: 2 upright, 2 horizontal, and 2 upside down, seal the chamber and run a vacuum pump until the pressure goes down to 60kPa (absolute), or ~0.6ATM (atmospheric pressure is 101 kPa). Leave samples in the chamber for 1 hour, depressurize, and immediately collect 10 more puffs measuring the mass and draw pressure for each puff. Complete 3 rounds of this process for a total of 40 puffs. Check for changes in draw pressure, clogging, burn, and abnormal bubbling. Replace filter pads every 5 puffs. Before testing, confirm that no residue exists in the tubing or syringes inside the puffing machine. If there is residue, replace the tubing and clean the machine. This test can be conducted at various oil levels, which should be noted in the initial oil mass. 
OPTIONAL: If supplies are low, 2 samples can be used in only the upright position.</t>
        </is>
      </c>
      <c r="C2" s="18" t="inlineStr">
        <is>
          <t>Replicate clogging and leaking issues with altitude changes.</t>
        </is>
      </c>
      <c r="D2" s="18" t="inlineStr">
        <is>
          <t>No clog, burn, leaking, or any other device failure.</t>
        </is>
      </c>
      <c r="E2" s="18" t="inlineStr">
        <is>
          <t>Vacuum Chamber, Vacuum Pump, Puffing Machine, Filter Holders, Scale, Battery, Digital Multimeter, USB-C, Manometer (pressure meter)</t>
        </is>
      </c>
      <c r="F2" s="18" t="inlineStr">
        <is>
          <t>6: 2 Upright, 2 Horizontal, 2 Upside Down. 
OPTIONAL: If supplies are low, 2 samples placed upright can be used rather than all three orientations.</t>
        </is>
      </c>
      <c r="G2" s="18" t="n">
        <v>1</v>
      </c>
      <c r="H2" s="18" t="n">
        <v>1</v>
      </c>
      <c r="I2" s="18" t="n"/>
    </row>
    <row r="3" ht="261" customHeight="1">
      <c r="A3" s="18" t="inlineStr">
        <is>
          <t>Lifetime Test</t>
        </is>
      </c>
      <c r="B3" s="18" t="inlineStr">
        <is>
          <t>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Measure device mass before and after puffing and enter into the TPM template. If using impingers, wrap in parafilm to ensure a good seal. Ensure that the proper silicone connector is used and parafilm is wrapped over the sample. Measure initial device resistance and filled oil mass. Input media details such as viscosity and media type.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is>
      </c>
      <c r="C3" s="18" t="inlineStr">
        <is>
          <t>Characterize performance of the device over the full device lifetime. Identify any failures such as clog, burn, leaking, or faulty device.</t>
        </is>
      </c>
      <c r="D3" s="18" t="inlineStr">
        <is>
          <t>No clog, burn, leaking, or other device failure. Usage efficiency &gt;70%</t>
        </is>
      </c>
      <c r="E3" s="18" t="inlineStr">
        <is>
          <t>Puffing Machine, Impingers, Filter Holders, Scale, Battery, Digital Multimeter, USB-C Charger</t>
        </is>
      </c>
      <c r="F3" s="18" t="n">
        <v>2</v>
      </c>
      <c r="G3" s="18" t="inlineStr">
        <is>
          <t>1 Day</t>
        </is>
      </c>
      <c r="H3" s="18" t="inlineStr">
        <is>
          <t>2 Days</t>
        </is>
      </c>
    </row>
    <row r="4" ht="267.75" customHeight="1">
      <c r="A4" s="18" t="inlineStr">
        <is>
          <t>Viscosity Compatibility Test</t>
        </is>
      </c>
      <c r="B4" s="19" t="inlineStr">
        <is>
          <t>Conduct Lifetime Testing with 20kcp, 200kcp, 2Mcp, and 4Mcp D8. 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is>
      </c>
      <c r="C4" s="19" t="inlineStr">
        <is>
          <t>Confirm device compatibility with a wide range of viscosities from 20kcp up to 4Mcp. This covers the broad spectrum of cannabis media in the US. Note: For the European market, separate low-viscosity testing should be conducted down to 1kcp.</t>
        </is>
      </c>
      <c r="D4" s="18" t="inlineStr">
        <is>
          <t>No clog, burn, leaking, or other device failure. Usage efficiency &gt;70% for 20kcp and 200kcp, &gt;60% for 2Mcp and 4Mcp.</t>
        </is>
      </c>
      <c r="E4" s="18" t="inlineStr">
        <is>
          <t>Puffing Machine, Scale, Battery, Digital Multimeter, USB-C Charger</t>
        </is>
      </c>
      <c r="F4" s="18" t="inlineStr">
        <is>
          <t>8 (2 for each viscosity)</t>
        </is>
      </c>
      <c r="G4" s="18" t="inlineStr">
        <is>
          <t>1 Day</t>
        </is>
      </c>
      <c r="H4" s="18" t="inlineStr">
        <is>
          <t>2 Days</t>
        </is>
      </c>
    </row>
    <row r="5" ht="267.75" customHeight="1">
      <c r="A5" s="18" t="inlineStr">
        <is>
          <t>Media Compatibility Test</t>
        </is>
      </c>
      <c r="B5" s="19" t="inlineStr">
        <is>
          <t>Conduct Regular Lifetime Testing with low Quality Live Resin and Live Rosin. 60mL/3s puff, 30s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Sessions can vary between 10 and 50 puffs depending on TPM and time restraints. Remove impingers, measure draw resistance and check for burn for the first five sessions. After 5 sessions, reintroduce the impingers and continue testing, measuring only TPM. Ensure that filter pads are replaced every 50 puffs with impingers. Every 10 puffs, allow samples to cool for 3 minutes. Charge batteries every 100 puffs for single coil, every 50 puffs for dual coil. Collect notes and photos on any observations during testing including abnormal bubbling, machine issues, and low battery. Non-device issues (puffing machine issues, low battery) will be eliminated during final presentation.</t>
        </is>
      </c>
      <c r="C5" s="19" t="inlineStr">
        <is>
          <t>Confirm device compatibility with Live Resin and Live Rosin. Resin and Rosin tend to have worse performance in lifetime testing in particular, as impurities clog up the pores in the heating element causing a decay in TPM. Mitigating this decay in TPM is critical to a positive user experience with Resin and Rosin.</t>
        </is>
      </c>
      <c r="D5" s="18" t="inlineStr">
        <is>
          <t>No clog, burn, leaking, or other device failure. Usage efficiency &gt;50%. TPM decay does not fall below 1mg/puff.</t>
        </is>
      </c>
      <c r="E5" s="18" t="inlineStr">
        <is>
          <t>Puffing Machine, Scale, Battery, Digital Multimeter, USB-C Charger</t>
        </is>
      </c>
      <c r="F5" s="18" t="inlineStr">
        <is>
          <t>4 (2 for each media type)</t>
        </is>
      </c>
      <c r="G5" s="18" t="inlineStr">
        <is>
          <t>1 Day</t>
        </is>
      </c>
      <c r="H5" s="18" t="inlineStr">
        <is>
          <t>2 Days*</t>
        </is>
      </c>
      <c r="I5" s="18" t="inlineStr">
        <is>
          <t>*NOTE: Resin/Rosin TPM drop-off can lead to longer test times for 2mL devices.</t>
        </is>
      </c>
    </row>
    <row r="6" ht="240" customHeight="1">
      <c r="A6" s="18" t="inlineStr">
        <is>
          <t>User Simulation Test</t>
        </is>
      </c>
      <c r="B6" s="18" t="inlineStr">
        <is>
          <t>User Simulation test is subject to change. Current SOP: 100mL/2.5s puff, 15s rest between puffs. Use the digital flow meter to calibrate the puffing machine prior to testing; it should read 40mL/s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10 puffs per session, 2 minute rest between sessions. Continue this testing until the device reaches 25% use, and then place the samples in the oven at 35C for 30 minutes, placed at a 45 degree angle with air inlet down. Remove from the oven and place in the tester's pocket for an additional 30 minutes. Repeat this cycle until the device is empty or a clog forms. Charge batteries every 100 puffs for single coil, every 50 puffs for dual coil. Collect notes and photos on any observations during teseting including abnormal bubbling, machine issues, and low battery. Non-device issues (puffing machine issues, low battery) will be eliminated during final presentation.</t>
        </is>
      </c>
      <c r="C6" s="18" t="inlineStr">
        <is>
          <t>Accurately reflect user test puffing habits, from puff length, interval, draw pressure, and environmental conditions. Validation for this test will be dependent on real user testing results.</t>
        </is>
      </c>
      <c r="D6" s="18" t="inlineStr">
        <is>
          <t>Failure rate matches user test results. Ideally  no clog, burn, leaking, or other device failure; if these failures are observed during user testing, however, it should be reflected in the user test simulation.</t>
        </is>
      </c>
      <c r="E6" s="18" t="inlineStr">
        <is>
          <t>Puffing Machine, Impingers, Filter Holders, Scale, Battery, Digital Multimeter, USB-C Charger, Oven, plastic bags, tester's pocket</t>
        </is>
      </c>
      <c r="F6" s="18" t="n">
        <v>2</v>
      </c>
      <c r="G6" s="18" t="inlineStr">
        <is>
          <t>3 Days</t>
        </is>
      </c>
      <c r="H6" s="18" t="inlineStr">
        <is>
          <t>3 Days</t>
        </is>
      </c>
      <c r="I6" s="18" t="inlineStr">
        <is>
          <t>*Insufficient data for this test, duration subject to change along with SOP.</t>
        </is>
      </c>
    </row>
    <row r="7" ht="240" customHeight="1">
      <c r="A7" s="18" t="inlineStr">
        <is>
          <t>Accelerated User Simulation Test</t>
        </is>
      </c>
      <c r="B7" s="18" t="inlineStr">
        <is>
          <t>User Simulation test is subject to change. Current SOP: 100mL/2.5s puff, 15s rest between puffs. Use the digital flow meter to calibrate the puffing machine prior to testing; it should read 40mL/s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10 puffs per session, 2 minute rest between sessions. Continue this testing until the device reaches 50% use, and then place the samples in the oven at 35C for 30 minutes, placed at a 45 degree angle with air inlet down. Remove from the oven and place in the tester's pocket for an additional 30 minutes. Repeat this cycle until the device is empty or a clog forms. Charge batteries every 100 puffs for single coil, every 50 puffs for dual coil. Collect notes and photos on any observations during teseting including abnormal bubbling, machine issues, and low battery. Non-device issues (puffing machine issues, low battery) will be eliminated during final presentation.</t>
        </is>
      </c>
      <c r="C7" s="18" t="inlineStr">
        <is>
          <t>Accurately reflect user test puffing habits, from puff length, interval, draw pressure, and environmental conditions. Validation for this test will be dependent on real user testing results.</t>
        </is>
      </c>
      <c r="D7" s="18" t="inlineStr">
        <is>
          <t>Failure rate matches user test results. Ideally  no clog, burn, leaking, or other device failure; if these failures are observed during user testing, however, it should be reflected in the user test simulation.</t>
        </is>
      </c>
      <c r="E7" s="18" t="inlineStr">
        <is>
          <t>Puffing Machine, Impingers, Filter Holders, Scale, Battery, Digital Multimeter, USB-C Charger, Oven, plastic bags, tester's pocket</t>
        </is>
      </c>
      <c r="F7" s="18" t="n">
        <v>2</v>
      </c>
      <c r="G7" s="18" t="inlineStr">
        <is>
          <t>1.5 Days</t>
        </is>
      </c>
      <c r="H7" s="18" t="inlineStr">
        <is>
          <t>1.5 Days</t>
        </is>
      </c>
      <c r="I7" s="18" t="inlineStr">
        <is>
          <t>*Insufficient data for this test, duration subject to change along with SOP.</t>
        </is>
      </c>
    </row>
    <row r="8" ht="270" customHeight="1">
      <c r="A8" s="18" t="inlineStr">
        <is>
          <t>Big Headspace Serial Test</t>
        </is>
      </c>
      <c r="B8" s="18" t="inlineStr">
        <is>
          <t>Fill 1/3 of the device with 500kcp D8. Use the digital flow meter to calibrate the puffing machine prior to testing; it should read 20mL/s ± 2 mL/s.Perform regular 60mL/3s puffing until bubbling is observed.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Before starting the test, fill out all headers in the 'Big Headspace Serial Test' data collection template. Round 1: Place samples upright in the oven at 40C for 1 hour. Upon removal, check for initial clogging. If there is no clog, conduct regular puffing for 10 puffs, measuring TPM and draw pressure for each puff. Round 2: Place samples horizontal in the oven at 40C for 1 hour, and repeat the test process. Round 3: Place samples at the most unfavorable position (typically 45 degree angle with the air inlet at the lowest position) in the oven at 40C for 1 hour, repeating the same test process after. Note any high draw pressure, low TPM, activation issues, or other abnormalities. Other signs of clogging will be a 'popping' sound or only partial activation. NOTE: For non-CCELL3.0 devices, all three rounds of testing can be conducted in the upright position.</t>
        </is>
      </c>
      <c r="C8" s="18" t="inlineStr">
        <is>
          <t>Simulate clogging effects observed typically at the end of a device's lifetime due to pressure buildup in the oil tank. Leaking is accelerated in this situation</t>
        </is>
      </c>
      <c r="D8" s="18" t="inlineStr">
        <is>
          <t>No heavy clog, leak, or other device failure. Light clogs that pull through are to be noted but will not necessarily indicate a failure.</t>
        </is>
      </c>
      <c r="E8" s="18" t="inlineStr">
        <is>
          <t>Puffing Machine, Impingers, Filter Holders, Scale, Battery, Digital Multimeter, USB-C Charger, Oven</t>
        </is>
      </c>
      <c r="F8" s="18" t="n">
        <v>2</v>
      </c>
      <c r="G8" s="18" t="inlineStr">
        <is>
          <t>0.5 Days</t>
        </is>
      </c>
      <c r="H8" s="18" t="inlineStr">
        <is>
          <t>0.5 Days</t>
        </is>
      </c>
    </row>
    <row r="9" ht="225" customHeight="1">
      <c r="A9" s="18" t="inlineStr">
        <is>
          <t>Temperature Cycling Test</t>
        </is>
      </c>
      <c r="B9" s="18" t="inlineStr">
        <is>
          <t>Fill the device with 500kcp D8. Charge the samples and ensure that each sample activates. Before starting the test, fill out all headers in the 'Temperature Cycling Test' data collection template. Place two samples flat, two samples upright, and two samples upside-down in a sealed transport state. First, place samples at 60C for 30 minutes, then transfer to -20C for 30 minutes. Repeat this process for a total of 6 cycles, keeping the transition time below 3 minutes. After 6 cycles, store the samples at room temperature for 2 hours. Conduct 60mL/3s puffs with a 30s rest, 5 puffs per session for a total of 5 sessions. Use the digital flow meter to calibrate the puffing machine prior to testing; it should read 20mL/s ± 2 mL/s. If using impingers, wrap in parafilm to ensure a good seal. Before starting the test, charge the samples and ensure that the device activates. Ensure that the proper silicone connector is used and parafilm is wrapped over the sample. Record TPM and draw resistance for each session, and make note of any significant changes from puff to puff. Take notes and photos of any observations during testing. Non-device issues (puffing machine issues, low battery) will be eliminated during final presentation.</t>
        </is>
      </c>
      <c r="C9" s="18" t="inlineStr">
        <is>
          <t>Simulate extreme temperature changes from high temperature to low temperature. Device failures such as leaking, clogging, and battery failure are common with this test.</t>
        </is>
      </c>
      <c r="D9" s="18" t="inlineStr">
        <is>
          <t>No heavy clog, leak, or other device failure. Light clogs that pull through are to be noted but will not necessarily indicate a failure.</t>
        </is>
      </c>
      <c r="E9" s="18" t="inlineStr">
        <is>
          <t>Puffing Machine, Impingers, Filter Holders, Scale, Battery, Digital Multimeter, USB-C Charger, Oven, Sealed Storage Container</t>
        </is>
      </c>
      <c r="F9" s="18" t="n">
        <v>6</v>
      </c>
      <c r="G9" s="18" t="inlineStr">
        <is>
          <t>1 Day</t>
        </is>
      </c>
      <c r="H9" s="18" t="inlineStr">
        <is>
          <t>1 Day</t>
        </is>
      </c>
    </row>
    <row r="10" ht="270" customHeight="1">
      <c r="A10" s="18" t="inlineStr">
        <is>
          <t>Long Puff Lifetime Test</t>
        </is>
      </c>
      <c r="B10" s="18" t="inlineStr">
        <is>
          <t>200mL/10s puff, 60s rest. Use the digital flow meter to calibrate the puffing machine prior to testing; it should read 20mL/s ± 2 mL/s. Before starting the test, charge the samples and ensure that each sample activates. Confirm that no residue exists in the tubing or syringes inside the puffing machine. If there is residue, replace the tubing and clean the machine.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2 and 4 puffs depending on TPM and time restraints. The saturation limit of a filter pad is ~50mg. To prevent TPM inaccuracy, replace filter pads after 40mg of saturation (4 puffs at 10mg/10s puff, 2 puffs at 20mg/10s puff). Check for burn every session. Every session, allow samples to cool for 2 minutes. Charge batteries every 30 puffs for single coil, every 15 puffs for dual coil. Collect notes and photos on any observations during testing including abnormal bubbling, machine issues, and low battery. Non-device issues (puffing machine issues, low battery) will be eliminated during final presentation.</t>
        </is>
      </c>
      <c r="C10" s="18" t="inlineStr">
        <is>
          <t xml:space="preserve">Simulate the leaking and clogging effects observed by heavy users who take long puffs. Long puffs introduce risks for degradation of the heater, increased leaking, and potential clogging. </t>
        </is>
      </c>
      <c r="D10" s="18" t="inlineStr">
        <is>
          <t>No burn, clog, leak, or other device failure.</t>
        </is>
      </c>
      <c r="E10" s="18" t="inlineStr">
        <is>
          <t>Puffing Machine, Scale, Battery, Digital Multimeter, USB-C Charger</t>
        </is>
      </c>
      <c r="F10" s="18" t="n">
        <v>2</v>
      </c>
      <c r="G10" s="18" t="inlineStr">
        <is>
          <t>1 Day</t>
        </is>
      </c>
      <c r="H10" s="18" t="inlineStr">
        <is>
          <t>2 Days</t>
        </is>
      </c>
    </row>
    <row r="11" ht="255" customHeight="1">
      <c r="A11" s="18" t="inlineStr">
        <is>
          <t>Rapid Puff Lifetime Test</t>
        </is>
      </c>
      <c r="B11" s="18" t="inlineStr">
        <is>
          <t>60mL/2s puff, 5s rest. Use the digital flow meter to calibrate the puffing machine prior to testing; it should read 30mL/s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10 and 50 puffs depending on TPM and time restraints. For the first 5 sessions, do not use impingers and smell the filter pad to check for burn. After, add impingers to the puffing machine and complete the test. To prevent TPM inaccuracy, replace filter pads after 40mg of saturation when not using impingers. Every 10 puffs, allow samples to cool for 3 minutes. Charge batteries every 30 puffs for single coil, every 15 puffs for dual coil. Collect notes and photos on any observations during testing including abnormal bubbling, machine issues, and low battery. Non-device issues (puffing machine issues, low battery) will be eliminated during final presentation.</t>
        </is>
      </c>
      <c r="C11" s="18" t="inlineStr">
        <is>
          <t>Simulate the leaking and clogging effects observed by casual users who take short, rapid puffs. Extensive panel testing shows that the average casual user takes multiple 2-2.5s puffs in quick succession. This introduces a risk of leaking and clogging that may not be replicated by regular lifetime testing. TPM is also very different for a 2s puff compared to a 3s puff.</t>
        </is>
      </c>
      <c r="D11" s="18" t="inlineStr">
        <is>
          <t>No burn, clog, leak, or other device failure.</t>
        </is>
      </c>
      <c r="E11" s="18" t="inlineStr">
        <is>
          <t>Puffing Machine, Impingers, Filter Holders, Scale, Battery, Digital Multimeter, USB-C Charger</t>
        </is>
      </c>
      <c r="F11" s="18" t="n">
        <v>2</v>
      </c>
      <c r="G11" s="18" t="inlineStr">
        <is>
          <t>1 Day</t>
        </is>
      </c>
      <c r="H11" s="18" t="inlineStr">
        <is>
          <t>2 Days</t>
        </is>
      </c>
    </row>
    <row r="12" ht="60" customHeight="1">
      <c r="A12" s="18" t="inlineStr">
        <is>
          <t>TPM Consistency Test/Off Odor Test</t>
        </is>
      </c>
      <c r="B12" s="18" t="inlineStr">
        <is>
          <t>Hand samples to the analytical team to conduct whole aerosol and TPM consistency testing with the GCMS. Fill out the analytical test request form, provided in the Synology Drive. Testing is conducted at the beginning and end of a device's lifetime.</t>
        </is>
      </c>
      <c r="C12" s="18" t="inlineStr">
        <is>
          <t>Measure off odor scores in order to quantify off-taste compared to existing products such as the EVOMAX. This allows us to separate off-taste from media with off-taste from device. TPM consistency is used to compare initial vapor production with end vapor production.</t>
        </is>
      </c>
      <c r="D12" s="18" t="inlineStr">
        <is>
          <t>Off-odor score and TPM consistency equal or better than existing market products.</t>
        </is>
      </c>
      <c r="E12" s="18" t="inlineStr">
        <is>
          <t>Puffing Machine, GC-MS, Whole Aerosol Collection Device</t>
        </is>
      </c>
      <c r="F12" s="18" t="n">
        <v>2</v>
      </c>
      <c r="G12" s="18" t="inlineStr">
        <is>
          <t>5 Days</t>
        </is>
      </c>
      <c r="H12" s="18" t="inlineStr">
        <is>
          <t>7 Days</t>
        </is>
      </c>
    </row>
    <row r="13" ht="270" customHeight="1">
      <c r="A13" s="18" t="inlineStr">
        <is>
          <t>Intense Test</t>
        </is>
      </c>
      <c r="B13" s="18" t="inlineStr">
        <is>
          <t>200mL/3s puff, 30s rest. Use the digital flow meter to calibrate the puffing machine prior to testing; it should read 67mL/s ± 2 mL/s. Before starting the test, charge the samples and ensure that each sample activates. Confirm that no residue exists in the tubing or syringes inside the puffing machine. If there is residue, replace the tubing and clean the machine. If using impingers, wrap in parafilm to ensure a good seal. Ensure that the proper silicone connector is used and parafilm is wrapped over the sample. Measure device mass before and after puffing and enter into the TPM template. Measure initial device resistance and filled oil mass. Input media details such as viscosity and media type. Sessions can vary between 10 and 20 puffs depending on TPM and time restraints. When using the 8 channel machine, do not use impingers. Impingers are acceptable for single channel machines. Check for burn and clogging every session. Ensure that filter pads are replaced every session without impingers, and every 50 puffs with impingers. Every 10 puffs, allow samples to cool for 3 minutes. Charge batteries every 100 puffs for single coil, every 50 puffs for dual coil. Collect notes and photos and photos on any observations during testing including abnormal bubbling, machine issues, and low battery. Non-device issues (puffing machine issues, low battery) will be eliminated during final presentation.</t>
        </is>
      </c>
      <c r="C13" s="18" t="inlineStr">
        <is>
          <t>Human draw analysis indicates that the average flow rate for a puff is between 40 and 50 mL/s, with flows reaching as high as 70mL/s. The intense test replicates the high end of this spectrum. This captures failure modes not observed in regular lifetime testing such as shooting oil and oil accumulation in the vapor pathway.</t>
        </is>
      </c>
      <c r="D13" s="18" t="inlineStr">
        <is>
          <t>No burn, clog, leak, or other device failure.</t>
        </is>
      </c>
      <c r="E13" s="18" t="inlineStr">
        <is>
          <t>Puffing Machine, Impingers, Filter Holders, Scale, Battery, Digital Multimeter, USB-C Charger</t>
        </is>
      </c>
      <c r="F13" s="18" t="n">
        <v>2</v>
      </c>
      <c r="G13" s="18" t="inlineStr">
        <is>
          <t>1 Day</t>
        </is>
      </c>
      <c r="H13" s="18" t="inlineStr">
        <is>
          <t>2 Days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T115"/>
  <sheetViews>
    <sheetView tabSelected="1" zoomScaleNormal="100" workbookViewId="0">
      <selection activeCell="A1" sqref="A1"/>
    </sheetView>
  </sheetViews>
  <sheetFormatPr baseColWidth="8" defaultRowHeight="15"/>
  <cols>
    <col width="9.42578125" bestFit="1" customWidth="1" style="27" min="1" max="1"/>
    <col width="12.28515625" bestFit="1" customWidth="1" style="27" min="2" max="2"/>
    <col width="11.140625" bestFit="1" customWidth="1" style="27" min="3" max="3"/>
    <col width="13.85546875" bestFit="1" customWidth="1" style="27" min="4" max="4"/>
    <col width="14" bestFit="1" customWidth="1" style="27" min="5" max="5"/>
    <col width="5.85546875" bestFit="1" customWidth="1" style="27" min="6" max="6"/>
    <col width="11.5703125" bestFit="1" customWidth="1" style="27" min="7" max="7"/>
    <col width="12" bestFit="1" customWidth="1" style="27" min="8" max="8"/>
    <col width="14.42578125" bestFit="1" customWidth="1" style="27" min="9" max="9"/>
    <col width="17.7109375" bestFit="1" customWidth="1" style="27" min="10" max="10"/>
    <col width="11.28515625" bestFit="1" customWidth="1" style="27" min="11" max="11"/>
    <col width="13.7109375" bestFit="1" customWidth="1" style="20" min="12" max="12"/>
    <col width="9.42578125" bestFit="1" customWidth="1" style="27" min="13" max="13"/>
    <col width="12.28515625" bestFit="1" customWidth="1" style="27" min="14" max="14"/>
    <col width="10.7109375" bestFit="1" customWidth="1" style="27" min="15" max="15"/>
    <col width="13.85546875" bestFit="1" customWidth="1" style="27" min="16" max="16"/>
    <col width="14" bestFit="1" customWidth="1" style="27" min="17" max="17"/>
    <col width="5.85546875" bestFit="1" customWidth="1" style="27" min="18" max="18"/>
    <col width="11.5703125" bestFit="1" customWidth="1" style="27" min="19" max="19"/>
    <col width="12" bestFit="1" customWidth="1" style="27" min="20" max="20"/>
    <col width="14.42578125" bestFit="1" customWidth="1" style="27" min="21" max="21"/>
    <col width="17.7109375" bestFit="1" customWidth="1" style="27" min="22" max="22"/>
    <col width="11.28515625" bestFit="1" customWidth="1" style="27" min="23" max="23"/>
    <col width="13.7109375" bestFit="1" customWidth="1" style="20" min="24" max="24"/>
    <col width="9" bestFit="1" customWidth="1" style="27" min="25" max="27"/>
    <col width="8.7109375" bestFit="1" customWidth="1" style="27" min="28" max="28"/>
    <col width="8.5703125" bestFit="1" customWidth="1" style="27" min="29" max="29"/>
    <col width="5.85546875" bestFit="1" customWidth="1" style="27" min="30" max="30"/>
    <col width="9.140625" customWidth="1" style="27" min="31" max="31"/>
    <col width="9" bestFit="1" customWidth="1" style="27" min="32" max="32"/>
    <col width="14.28515625" customWidth="1" style="27" min="33" max="33"/>
    <col width="13" customWidth="1" style="27" min="34" max="34"/>
    <col width="9.140625" customWidth="1" style="27" min="35" max="35"/>
    <col width="15.140625" customWidth="1" style="27" min="36" max="36"/>
    <col width="9" bestFit="1" customWidth="1" style="27" min="37" max="39"/>
    <col width="8.7109375" bestFit="1" customWidth="1" style="27" min="40" max="40"/>
    <col width="8.5703125" bestFit="1" customWidth="1" style="27" min="41" max="41"/>
    <col width="5.85546875" bestFit="1" customWidth="1" style="27" min="42" max="42"/>
    <col width="9.140625" customWidth="1" style="27" min="43" max="43"/>
    <col width="9" bestFit="1" customWidth="1" style="27" min="44" max="44"/>
    <col width="15.42578125" customWidth="1" style="27" min="45" max="45"/>
    <col width="15.28515625" customWidth="1" style="27" min="46" max="46"/>
    <col width="9.140625" customWidth="1" style="27" min="47" max="47"/>
    <col width="14.85546875" customWidth="1" style="27" min="48" max="48"/>
    <col width="9" bestFit="1" customWidth="1" style="27" min="49" max="51"/>
    <col width="8.7109375" bestFit="1" customWidth="1" style="27" min="52" max="52"/>
    <col width="8.5703125" bestFit="1" customWidth="1" style="27" min="53" max="53"/>
    <col width="5.85546875" bestFit="1" customWidth="1" style="27" min="54" max="54"/>
    <col width="9.140625" customWidth="1" style="27" min="55" max="55"/>
    <col width="9" bestFit="1" customWidth="1" style="27" min="56" max="56"/>
    <col width="15.140625" customWidth="1" style="27" min="57" max="57"/>
    <col width="9" bestFit="1" customWidth="1" style="27" min="58" max="58"/>
    <col width="9.140625" customWidth="1" style="27" min="59" max="59"/>
    <col width="12.85546875" customWidth="1" style="27" min="60" max="60"/>
    <col width="9" bestFit="1" customWidth="1" style="27" min="61" max="63"/>
    <col width="8.7109375" bestFit="1" customWidth="1" style="27" min="64" max="64"/>
    <col width="8.5703125" bestFit="1" customWidth="1" style="27" min="65" max="65"/>
    <col width="5.85546875" bestFit="1" customWidth="1" style="27" min="66" max="66"/>
    <col width="9.140625" customWidth="1" style="27" min="67" max="67"/>
    <col width="9" bestFit="1" customWidth="1" style="27" min="68" max="68"/>
    <col width="15.42578125" customWidth="1" style="27" min="69" max="69"/>
    <col width="9" bestFit="1" customWidth="1" style="27" min="70" max="70"/>
    <col width="9.140625" customWidth="1" style="27" min="71" max="16384"/>
  </cols>
  <sheetData>
    <row r="1" ht="60" customHeight="1">
      <c r="A1" s="3" t="inlineStr">
        <is>
          <t>Negative Pressure Test</t>
        </is>
      </c>
      <c r="C1" s="4" t="inlineStr">
        <is>
          <t>Date:</t>
        </is>
      </c>
      <c r="E1" s="4" t="inlineStr">
        <is>
          <t>Sample ID:</t>
        </is>
      </c>
      <c r="G1" s="4" t="inlineStr">
        <is>
          <t>Heating Technology:</t>
        </is>
      </c>
      <c r="H1" s="27" t="inlineStr">
        <is>
          <t>CCELL3.0</t>
        </is>
      </c>
      <c r="J1" s="4" t="inlineStr">
        <is>
          <t>Did this burn?</t>
        </is>
      </c>
      <c r="L1" s="6" t="inlineStr">
        <is>
          <t>Average TPM and Standard deviation</t>
        </is>
      </c>
      <c r="M1" s="3" t="inlineStr">
        <is>
          <t>Negative Pressure Test</t>
        </is>
      </c>
      <c r="O1" s="4" t="inlineStr">
        <is>
          <t>Date:</t>
        </is>
      </c>
      <c r="Q1" s="4" t="inlineStr">
        <is>
          <t>Sample ID:</t>
        </is>
      </c>
      <c r="S1" s="4" t="inlineStr">
        <is>
          <t>Heating Technology:</t>
        </is>
      </c>
      <c r="T1" s="27" t="inlineStr">
        <is>
          <t>CCELL3.0</t>
        </is>
      </c>
      <c r="V1" s="4" t="inlineStr">
        <is>
          <t>Did this burn?</t>
        </is>
      </c>
      <c r="X1" s="6" t="inlineStr">
        <is>
          <t>Average TPM and Standard deviation</t>
        </is>
      </c>
      <c r="Y1" s="3" t="inlineStr">
        <is>
          <t>Negative Pressure Test</t>
        </is>
      </c>
      <c r="AA1" s="4" t="inlineStr">
        <is>
          <t>Date:</t>
        </is>
      </c>
      <c r="AC1" s="4" t="inlineStr">
        <is>
          <t>Sample ID:</t>
        </is>
      </c>
      <c r="AE1" s="4" t="inlineStr">
        <is>
          <t>Heating Technology:</t>
        </is>
      </c>
      <c r="AF1" s="27" t="inlineStr">
        <is>
          <t>CCELL3.0</t>
        </is>
      </c>
      <c r="AH1" s="4" t="inlineStr">
        <is>
          <t>Did this burn?</t>
        </is>
      </c>
      <c r="AJ1" s="6" t="inlineStr">
        <is>
          <t>Average TPM and Standard deviation</t>
        </is>
      </c>
      <c r="AK1" s="3" t="inlineStr">
        <is>
          <t>Negative Pressure Test</t>
        </is>
      </c>
      <c r="AM1" s="4" t="inlineStr">
        <is>
          <t>Date:</t>
        </is>
      </c>
      <c r="AO1" s="4" t="inlineStr">
        <is>
          <t>Sample ID:</t>
        </is>
      </c>
      <c r="AQ1" s="4" t="inlineStr">
        <is>
          <t>Heating Technology:</t>
        </is>
      </c>
      <c r="AR1" s="27" t="inlineStr">
        <is>
          <t>CCELL3.0</t>
        </is>
      </c>
      <c r="AT1" s="4" t="inlineStr">
        <is>
          <t>Did this burn?</t>
        </is>
      </c>
      <c r="AV1" s="6" t="inlineStr">
        <is>
          <t>Average TPM and Standard deviation</t>
        </is>
      </c>
      <c r="AW1" s="3" t="inlineStr">
        <is>
          <t>Negative Pressure Test</t>
        </is>
      </c>
      <c r="AY1" s="4" t="inlineStr">
        <is>
          <t>Date:</t>
        </is>
      </c>
      <c r="BA1" s="4" t="inlineStr">
        <is>
          <t>Sample ID:</t>
        </is>
      </c>
      <c r="BC1" s="4" t="inlineStr">
        <is>
          <t>Heating Technology:</t>
        </is>
      </c>
      <c r="BD1" s="27" t="inlineStr">
        <is>
          <t>CCELL3.0</t>
        </is>
      </c>
      <c r="BF1" s="4" t="inlineStr">
        <is>
          <t>Did this burn?</t>
        </is>
      </c>
      <c r="BH1" s="6" t="inlineStr">
        <is>
          <t>Average TPM and Standard deviation</t>
        </is>
      </c>
      <c r="BI1" s="3" t="inlineStr">
        <is>
          <t>Negative Pressure Test</t>
        </is>
      </c>
      <c r="BK1" s="4" t="inlineStr">
        <is>
          <t>Date:</t>
        </is>
      </c>
      <c r="BM1" s="4" t="inlineStr">
        <is>
          <t>Sample ID:</t>
        </is>
      </c>
      <c r="BO1" s="4" t="inlineStr">
        <is>
          <t>Heating Technology:</t>
        </is>
      </c>
      <c r="BP1" s="27" t="inlineStr">
        <is>
          <t>CCELL3.0</t>
        </is>
      </c>
      <c r="BR1" s="4" t="inlineStr">
        <is>
          <t>Did this burn?</t>
        </is>
      </c>
      <c r="BT1" s="6" t="inlineStr">
        <is>
          <t>Average TPM and Standard deviation</t>
        </is>
      </c>
    </row>
    <row r="2" ht="45" customHeight="1">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60mL/3s/30s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60mL/3s/30s</t>
        </is>
      </c>
      <c r="U2" s="4" t="inlineStr">
        <is>
          <t>Usage Efficiency
                  ↓</t>
        </is>
      </c>
      <c r="V2" s="4" t="inlineStr">
        <is>
          <t>Did this clog?</t>
        </is>
      </c>
      <c r="X2" s="20">
        <f>IF(U5="","",AVERAGEIFS(U5:U115,U5:U115,"&lt;&gt;0",U5:U115,"&lt;&gt;"))</f>
        <v/>
      </c>
      <c r="Y2" s="4" t="inlineStr">
        <is>
          <t>Media:</t>
        </is>
      </c>
      <c r="AA2" s="4" t="inlineStr">
        <is>
          <t>Resistance (Ω):</t>
        </is>
      </c>
      <c r="AC2" s="4" t="inlineStr">
        <is>
          <t>Power:</t>
        </is>
      </c>
      <c r="AD2" s="27">
        <f t="array" ref="AD2">IFERROR(_xlfn.SWITCH(AF1,
"CCELL3.0",AD3^2/(AB2+0.78),
"EVOMAX",AD3^2/(AB2),
"EVO",AD3^2/(AB2),
"SE",AD3^2/AB2,
"T51",AD3^2/(0.25+AB2),
"Competitor",AD3^2/AB2,
AD3^2/AB2), "")</f>
        <v/>
      </c>
      <c r="AE2" s="4" t="inlineStr">
        <is>
          <t>Puffing Regime:</t>
        </is>
      </c>
      <c r="AF2" s="27" t="inlineStr">
        <is>
          <t>60mL/3s/30s</t>
        </is>
      </c>
      <c r="AG2" s="4" t="inlineStr">
        <is>
          <t>Usage Efficiency
                  ↓</t>
        </is>
      </c>
      <c r="AH2" s="4" t="inlineStr">
        <is>
          <t>Did this clog?</t>
        </is>
      </c>
      <c r="AJ2" s="20">
        <f>IF(AG5="","",AVERAGEIFS(AG5:AG115,AG5:AG115,"&lt;&gt;0",AG5:AG115,"&lt;&gt;"))</f>
        <v/>
      </c>
      <c r="AK2" s="4" t="inlineStr">
        <is>
          <t>Media:</t>
        </is>
      </c>
      <c r="AM2" s="4" t="inlineStr">
        <is>
          <t>Resistance (Ω):</t>
        </is>
      </c>
      <c r="AO2" s="4" t="inlineStr">
        <is>
          <t>Power:</t>
        </is>
      </c>
      <c r="AP2" s="27">
        <f t="array" ref="AP2">IFERROR(_xlfn.SWITCH(AR1,
"CCELL3.0",AP3^2/(AN2+0.78),
"EVOMAX",AP3^2/(AN2),
"EVO",AP3^2/(AN2),
"SE",AP3^2/AN2,
"T51",AP3^2/(0.25+AN2),
"Competitor",AP3^2/AN2,
AP3^2/AN2), "")</f>
        <v/>
      </c>
      <c r="AQ2" s="4" t="inlineStr">
        <is>
          <t>Puffing Regime:</t>
        </is>
      </c>
      <c r="AR2" s="27" t="inlineStr">
        <is>
          <t>60mL/3s/30s</t>
        </is>
      </c>
      <c r="AS2" s="4" t="inlineStr">
        <is>
          <t>Usage Efficiency
                  ↓</t>
        </is>
      </c>
      <c r="AT2" s="4" t="inlineStr">
        <is>
          <t>Did this clog?</t>
        </is>
      </c>
      <c r="AV2" s="20">
        <f>IF(AS5="","",AVERAGEIFS(AS5:AS115,AS5:AS115,"&lt;&gt;0",AS5:AS115,"&lt;&gt;"))</f>
        <v/>
      </c>
      <c r="AW2" s="4" t="inlineStr">
        <is>
          <t>Media:</t>
        </is>
      </c>
      <c r="AY2" s="4" t="inlineStr">
        <is>
          <t>Resistance (Ω):</t>
        </is>
      </c>
      <c r="BA2" s="4" t="inlineStr">
        <is>
          <t>Power:</t>
        </is>
      </c>
      <c r="BB2" s="27">
        <f t="array" ref="BB2">IFERROR(_xlfn.SWITCH(BD1,
"CCELL3.0",BB3^2/(AZ2+0.78),
"EVOMAX",BB3^2/(AZ2),
"EVO",BB3^2/(AZ2),
"SE",BB3^2/AZ2,
"T51",BB3^2/(0.25+AZ2),
"Competitor",BB3^2/AZ2,
BB3^2/AZ2), "")</f>
        <v/>
      </c>
      <c r="BC2" s="4" t="inlineStr">
        <is>
          <t>Puffing Regime:</t>
        </is>
      </c>
      <c r="BD2" s="27" t="inlineStr">
        <is>
          <t>60mL/3s/30s</t>
        </is>
      </c>
      <c r="BE2" s="4" t="inlineStr">
        <is>
          <t>Usage Efficiency
                  ↓</t>
        </is>
      </c>
      <c r="BF2" s="4" t="inlineStr">
        <is>
          <t>Did this clog?</t>
        </is>
      </c>
      <c r="BH2" s="20">
        <f>IF(BE5="","",AVERAGEIFS(BE5:BE115,BE5:BE115,"&lt;&gt;0",BE5:BE115,"&lt;&gt;"))</f>
        <v/>
      </c>
      <c r="BI2" s="4" t="inlineStr">
        <is>
          <t>Media:</t>
        </is>
      </c>
      <c r="BK2" s="4" t="inlineStr">
        <is>
          <t>Resistance (Ω):</t>
        </is>
      </c>
      <c r="BM2" s="4" t="inlineStr">
        <is>
          <t>Power:</t>
        </is>
      </c>
      <c r="BN2" s="27">
        <f t="array" ref="BN2">IFERROR(_xlfn.SWITCH(BP1,
"CCELL3.0",BN3^2/(BL2+0.78),
"EVOMAX",BN3^2/(BL2),
"EVO",BN3^2/(BL2),
"SE",BN3^2/BL2,
"T51",BN3^2/(0.25+BL2),
"Competitor",BN3^2/BL2,
BN3^2/BL2), "")</f>
        <v/>
      </c>
      <c r="BO2" s="4" t="inlineStr">
        <is>
          <t>Puffing Regime:</t>
        </is>
      </c>
      <c r="BP2" s="27" t="inlineStr">
        <is>
          <t>60mL/3s/30s</t>
        </is>
      </c>
      <c r="BQ2" s="4" t="inlineStr">
        <is>
          <t>Usage Efficiency
                  ↓</t>
        </is>
      </c>
      <c r="BR2" s="4" t="inlineStr">
        <is>
          <t>Did this clog?</t>
        </is>
      </c>
      <c r="BT2" s="20">
        <f>IF(BQ5="","",AVERAGEIFS(BQ5:BQ115,BQ5:BQ115,"&lt;&gt;0",BQ5:BQ115,"&lt;&gt;"))</f>
        <v/>
      </c>
    </row>
    <row r="3" ht="30" customHeight="1">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c r="Y3" s="4" t="inlineStr">
        <is>
          <t>Viscosity:</t>
        </is>
      </c>
      <c r="AA3" s="4" t="inlineStr">
        <is>
          <t>Tester:</t>
        </is>
      </c>
      <c r="AC3" s="4" t="inlineStr">
        <is>
          <t>Voltage:</t>
        </is>
      </c>
      <c r="AE3" s="4" t="inlineStr">
        <is>
          <t>Initial Oil Mass:</t>
        </is>
      </c>
      <c r="AG3" s="21">
        <f t="array" ref="AG3">IFERROR(((IF(AG5&lt;&gt;"", AG5*Y5, 0) + SUMPRODUCT(--(AG6:AG115&lt;&gt;""), AG6:AG115, 100*(Y6:Y115-Y5:Y114)))/1000)/AF3, "")</f>
        <v/>
      </c>
      <c r="AH3" s="4" t="inlineStr">
        <is>
          <t>Did this leak?</t>
        </is>
      </c>
      <c r="AJ3" s="20">
        <f t="array" ref="AJ3">IF(AG5="","",_xlfn.STDEV.P(IF(ISNUMBER(AG5:AG115), IF(AG5:AG115&lt;&gt;0,AG5:AG115))))</f>
        <v/>
      </c>
      <c r="AK3" s="4" t="inlineStr">
        <is>
          <t>Viscosity:</t>
        </is>
      </c>
      <c r="AM3" s="4" t="inlineStr">
        <is>
          <t>Tester:</t>
        </is>
      </c>
      <c r="AO3" s="4" t="inlineStr">
        <is>
          <t>Voltage:</t>
        </is>
      </c>
      <c r="AQ3" s="4" t="inlineStr">
        <is>
          <t>Initial Oil Mass:</t>
        </is>
      </c>
      <c r="AS3" s="21">
        <f t="array" ref="AS3">IFERROR(((IF(AS5&lt;&gt;"", AS5*AK5, 0) + SUMPRODUCT(--(AS6:AS115&lt;&gt;""), AS6:AS115, 100*(AK6:AK115-AK5:AK114)))/1000)/AR3, "")</f>
        <v/>
      </c>
      <c r="AT3" s="4" t="inlineStr">
        <is>
          <t>Did this leak?</t>
        </is>
      </c>
      <c r="AV3" s="20">
        <f t="array" ref="AV3">IF(AS5="","",_xlfn.STDEV.P(IF(ISNUMBER(AS5:AS115), IF(AS5:AS115&lt;&gt;0,AS5:AS115))))</f>
        <v/>
      </c>
      <c r="AW3" s="4" t="inlineStr">
        <is>
          <t>Viscosity:</t>
        </is>
      </c>
      <c r="AY3" s="4" t="inlineStr">
        <is>
          <t>Tester:</t>
        </is>
      </c>
      <c r="BA3" s="4" t="inlineStr">
        <is>
          <t>Voltage:</t>
        </is>
      </c>
      <c r="BC3" s="4" t="inlineStr">
        <is>
          <t>Initial Oil Mass:</t>
        </is>
      </c>
      <c r="BE3" s="21">
        <f t="array" ref="BE3">IFERROR(((IF(BE5&lt;&gt;"", BE5*AW5, 0) + SUMPRODUCT(--(BE6:BE115&lt;&gt;""), BE6:BE115, 100*(AW6:AW115-AW5:AW114)))/1000)/BD3, "")</f>
        <v/>
      </c>
      <c r="BF3" s="4" t="inlineStr">
        <is>
          <t>Did this leak?</t>
        </is>
      </c>
      <c r="BH3" s="20">
        <f t="array" ref="BH3">IF(BE5="","",_xlfn.STDEV.P(IF(ISNUMBER(BE5:BE115), IF(BE5:BE115&lt;&gt;0,BE5:BE115))))</f>
        <v/>
      </c>
      <c r="BI3" s="4" t="inlineStr">
        <is>
          <t>Viscosity:</t>
        </is>
      </c>
      <c r="BK3" s="4" t="inlineStr">
        <is>
          <t>Tester:</t>
        </is>
      </c>
      <c r="BM3" s="4" t="inlineStr">
        <is>
          <t>Voltage:</t>
        </is>
      </c>
      <c r="BO3" s="4" t="inlineStr">
        <is>
          <t>Initial Oil Mass:</t>
        </is>
      </c>
      <c r="BQ3" s="21">
        <f t="array" ref="BQ3">IFERROR(((IF(BQ5&lt;&gt;"", BQ5*BI5, 0) + SUMPRODUCT(--(BQ6:BQ115&lt;&gt;""), BQ6:BQ115, 100*(BI6:BI115-BI5:BI114)))/1000)/BP3, "")</f>
        <v/>
      </c>
      <c r="BR3" s="4" t="inlineStr">
        <is>
          <t>Did this leak?</t>
        </is>
      </c>
      <c r="BT3" s="20">
        <f t="array" ref="BT3">IF(BQ5="","",_xlfn.STDEV.P(IF(ISNUMBER(BQ5:BQ115), IF(BQ5:BQ115&lt;&gt;0,BQ5:BQ115))))</f>
        <v/>
      </c>
    </row>
    <row r="4" ht="75" customHeight="1">
      <c r="A4" s="27" t="inlineStr">
        <is>
          <t>puffs</t>
        </is>
      </c>
      <c r="B4" s="27" t="inlineStr">
        <is>
          <t>Before weight (g)</t>
        </is>
      </c>
      <c r="C4" s="27" t="inlineStr">
        <is>
          <t>After weight (g)</t>
        </is>
      </c>
      <c r="D4" s="27" t="inlineStr">
        <is>
          <t>Draw Pressure (kpa)</t>
        </is>
      </c>
      <c r="E4" s="27" t="inlineStr">
        <is>
          <t>Puffing Regime</t>
        </is>
      </c>
      <c r="F4" s="27" t="inlineStr">
        <is>
          <t>Smell (1-4)</t>
        </is>
      </c>
      <c r="G4" s="27" t="inlineStr">
        <is>
          <t>Clog (Y/N)</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c r="Y4" s="27" t="inlineStr">
        <is>
          <t>puffs</t>
        </is>
      </c>
      <c r="Z4" s="27" t="inlineStr">
        <is>
          <t>Before weight (g)</t>
        </is>
      </c>
      <c r="AA4" s="27" t="inlineStr">
        <is>
          <t>After weight (g)</t>
        </is>
      </c>
      <c r="AB4" s="27" t="inlineStr">
        <is>
          <t>Draw Pressure (kpa)</t>
        </is>
      </c>
      <c r="AC4" s="27" t="inlineStr">
        <is>
          <t>Puffing Regime</t>
        </is>
      </c>
      <c r="AD4" s="27" t="inlineStr">
        <is>
          <t>Smell</t>
        </is>
      </c>
      <c r="AE4" s="27" t="inlineStr">
        <is>
          <t>Clog</t>
        </is>
      </c>
      <c r="AF4" s="27" t="inlineStr">
        <is>
          <t>Notes</t>
        </is>
      </c>
      <c r="AG4" s="27" t="inlineStr">
        <is>
          <t>TPM (mg/puff)</t>
        </is>
      </c>
      <c r="AH4" s="27" t="inlineStr">
        <is>
          <t>TPM Power Density (mg/(W*s))</t>
        </is>
      </c>
      <c r="AI4" s="27" t="inlineStr">
        <is>
          <t>Variation in TPM (%)</t>
        </is>
      </c>
      <c r="AJ4" s="20" t="inlineStr">
        <is>
          <t>Oil Consumed (Cumulative, g)</t>
        </is>
      </c>
      <c r="AK4" s="27" t="inlineStr">
        <is>
          <t>puffs</t>
        </is>
      </c>
      <c r="AL4" s="27" t="inlineStr">
        <is>
          <t>Before weight (g)</t>
        </is>
      </c>
      <c r="AM4" s="27" t="inlineStr">
        <is>
          <t>After weight (g)</t>
        </is>
      </c>
      <c r="AN4" s="27" t="inlineStr">
        <is>
          <t>Draw Pressure (kpa)</t>
        </is>
      </c>
      <c r="AO4" s="27" t="inlineStr">
        <is>
          <t>Puffing Regime</t>
        </is>
      </c>
      <c r="AP4" s="27" t="inlineStr">
        <is>
          <t>Smell</t>
        </is>
      </c>
      <c r="AQ4" s="27" t="inlineStr">
        <is>
          <t>Clog</t>
        </is>
      </c>
      <c r="AR4" s="27" t="inlineStr">
        <is>
          <t>Notes</t>
        </is>
      </c>
      <c r="AS4" s="27" t="inlineStr">
        <is>
          <t>TPM (mg/puff)</t>
        </is>
      </c>
      <c r="AT4" s="27" t="inlineStr">
        <is>
          <t>TPM Power Density (mg/(W*s))</t>
        </is>
      </c>
      <c r="AU4" s="27" t="inlineStr">
        <is>
          <t>Variation in TPM (%)</t>
        </is>
      </c>
      <c r="AV4" s="20" t="inlineStr">
        <is>
          <t>Oil Consumed (Cumulative, g)</t>
        </is>
      </c>
      <c r="AW4" s="27" t="inlineStr">
        <is>
          <t>puffs</t>
        </is>
      </c>
      <c r="AX4" s="27" t="inlineStr">
        <is>
          <t>Before weight (g)</t>
        </is>
      </c>
      <c r="AY4" s="27" t="inlineStr">
        <is>
          <t>After weight (g)</t>
        </is>
      </c>
      <c r="AZ4" s="27" t="inlineStr">
        <is>
          <t>Draw Pressure (kpa)</t>
        </is>
      </c>
      <c r="BA4" s="27" t="inlineStr">
        <is>
          <t>Puffing Regime</t>
        </is>
      </c>
      <c r="BB4" s="27" t="inlineStr">
        <is>
          <t>Smell</t>
        </is>
      </c>
      <c r="BC4" s="27" t="inlineStr">
        <is>
          <t>Clog</t>
        </is>
      </c>
      <c r="BD4" s="27" t="inlineStr">
        <is>
          <t>Notes</t>
        </is>
      </c>
      <c r="BE4" s="27" t="inlineStr">
        <is>
          <t>TPM (mg/puff)</t>
        </is>
      </c>
      <c r="BF4" s="27" t="inlineStr">
        <is>
          <t>TPM Power Density (mg/(W*s))</t>
        </is>
      </c>
      <c r="BG4" s="27" t="inlineStr">
        <is>
          <t>Variation in TPM (%)</t>
        </is>
      </c>
      <c r="BH4" s="20" t="inlineStr">
        <is>
          <t>Oil Consumed (Cumulative, g)</t>
        </is>
      </c>
      <c r="BI4" s="27" t="inlineStr">
        <is>
          <t>puffs</t>
        </is>
      </c>
      <c r="BJ4" s="27" t="inlineStr">
        <is>
          <t>Before weight (g)</t>
        </is>
      </c>
      <c r="BK4" s="27" t="inlineStr">
        <is>
          <t>After weight (g)</t>
        </is>
      </c>
      <c r="BL4" s="27" t="inlineStr">
        <is>
          <t>Draw Pressure (kpa)</t>
        </is>
      </c>
      <c r="BM4" s="27" t="inlineStr">
        <is>
          <t>Puffing Regime</t>
        </is>
      </c>
      <c r="BN4" s="27" t="inlineStr">
        <is>
          <t>Smell</t>
        </is>
      </c>
      <c r="BO4" s="27" t="inlineStr">
        <is>
          <t>Clog</t>
        </is>
      </c>
      <c r="BP4" s="27" t="inlineStr">
        <is>
          <t>Notes</t>
        </is>
      </c>
      <c r="BQ4" s="27" t="inlineStr">
        <is>
          <t>TPM (mg/puff)</t>
        </is>
      </c>
      <c r="BR4" s="27" t="inlineStr">
        <is>
          <t>TPM Power Density (mg/(W*s))</t>
        </is>
      </c>
      <c r="BS4" s="27" t="inlineStr">
        <is>
          <t>Variation in TPM (%)</t>
        </is>
      </c>
      <c r="BT4" s="20" t="inlineStr">
        <is>
          <t>Oil Consumed (Cumulative, g)</t>
        </is>
      </c>
    </row>
    <row r="5" ht="30" customHeight="1">
      <c r="A5" s="23" t="n">
        <v>1</v>
      </c>
      <c r="B5" s="24" t="n"/>
      <c r="C5" s="24" t="n"/>
      <c r="D5" s="24" t="n"/>
      <c r="E5" s="24" t="inlineStr">
        <is>
          <t>60mL/3s/30s</t>
        </is>
      </c>
      <c r="F5" s="24" t="n"/>
      <c r="G5" s="24" t="n"/>
      <c r="H5" s="24" t="inlineStr">
        <is>
          <t>INITIAL 10 PUFFS</t>
        </is>
      </c>
      <c r="I5" s="24">
        <f>IF(C5="", "", (B5-C5)*1000/A5)</f>
        <v/>
      </c>
      <c r="J5" s="24">
        <f>IF(I5="","",I5/F$2/3)</f>
        <v/>
      </c>
      <c r="K5" s="24" t="n"/>
      <c r="L5" s="25">
        <f>IF(I5="","", IFERROR(((IF(I$5&lt;&gt;"", I$5*A$5, 0))/1000), ""))</f>
        <v/>
      </c>
      <c r="M5" s="24" t="n">
        <v>1</v>
      </c>
      <c r="N5" s="24" t="n"/>
      <c r="O5" s="24" t="n"/>
      <c r="P5" s="24" t="n"/>
      <c r="Q5" s="24" t="inlineStr">
        <is>
          <t>60mL/3s/30s</t>
        </is>
      </c>
      <c r="R5" s="24" t="n"/>
      <c r="S5" s="24" t="n"/>
      <c r="T5" s="24" t="inlineStr">
        <is>
          <t>INITIAL 10 PUFFS</t>
        </is>
      </c>
      <c r="U5" s="24">
        <f>IF(O5="", "", (N5-O5)*1000/M5)</f>
        <v/>
      </c>
      <c r="V5" s="24">
        <f>IF(U5="","",U5/R$2/3)</f>
        <v/>
      </c>
      <c r="W5" s="24" t="n"/>
      <c r="X5" s="25">
        <f>IF(U5="","", IFERROR(((IF(U$5&lt;&gt;"", U$5*M$5, 0))/1000), ""))</f>
        <v/>
      </c>
      <c r="Y5" s="24" t="n">
        <v>1</v>
      </c>
      <c r="Z5" s="24" t="n"/>
      <c r="AA5" s="24" t="n"/>
      <c r="AB5" s="24" t="n"/>
      <c r="AC5" s="24" t="inlineStr">
        <is>
          <t>60mL/3s/30s</t>
        </is>
      </c>
      <c r="AD5" s="24" t="n"/>
      <c r="AE5" s="24" t="n"/>
      <c r="AF5" s="24" t="inlineStr">
        <is>
          <t>INITIAL 10 PUFFS</t>
        </is>
      </c>
      <c r="AG5" s="24">
        <f>IF(AA5="", "", (Z5-AA5)*1000/Y5)</f>
        <v/>
      </c>
      <c r="AH5" s="24">
        <f>IF(AG5="","",AG5/AD$2/3)</f>
        <v/>
      </c>
      <c r="AI5" s="24" t="n"/>
      <c r="AJ5" s="25">
        <f>IF(AG5="","", IFERROR(((IF(AG$5&lt;&gt;"", AG$5*Y$5, 0))/1000), ""))</f>
        <v/>
      </c>
      <c r="AK5" s="24" t="n">
        <v>1</v>
      </c>
      <c r="AL5" s="24" t="n"/>
      <c r="AM5" s="24" t="n"/>
      <c r="AN5" s="24" t="n"/>
      <c r="AO5" s="24" t="inlineStr">
        <is>
          <t>60mL/3s/30s</t>
        </is>
      </c>
      <c r="AP5" s="24" t="n"/>
      <c r="AQ5" s="24" t="n"/>
      <c r="AR5" s="24" t="inlineStr">
        <is>
          <t>INITIAL 10 PUFFS</t>
        </is>
      </c>
      <c r="AS5" s="24">
        <f>IF(AM5="", "", (AL5-AM5)*1000/AK5)</f>
        <v/>
      </c>
      <c r="AT5" s="24">
        <f>IF(AS5="","",AS5/AP$2/3)</f>
        <v/>
      </c>
      <c r="AU5" s="24" t="n"/>
      <c r="AV5" s="25">
        <f>IF(AS5="","", IFERROR(((IF(AS$5&lt;&gt;"", AS$5*AK$5, 0))/1000), ""))</f>
        <v/>
      </c>
      <c r="AW5" s="24" t="n">
        <v>1</v>
      </c>
      <c r="AX5" s="24" t="n"/>
      <c r="AY5" s="24" t="n"/>
      <c r="AZ5" s="24" t="n"/>
      <c r="BA5" s="24" t="inlineStr">
        <is>
          <t>60mL/3s/30s</t>
        </is>
      </c>
      <c r="BB5" s="24" t="n"/>
      <c r="BC5" s="24" t="n"/>
      <c r="BD5" s="24" t="inlineStr">
        <is>
          <t>INITIAL 10 PUFFS</t>
        </is>
      </c>
      <c r="BE5" s="24">
        <f>IF(AY5="", "", (AX5-AY5)*1000/AW5)</f>
        <v/>
      </c>
      <c r="BF5" s="24">
        <f>IF(BE5="","",BE5/BB$2/3)</f>
        <v/>
      </c>
      <c r="BG5" s="24" t="n"/>
      <c r="BH5" s="25">
        <f>IF(BE5="","", IFERROR(((IF(BE$5&lt;&gt;"", BE$5*AW$5, 0))/1000), ""))</f>
        <v/>
      </c>
      <c r="BI5" s="24" t="n">
        <v>1</v>
      </c>
      <c r="BJ5" s="24" t="n"/>
      <c r="BK5" s="24" t="n"/>
      <c r="BL5" s="24" t="n"/>
      <c r="BM5" s="24" t="inlineStr">
        <is>
          <t>60mL/3s/30s</t>
        </is>
      </c>
      <c r="BN5" s="24" t="n"/>
      <c r="BO5" s="24" t="n"/>
      <c r="BP5" s="24" t="inlineStr">
        <is>
          <t>INITIAL 10 PUFFS</t>
        </is>
      </c>
      <c r="BQ5" s="24">
        <f>IF(BK5="", "", (BJ5-BK5)*1000/BI5)</f>
        <v/>
      </c>
      <c r="BR5" s="24">
        <f>IF(BQ5="","",BQ5/BN$2/3)</f>
        <v/>
      </c>
      <c r="BS5" s="24" t="n"/>
      <c r="BT5" s="25">
        <f>IF(BQ5="","", IFERROR(((IF(BQ$5&lt;&gt;"", BQ$5*BI$5, 0))/1000), ""))</f>
        <v/>
      </c>
    </row>
    <row r="6">
      <c r="A6" s="26">
        <f>A5+1</f>
        <v/>
      </c>
      <c r="B6" s="27">
        <f>C5</f>
        <v/>
      </c>
      <c r="C6" s="27" t="n"/>
      <c r="D6" s="27" t="n"/>
      <c r="E6" s="27" t="inlineStr">
        <is>
          <t>60mL/3s/30s</t>
        </is>
      </c>
      <c r="F6" s="27" t="n"/>
      <c r="G6" s="27" t="n"/>
      <c r="H6" s="27" t="n"/>
      <c r="I6" s="27">
        <f>IF(C6="", "", (B6-C6)*1000/(A6-A5))</f>
        <v/>
      </c>
      <c r="J6" s="27">
        <f>IF(I6="","",I6/F$2/3)</f>
        <v/>
      </c>
      <c r="K6" s="27">
        <f>IF(I6="","", 100*_xlfn.STDEV.P(I5:I6)/AVERAGE(I5:I6))</f>
        <v/>
      </c>
      <c r="L6" s="22">
        <f t="array" ref="L6">IF(I6="","", IFERROR(((IF(I$5&lt;&gt;"", I$5*A$5, 0) + SUMPRODUCT(--(I$6:I6&lt;&gt;""), I$6:I6, (A$6:A6-A$5:A5)))/1000), ""))</f>
        <v/>
      </c>
      <c r="M6" s="27">
        <f>M5+1</f>
        <v/>
      </c>
      <c r="N6" s="27">
        <f>O5</f>
        <v/>
      </c>
      <c r="O6" s="27" t="n"/>
      <c r="P6" s="27" t="n"/>
      <c r="Q6" s="27" t="inlineStr">
        <is>
          <t>60mL/3s/30s</t>
        </is>
      </c>
      <c r="R6" s="27" t="n"/>
      <c r="S6" s="27" t="n"/>
      <c r="T6" s="27" t="n"/>
      <c r="U6" s="27">
        <f>IF(O6="", "", (N6-O6)*1000/(M6-M5))</f>
        <v/>
      </c>
      <c r="V6" s="27">
        <f>IF(U6="","",U6/R$2/3)</f>
        <v/>
      </c>
      <c r="W6" s="27">
        <f>IF(U6="","", 100*_xlfn.STDEV.P(U5:U6)/AVERAGE(U5:U6))</f>
        <v/>
      </c>
      <c r="X6" s="22">
        <f t="array" ref="X6">IF(U6="","", IFERROR(((IF(U$5&lt;&gt;"", U$5*M$5, 0) + SUMPRODUCT(--(U$6:U6&lt;&gt;""), U$6:U6, (M$6:M6-M$5:M5)))/1000), ""))</f>
        <v/>
      </c>
      <c r="Y6" s="27">
        <f>Y5+1</f>
        <v/>
      </c>
      <c r="Z6" s="27">
        <f>AA5</f>
        <v/>
      </c>
      <c r="AA6" s="27" t="n"/>
      <c r="AB6" s="27" t="n"/>
      <c r="AC6" s="27" t="inlineStr">
        <is>
          <t>60mL/3s/30s</t>
        </is>
      </c>
      <c r="AD6" s="27" t="n"/>
      <c r="AE6" s="27" t="n"/>
      <c r="AF6" s="27" t="n"/>
      <c r="AG6" s="27">
        <f>IF(AA6="", "", (Z6-AA6)*1000/(Y6-Y5))</f>
        <v/>
      </c>
      <c r="AH6" s="27">
        <f>IF(AG6="","",AG6/AD$2/3)</f>
        <v/>
      </c>
      <c r="AI6" s="27">
        <f>IF(AG6="","", 100*_xlfn.STDEV.P(AG5:AG6)/AVERAGE(AG5:AG6))</f>
        <v/>
      </c>
      <c r="AJ6" s="22">
        <f t="array" ref="AJ6">IF(AG6="","", IFERROR(((IF(AG$5&lt;&gt;"", AG$5*Y$5, 0) + SUMPRODUCT(--(AG$6:AG6&lt;&gt;""), AG$6:AG6, (Y$6:Y6-Y$5:Y5)))/1000), ""))</f>
        <v/>
      </c>
      <c r="AK6" s="27">
        <f>AK5+1</f>
        <v/>
      </c>
      <c r="AL6" s="27">
        <f>AM5</f>
        <v/>
      </c>
      <c r="AM6" s="27" t="n"/>
      <c r="AN6" s="27" t="n"/>
      <c r="AO6" s="27" t="inlineStr">
        <is>
          <t>60mL/3s/30s</t>
        </is>
      </c>
      <c r="AP6" s="27" t="n"/>
      <c r="AQ6" s="27" t="n"/>
      <c r="AR6" s="27" t="n"/>
      <c r="AS6" s="27">
        <f>IF(AM6="", "", (AL6-AM6)*1000/(AK6-AK5))</f>
        <v/>
      </c>
      <c r="AT6" s="27">
        <f>IF(AS6="","",AS6/AP$2/3)</f>
        <v/>
      </c>
      <c r="AU6" s="27">
        <f>IF(AS6="","", 100*_xlfn.STDEV.P(AS5:AS6)/AVERAGE(AS5:AS6))</f>
        <v/>
      </c>
      <c r="AV6" s="22">
        <f t="array" ref="AV6">IF(AS6="","", IFERROR(((IF(AS$5&lt;&gt;"", AS$5*AK$5, 0) + SUMPRODUCT(--(AS$6:AS6&lt;&gt;""), AS$6:AS6, (AK$6:AK6-AK$5:AK5)))/1000), ""))</f>
        <v/>
      </c>
      <c r="AW6" s="27">
        <f>AW5+1</f>
        <v/>
      </c>
      <c r="AX6" s="27">
        <f>AY5</f>
        <v/>
      </c>
      <c r="AY6" s="27" t="n"/>
      <c r="AZ6" s="27" t="n"/>
      <c r="BA6" s="27" t="inlineStr">
        <is>
          <t>60mL/3s/30s</t>
        </is>
      </c>
      <c r="BB6" s="27" t="n"/>
      <c r="BC6" s="27" t="n"/>
      <c r="BD6" s="27" t="n"/>
      <c r="BE6" s="27">
        <f>IF(AY6="", "", (AX6-AY6)*1000/(AW6-AW5))</f>
        <v/>
      </c>
      <c r="BF6" s="27">
        <f>IF(BE6="","",BE6/BB$2/3)</f>
        <v/>
      </c>
      <c r="BG6" s="27">
        <f>IF(BE6="","", 100*_xlfn.STDEV.P(BE5:BE6)/AVERAGE(BE5:BE6))</f>
        <v/>
      </c>
      <c r="BH6" s="22">
        <f t="array" ref="BH6">IF(BE6="","", IFERROR(((IF(BE$5&lt;&gt;"", BE$5*AW$5, 0) + SUMPRODUCT(--(BE$6:BE6&lt;&gt;""), BE$6:BE6, (AW$6:AW6-AW$5:AW5)))/1000), ""))</f>
        <v/>
      </c>
      <c r="BI6" s="27">
        <f>BI5+1</f>
        <v/>
      </c>
      <c r="BJ6" s="27">
        <f>BK5</f>
        <v/>
      </c>
      <c r="BK6" s="27" t="n"/>
      <c r="BL6" s="27" t="n"/>
      <c r="BM6" s="27" t="inlineStr">
        <is>
          <t>60mL/3s/30s</t>
        </is>
      </c>
      <c r="BN6" s="27" t="n"/>
      <c r="BO6" s="27" t="n"/>
      <c r="BP6" s="27" t="n"/>
      <c r="BQ6" s="27">
        <f>IF(BK6="", "", (BJ6-BK6)*1000/(BI6-BI5))</f>
        <v/>
      </c>
      <c r="BR6" s="27">
        <f>IF(BQ6="","",BQ6/BN$2/3)</f>
        <v/>
      </c>
      <c r="BS6" s="27">
        <f>IF(BQ6="","", 100*_xlfn.STDEV.P(BQ5:BQ6)/AVERAGE(BQ5:BQ6))</f>
        <v/>
      </c>
      <c r="BT6" s="22">
        <f t="array" ref="BT6">IF(BQ6="","", IFERROR(((IF(BQ$5&lt;&gt;"", BQ$5*BI$5, 0) + SUMPRODUCT(--(BQ$6:BQ6&lt;&gt;""), BQ$6:BQ6, (BI$6:BI6-BI$5:BI5)))/1000), ""))</f>
        <v/>
      </c>
    </row>
    <row r="7">
      <c r="A7" s="26">
        <f>A6+1</f>
        <v/>
      </c>
      <c r="B7" s="27">
        <f>C6</f>
        <v/>
      </c>
      <c r="C7" s="27" t="n"/>
      <c r="D7" s="27" t="n"/>
      <c r="E7" s="27" t="inlineStr">
        <is>
          <t>60mL/3s/30s</t>
        </is>
      </c>
      <c r="F7" s="27" t="n"/>
      <c r="G7" s="27" t="n"/>
      <c r="H7" s="27" t="n"/>
      <c r="I7" s="27">
        <f>IF(C7="", "", (B7-C7)*1000/(A7-A6))</f>
        <v/>
      </c>
      <c r="J7" s="27">
        <f>IF(I7="","",I7/F$2/3)</f>
        <v/>
      </c>
      <c r="K7" s="27">
        <f>IF(I7="","", 100*_xlfn.STDEV.P(I6:I7)/AVERAGE(I6:I7))</f>
        <v/>
      </c>
      <c r="L7" s="22">
        <f t="array" ref="L7">IF(I7="","", IFERROR(((IF(I$5&lt;&gt;"", I$5*A$5, 0) + SUMPRODUCT(--(I$6:I7&lt;&gt;""), I$6:I7, (A$6:A7-A$5:A6)))/1000), ""))</f>
        <v/>
      </c>
      <c r="M7" s="27">
        <f>M6+1</f>
        <v/>
      </c>
      <c r="N7" s="27">
        <f>O6</f>
        <v/>
      </c>
      <c r="O7" s="27" t="n"/>
      <c r="P7" s="27" t="n"/>
      <c r="Q7" s="27" t="inlineStr">
        <is>
          <t>60mL/3s/30s</t>
        </is>
      </c>
      <c r="R7" s="27" t="n"/>
      <c r="S7" s="27" t="n"/>
      <c r="T7" s="27" t="n"/>
      <c r="U7" s="27">
        <f>IF(O7="", "", (N7-O7)*1000/(M7-M6))</f>
        <v/>
      </c>
      <c r="V7" s="27">
        <f>IF(U7="","",U7/R$2/3)</f>
        <v/>
      </c>
      <c r="W7" s="27">
        <f>IF(U7="","", 100*_xlfn.STDEV.P(U6:U7)/AVERAGE(U6:U7))</f>
        <v/>
      </c>
      <c r="X7" s="22">
        <f t="array" ref="X7">IF(U7="","", IFERROR(((IF(U$5&lt;&gt;"", U$5*M$5, 0) + SUMPRODUCT(--(U$6:U7&lt;&gt;""), U$6:U7, (M$6:M7-M$5:M6)))/1000), ""))</f>
        <v/>
      </c>
      <c r="Y7" s="27">
        <f>Y6+1</f>
        <v/>
      </c>
      <c r="Z7" s="27">
        <f>AA6</f>
        <v/>
      </c>
      <c r="AA7" s="27" t="n"/>
      <c r="AB7" s="27" t="n"/>
      <c r="AC7" s="27" t="inlineStr">
        <is>
          <t>60mL/3s/30s</t>
        </is>
      </c>
      <c r="AD7" s="27" t="n"/>
      <c r="AE7" s="27" t="n"/>
      <c r="AF7" s="27" t="n"/>
      <c r="AG7" s="27">
        <f>IF(AA7="", "", (Z7-AA7)*1000/(Y7-Y6))</f>
        <v/>
      </c>
      <c r="AH7" s="27">
        <f>IF(AG7="","",AG7/AD$2/3)</f>
        <v/>
      </c>
      <c r="AI7" s="27">
        <f>IF(AG7="","", 100*_xlfn.STDEV.P(AG6:AG7)/AVERAGE(AG6:AG7))</f>
        <v/>
      </c>
      <c r="AJ7" s="22">
        <f t="array" ref="AJ7">IF(AG7="","", IFERROR(((IF(AG$5&lt;&gt;"", AG$5*Y$5, 0) + SUMPRODUCT(--(AG$6:AG7&lt;&gt;""), AG$6:AG7, (Y$6:Y7-Y$5:Y6)))/1000), ""))</f>
        <v/>
      </c>
      <c r="AK7" s="27">
        <f>AK6+1</f>
        <v/>
      </c>
      <c r="AL7" s="27">
        <f>AM6</f>
        <v/>
      </c>
      <c r="AM7" s="27" t="n"/>
      <c r="AN7" s="27" t="n"/>
      <c r="AO7" s="27" t="inlineStr">
        <is>
          <t>60mL/3s/30s</t>
        </is>
      </c>
      <c r="AP7" s="27" t="n"/>
      <c r="AQ7" s="27" t="n"/>
      <c r="AR7" s="27" t="n"/>
      <c r="AS7" s="27">
        <f>IF(AM7="", "", (AL7-AM7)*1000/(AK7-AK6))</f>
        <v/>
      </c>
      <c r="AT7" s="27">
        <f>IF(AS7="","",AS7/AP$2/3)</f>
        <v/>
      </c>
      <c r="AU7" s="27">
        <f>IF(AS7="","", 100*_xlfn.STDEV.P(AS6:AS7)/AVERAGE(AS6:AS7))</f>
        <v/>
      </c>
      <c r="AV7" s="22">
        <f t="array" ref="AV7">IF(AS7="","", IFERROR(((IF(AS$5&lt;&gt;"", AS$5*AK$5, 0) + SUMPRODUCT(--(AS$6:AS7&lt;&gt;""), AS$6:AS7, (AK$6:AK7-AK$5:AK6)))/1000), ""))</f>
        <v/>
      </c>
      <c r="AW7" s="27">
        <f>AW6+1</f>
        <v/>
      </c>
      <c r="AX7" s="27">
        <f>AY6</f>
        <v/>
      </c>
      <c r="AY7" s="27" t="n"/>
      <c r="AZ7" s="27" t="n"/>
      <c r="BA7" s="27" t="inlineStr">
        <is>
          <t>60mL/3s/30s</t>
        </is>
      </c>
      <c r="BB7" s="27" t="n"/>
      <c r="BC7" s="27" t="n"/>
      <c r="BD7" s="27" t="n"/>
      <c r="BE7" s="27">
        <f>IF(AY7="", "", (AX7-AY7)*1000/(AW7-AW6))</f>
        <v/>
      </c>
      <c r="BF7" s="27">
        <f>IF(BE7="","",BE7/BB$2/3)</f>
        <v/>
      </c>
      <c r="BG7" s="27">
        <f>IF(BE7="","", 100*_xlfn.STDEV.P(BE6:BE7)/AVERAGE(BE6:BE7))</f>
        <v/>
      </c>
      <c r="BH7" s="22">
        <f t="array" ref="BH7">IF(BE7="","", IFERROR(((IF(BE$5&lt;&gt;"", BE$5*AW$5, 0) + SUMPRODUCT(--(BE$6:BE7&lt;&gt;""), BE$6:BE7, (AW$6:AW7-AW$5:AW6)))/1000), ""))</f>
        <v/>
      </c>
      <c r="BI7" s="27">
        <f>BI6+1</f>
        <v/>
      </c>
      <c r="BJ7" s="27">
        <f>BK6</f>
        <v/>
      </c>
      <c r="BK7" s="27" t="n"/>
      <c r="BL7" s="27" t="n"/>
      <c r="BM7" s="27" t="inlineStr">
        <is>
          <t>60mL/3s/30s</t>
        </is>
      </c>
      <c r="BN7" s="27" t="n"/>
      <c r="BO7" s="27" t="n"/>
      <c r="BP7" s="27" t="n"/>
      <c r="BQ7" s="27">
        <f>IF(BK7="", "", (BJ7-BK7)*1000/(BI7-BI6))</f>
        <v/>
      </c>
      <c r="BR7" s="27">
        <f>IF(BQ7="","",BQ7/BN$2/3)</f>
        <v/>
      </c>
      <c r="BS7" s="27">
        <f>IF(BQ7="","", 100*_xlfn.STDEV.P(BQ6:BQ7)/AVERAGE(BQ6:BQ7))</f>
        <v/>
      </c>
      <c r="BT7" s="22">
        <f t="array" ref="BT7">IF(BQ7="","", IFERROR(((IF(BQ$5&lt;&gt;"", BQ$5*BI$5, 0) + SUMPRODUCT(--(BQ$6:BQ7&lt;&gt;""), BQ$6:BQ7, (BI$6:BI7-BI$5:BI6)))/1000), ""))</f>
        <v/>
      </c>
    </row>
    <row r="8">
      <c r="A8" s="26">
        <f>A7+1</f>
        <v/>
      </c>
      <c r="B8" s="27">
        <f>C7</f>
        <v/>
      </c>
      <c r="C8" s="27" t="n"/>
      <c r="D8" s="27" t="n"/>
      <c r="E8" s="27" t="inlineStr">
        <is>
          <t>60mL/3s/30s</t>
        </is>
      </c>
      <c r="F8" s="27" t="n"/>
      <c r="G8" s="27" t="n"/>
      <c r="H8" s="27" t="n"/>
      <c r="I8" s="27">
        <f>IF(C8="", "", (B8-C8)*1000/(A8-A7))</f>
        <v/>
      </c>
      <c r="J8" s="27">
        <f>IF(I8="","",I8/F$2/3)</f>
        <v/>
      </c>
      <c r="K8" s="27">
        <f>IF(I8="","", 100*_xlfn.STDEV.P(I7:I8)/AVERAGE(I7:I8))</f>
        <v/>
      </c>
      <c r="L8" s="22">
        <f t="array" ref="L8">IF(I8="","", IFERROR(((IF(I$5&lt;&gt;"", I$5*A$5, 0) + SUMPRODUCT(--(I$6:I8&lt;&gt;""), I$6:I8, (A$6:A8-A$5:A7)))/1000), ""))</f>
        <v/>
      </c>
      <c r="M8" s="27">
        <f>M7+1</f>
        <v/>
      </c>
      <c r="N8" s="27">
        <f>O7</f>
        <v/>
      </c>
      <c r="O8" s="27" t="n"/>
      <c r="P8" s="27" t="n"/>
      <c r="Q8" s="27" t="inlineStr">
        <is>
          <t>60mL/3s/30s</t>
        </is>
      </c>
      <c r="R8" s="27" t="n"/>
      <c r="S8" s="27" t="n"/>
      <c r="T8" s="27" t="n"/>
      <c r="U8" s="27">
        <f>IF(O8="", "", (N8-O8)*1000/(M8-M7))</f>
        <v/>
      </c>
      <c r="V8" s="27">
        <f>IF(U8="","",U8/R$2/3)</f>
        <v/>
      </c>
      <c r="W8" s="27">
        <f>IF(U8="","", 100*_xlfn.STDEV.P(U7:U8)/AVERAGE(U7:U8))</f>
        <v/>
      </c>
      <c r="X8" s="22">
        <f t="array" ref="X8">IF(U8="","", IFERROR(((IF(U$5&lt;&gt;"", U$5*M$5, 0) + SUMPRODUCT(--(U$6:U8&lt;&gt;""), U$6:U8, (M$6:M8-M$5:M7)))/1000), ""))</f>
        <v/>
      </c>
      <c r="Y8" s="27">
        <f>Y7+1</f>
        <v/>
      </c>
      <c r="Z8" s="27">
        <f>AA7</f>
        <v/>
      </c>
      <c r="AA8" s="27" t="n"/>
      <c r="AB8" s="27" t="n"/>
      <c r="AC8" s="27" t="inlineStr">
        <is>
          <t>60mL/3s/30s</t>
        </is>
      </c>
      <c r="AD8" s="27" t="n"/>
      <c r="AE8" s="27" t="n"/>
      <c r="AF8" s="27" t="n"/>
      <c r="AG8" s="27">
        <f>IF(AA8="", "", (Z8-AA8)*1000/(Y8-Y7))</f>
        <v/>
      </c>
      <c r="AH8" s="27">
        <f>IF(AG8="","",AG8/AD$2/3)</f>
        <v/>
      </c>
      <c r="AI8" s="27">
        <f>IF(AG8="","", 100*_xlfn.STDEV.P(AG7:AG8)/AVERAGE(AG7:AG8))</f>
        <v/>
      </c>
      <c r="AJ8" s="22">
        <f t="array" ref="AJ8">IF(AG8="","", IFERROR(((IF(AG$5&lt;&gt;"", AG$5*Y$5, 0) + SUMPRODUCT(--(AG$6:AG8&lt;&gt;""), AG$6:AG8, (Y$6:Y8-Y$5:Y7)))/1000), ""))</f>
        <v/>
      </c>
      <c r="AK8" s="27">
        <f>AK7+1</f>
        <v/>
      </c>
      <c r="AL8" s="27">
        <f>AM7</f>
        <v/>
      </c>
      <c r="AM8" s="27" t="n"/>
      <c r="AN8" s="27" t="n"/>
      <c r="AO8" s="27" t="inlineStr">
        <is>
          <t>60mL/3s/30s</t>
        </is>
      </c>
      <c r="AP8" s="27" t="n"/>
      <c r="AQ8" s="27" t="n"/>
      <c r="AR8" s="27" t="n"/>
      <c r="AS8" s="27">
        <f>IF(AM8="", "", (AL8-AM8)*1000/(AK8-AK7))</f>
        <v/>
      </c>
      <c r="AT8" s="27">
        <f>IF(AS8="","",AS8/AP$2/3)</f>
        <v/>
      </c>
      <c r="AU8" s="27">
        <f>IF(AS8="","", 100*_xlfn.STDEV.P(AS7:AS8)/AVERAGE(AS7:AS8))</f>
        <v/>
      </c>
      <c r="AV8" s="22">
        <f t="array" ref="AV8">IF(AS8="","", IFERROR(((IF(AS$5&lt;&gt;"", AS$5*AK$5, 0) + SUMPRODUCT(--(AS$6:AS8&lt;&gt;""), AS$6:AS8, (AK$6:AK8-AK$5:AK7)))/1000), ""))</f>
        <v/>
      </c>
      <c r="AW8" s="27">
        <f>AW7+1</f>
        <v/>
      </c>
      <c r="AX8" s="27">
        <f>AY7</f>
        <v/>
      </c>
      <c r="AY8" s="27" t="n"/>
      <c r="AZ8" s="27" t="n"/>
      <c r="BA8" s="27" t="inlineStr">
        <is>
          <t>60mL/3s/30s</t>
        </is>
      </c>
      <c r="BB8" s="27" t="n"/>
      <c r="BC8" s="27" t="n"/>
      <c r="BD8" s="27" t="n"/>
      <c r="BE8" s="27">
        <f>IF(AY8="", "", (AX8-AY8)*1000/(AW8-AW7))</f>
        <v/>
      </c>
      <c r="BF8" s="27">
        <f>IF(BE8="","",BE8/BB$2/3)</f>
        <v/>
      </c>
      <c r="BG8" s="27">
        <f>IF(BE8="","", 100*_xlfn.STDEV.P(BE7:BE8)/AVERAGE(BE7:BE8))</f>
        <v/>
      </c>
      <c r="BH8" s="22">
        <f t="array" ref="BH8">IF(BE8="","", IFERROR(((IF(BE$5&lt;&gt;"", BE$5*AW$5, 0) + SUMPRODUCT(--(BE$6:BE8&lt;&gt;""), BE$6:BE8, (AW$6:AW8-AW$5:AW7)))/1000), ""))</f>
        <v/>
      </c>
      <c r="BI8" s="27">
        <f>BI7+1</f>
        <v/>
      </c>
      <c r="BJ8" s="27">
        <f>BK7</f>
        <v/>
      </c>
      <c r="BK8" s="27" t="n"/>
      <c r="BL8" s="27" t="n"/>
      <c r="BM8" s="27" t="inlineStr">
        <is>
          <t>60mL/3s/30s</t>
        </is>
      </c>
      <c r="BN8" s="27" t="n"/>
      <c r="BO8" s="27" t="n"/>
      <c r="BP8" s="27" t="n"/>
      <c r="BQ8" s="27">
        <f>IF(BK8="", "", (BJ8-BK8)*1000/(BI8-BI7))</f>
        <v/>
      </c>
      <c r="BR8" s="27">
        <f>IF(BQ8="","",BQ8/BN$2/3)</f>
        <v/>
      </c>
      <c r="BS8" s="27">
        <f>IF(BQ8="","", 100*_xlfn.STDEV.P(BQ7:BQ8)/AVERAGE(BQ7:BQ8))</f>
        <v/>
      </c>
      <c r="BT8" s="22">
        <f t="array" ref="BT8">IF(BQ8="","", IFERROR(((IF(BQ$5&lt;&gt;"", BQ$5*BI$5, 0) + SUMPRODUCT(--(BQ$6:BQ8&lt;&gt;""), BQ$6:BQ8, (BI$6:BI8-BI$5:BI7)))/1000), ""))</f>
        <v/>
      </c>
    </row>
    <row r="9">
      <c r="A9" s="26">
        <f>A8+1</f>
        <v/>
      </c>
      <c r="B9" s="27">
        <f>C8</f>
        <v/>
      </c>
      <c r="C9" s="27" t="n"/>
      <c r="D9" s="27" t="n"/>
      <c r="E9" s="27" t="inlineStr">
        <is>
          <t>60mL/3s/30s</t>
        </is>
      </c>
      <c r="F9" s="27" t="n"/>
      <c r="G9" s="27" t="n"/>
      <c r="H9" s="27" t="n"/>
      <c r="I9" s="27">
        <f>IF(C9="", "", (B9-C9)*1000/(A9-A8))</f>
        <v/>
      </c>
      <c r="J9" s="27">
        <f>IF(I9="","",I9/F$2/3)</f>
        <v/>
      </c>
      <c r="K9" s="27">
        <f>IF(I9="","", 100*_xlfn.STDEV.P(I8:I9)/AVERAGE(I8:I9))</f>
        <v/>
      </c>
      <c r="L9" s="22">
        <f t="array" ref="L9">IF(I9="","", IFERROR(((IF(I$5&lt;&gt;"", I$5*A$5, 0) + SUMPRODUCT(--(I$6:I9&lt;&gt;""), I$6:I9, (A$6:A9-A$5:A8)))/1000), ""))</f>
        <v/>
      </c>
      <c r="M9" s="27">
        <f>M8+1</f>
        <v/>
      </c>
      <c r="N9" s="27">
        <f>O8</f>
        <v/>
      </c>
      <c r="O9" s="27" t="n"/>
      <c r="P9" s="27" t="n"/>
      <c r="Q9" s="27" t="inlineStr">
        <is>
          <t>60mL/3s/30s</t>
        </is>
      </c>
      <c r="R9" s="27" t="n"/>
      <c r="S9" s="27" t="n"/>
      <c r="T9" s="27" t="n"/>
      <c r="U9" s="27">
        <f>IF(O9="", "", (N9-O9)*1000/(M9-M8))</f>
        <v/>
      </c>
      <c r="V9" s="27">
        <f>IF(U9="","",U9/R$2/3)</f>
        <v/>
      </c>
      <c r="W9" s="27">
        <f>IF(U9="","", 100*_xlfn.STDEV.P(U8:U9)/AVERAGE(U8:U9))</f>
        <v/>
      </c>
      <c r="X9" s="22">
        <f t="array" ref="X9">IF(U9="","", IFERROR(((IF(U$5&lt;&gt;"", U$5*M$5, 0) + SUMPRODUCT(--(U$6:U9&lt;&gt;""), U$6:U9, (M$6:M9-M$5:M8)))/1000), ""))</f>
        <v/>
      </c>
      <c r="Y9" s="27">
        <f>Y8+1</f>
        <v/>
      </c>
      <c r="Z9" s="27">
        <f>AA8</f>
        <v/>
      </c>
      <c r="AA9" s="27" t="n"/>
      <c r="AB9" s="27" t="n"/>
      <c r="AC9" s="27" t="inlineStr">
        <is>
          <t>60mL/3s/30s</t>
        </is>
      </c>
      <c r="AD9" s="27" t="n"/>
      <c r="AE9" s="27" t="n"/>
      <c r="AF9" s="27" t="n"/>
      <c r="AG9" s="27">
        <f>IF(AA9="", "", (Z9-AA9)*1000/(Y9-Y8))</f>
        <v/>
      </c>
      <c r="AH9" s="27">
        <f>IF(AG9="","",AG9/AD$2/3)</f>
        <v/>
      </c>
      <c r="AI9" s="27">
        <f>IF(AG9="","", 100*_xlfn.STDEV.P(AG8:AG9)/AVERAGE(AG8:AG9))</f>
        <v/>
      </c>
      <c r="AJ9" s="22">
        <f t="array" ref="AJ9">IF(AG9="","", IFERROR(((IF(AG$5&lt;&gt;"", AG$5*Y$5, 0) + SUMPRODUCT(--(AG$6:AG9&lt;&gt;""), AG$6:AG9, (Y$6:Y9-Y$5:Y8)))/1000), ""))</f>
        <v/>
      </c>
      <c r="AK9" s="27">
        <f>AK8+1</f>
        <v/>
      </c>
      <c r="AL9" s="27">
        <f>AM8</f>
        <v/>
      </c>
      <c r="AM9" s="27" t="n"/>
      <c r="AN9" s="27" t="n"/>
      <c r="AO9" s="27" t="inlineStr">
        <is>
          <t>60mL/3s/30s</t>
        </is>
      </c>
      <c r="AP9" s="27" t="n"/>
      <c r="AQ9" s="27" t="n"/>
      <c r="AR9" s="27" t="n"/>
      <c r="AS9" s="27">
        <f>IF(AM9="", "", (AL9-AM9)*1000/(AK9-AK8))</f>
        <v/>
      </c>
      <c r="AT9" s="27">
        <f>IF(AS9="","",AS9/AP$2/3)</f>
        <v/>
      </c>
      <c r="AU9" s="27">
        <f>IF(AS9="","", 100*_xlfn.STDEV.P(AS8:AS9)/AVERAGE(AS8:AS9))</f>
        <v/>
      </c>
      <c r="AV9" s="22">
        <f t="array" ref="AV9">IF(AS9="","", IFERROR(((IF(AS$5&lt;&gt;"", AS$5*AK$5, 0) + SUMPRODUCT(--(AS$6:AS9&lt;&gt;""), AS$6:AS9, (AK$6:AK9-AK$5:AK8)))/1000), ""))</f>
        <v/>
      </c>
      <c r="AW9" s="27">
        <f>AW8+1</f>
        <v/>
      </c>
      <c r="AX9" s="27">
        <f>AY8</f>
        <v/>
      </c>
      <c r="AY9" s="27" t="n"/>
      <c r="AZ9" s="27" t="n"/>
      <c r="BA9" s="27" t="inlineStr">
        <is>
          <t>60mL/3s/30s</t>
        </is>
      </c>
      <c r="BB9" s="27" t="n"/>
      <c r="BC9" s="27" t="n"/>
      <c r="BD9" s="27" t="n"/>
      <c r="BE9" s="27">
        <f>IF(AY9="", "", (AX9-AY9)*1000/(AW9-AW8))</f>
        <v/>
      </c>
      <c r="BF9" s="27">
        <f>IF(BE9="","",BE9/BB$2/3)</f>
        <v/>
      </c>
      <c r="BG9" s="27">
        <f>IF(BE9="","", 100*_xlfn.STDEV.P(BE8:BE9)/AVERAGE(BE8:BE9))</f>
        <v/>
      </c>
      <c r="BH9" s="22">
        <f t="array" ref="BH9">IF(BE9="","", IFERROR(((IF(BE$5&lt;&gt;"", BE$5*AW$5, 0) + SUMPRODUCT(--(BE$6:BE9&lt;&gt;""), BE$6:BE9, (AW$6:AW9-AW$5:AW8)))/1000), ""))</f>
        <v/>
      </c>
      <c r="BI9" s="27">
        <f>BI8+1</f>
        <v/>
      </c>
      <c r="BJ9" s="27">
        <f>BK8</f>
        <v/>
      </c>
      <c r="BK9" s="27" t="n"/>
      <c r="BL9" s="27" t="n"/>
      <c r="BM9" s="27" t="inlineStr">
        <is>
          <t>60mL/3s/30s</t>
        </is>
      </c>
      <c r="BN9" s="27" t="n"/>
      <c r="BO9" s="27" t="n"/>
      <c r="BP9" s="27" t="n"/>
      <c r="BQ9" s="27">
        <f>IF(BK9="", "", (BJ9-BK9)*1000/(BI9-BI8))</f>
        <v/>
      </c>
      <c r="BR9" s="27">
        <f>IF(BQ9="","",BQ9/BN$2/3)</f>
        <v/>
      </c>
      <c r="BS9" s="27">
        <f>IF(BQ9="","", 100*_xlfn.STDEV.P(BQ8:BQ9)/AVERAGE(BQ8:BQ9))</f>
        <v/>
      </c>
      <c r="BT9" s="22">
        <f t="array" ref="BT9">IF(BQ9="","", IFERROR(((IF(BQ$5&lt;&gt;"", BQ$5*BI$5, 0) + SUMPRODUCT(--(BQ$6:BQ9&lt;&gt;""), BQ$6:BQ9, (BI$6:BI9-BI$5:BI8)))/1000), ""))</f>
        <v/>
      </c>
    </row>
    <row r="10">
      <c r="A10" s="26">
        <f>A9+1</f>
        <v/>
      </c>
      <c r="B10" s="27">
        <f>C9</f>
        <v/>
      </c>
      <c r="C10" s="27" t="n"/>
      <c r="D10" s="27" t="n"/>
      <c r="E10" s="27" t="inlineStr">
        <is>
          <t>60mL/3s/30s</t>
        </is>
      </c>
      <c r="F10" s="27" t="n"/>
      <c r="G10" s="27" t="n"/>
      <c r="H10" s="27" t="n"/>
      <c r="I10" s="27">
        <f>IF(C10="", "", (B10-C10)*1000/(A10-A9))</f>
        <v/>
      </c>
      <c r="J10" s="27">
        <f>IF(I10="","",I10/F$2/3)</f>
        <v/>
      </c>
      <c r="K10" s="27">
        <f>IF(I10="","", 100*_xlfn.STDEV.P(I9:I10)/AVERAGE(I9:I10))</f>
        <v/>
      </c>
      <c r="L10" s="22">
        <f t="array" ref="L10">IF(I10="","", IFERROR(((IF(I$5&lt;&gt;"", I$5*A$5, 0) + SUMPRODUCT(--(I$6:I10&lt;&gt;""), I$6:I10, (A$6:A10-A$5:A9)))/1000), ""))</f>
        <v/>
      </c>
      <c r="M10" s="27">
        <f>M9+1</f>
        <v/>
      </c>
      <c r="N10" s="27">
        <f>O9</f>
        <v/>
      </c>
      <c r="O10" s="27" t="n"/>
      <c r="P10" s="27" t="n"/>
      <c r="Q10" s="27" t="inlineStr">
        <is>
          <t>60mL/3s/30s</t>
        </is>
      </c>
      <c r="R10" s="27" t="n"/>
      <c r="S10" s="27" t="n"/>
      <c r="T10" s="27" t="n"/>
      <c r="U10" s="27">
        <f>IF(O10="", "", (N10-O10)*1000/(M10-M9))</f>
        <v/>
      </c>
      <c r="V10" s="27">
        <f>IF(U10="","",U10/R$2/3)</f>
        <v/>
      </c>
      <c r="W10" s="27">
        <f>IF(U10="","", 100*_xlfn.STDEV.P(U9:U10)/AVERAGE(U9:U10))</f>
        <v/>
      </c>
      <c r="X10" s="22">
        <f t="array" ref="X10">IF(U10="","", IFERROR(((IF(U$5&lt;&gt;"", U$5*M$5, 0) + SUMPRODUCT(--(U$6:U10&lt;&gt;""), U$6:U10, (M$6:M10-M$5:M9)))/1000), ""))</f>
        <v/>
      </c>
      <c r="Y10" s="27">
        <f>Y9+1</f>
        <v/>
      </c>
      <c r="Z10" s="27">
        <f>AA9</f>
        <v/>
      </c>
      <c r="AA10" s="27" t="n"/>
      <c r="AB10" s="27" t="n"/>
      <c r="AC10" s="27" t="inlineStr">
        <is>
          <t>60mL/3s/30s</t>
        </is>
      </c>
      <c r="AD10" s="27" t="n"/>
      <c r="AE10" s="27" t="n"/>
      <c r="AF10" s="27" t="n"/>
      <c r="AG10" s="27">
        <f>IF(AA10="", "", (Z10-AA10)*1000/(Y10-Y9))</f>
        <v/>
      </c>
      <c r="AH10" s="27">
        <f>IF(AG10="","",AG10/AD$2/3)</f>
        <v/>
      </c>
      <c r="AI10" s="27">
        <f>IF(AG10="","", 100*_xlfn.STDEV.P(AG9:AG10)/AVERAGE(AG9:AG10))</f>
        <v/>
      </c>
      <c r="AJ10" s="22">
        <f t="array" ref="AJ10">IF(AG10="","", IFERROR(((IF(AG$5&lt;&gt;"", AG$5*Y$5, 0) + SUMPRODUCT(--(AG$6:AG10&lt;&gt;""), AG$6:AG10, (Y$6:Y10-Y$5:Y9)))/1000), ""))</f>
        <v/>
      </c>
      <c r="AK10" s="27">
        <f>AK9+1</f>
        <v/>
      </c>
      <c r="AL10" s="27">
        <f>AM9</f>
        <v/>
      </c>
      <c r="AM10" s="27" t="n"/>
      <c r="AN10" s="27" t="n"/>
      <c r="AO10" s="27" t="inlineStr">
        <is>
          <t>60mL/3s/30s</t>
        </is>
      </c>
      <c r="AP10" s="27" t="n"/>
      <c r="AQ10" s="27" t="n"/>
      <c r="AR10" s="27" t="n"/>
      <c r="AS10" s="27">
        <f>IF(AM10="", "", (AL10-AM10)*1000/(AK10-AK9))</f>
        <v/>
      </c>
      <c r="AT10" s="27">
        <f>IF(AS10="","",AS10/AP$2/3)</f>
        <v/>
      </c>
      <c r="AU10" s="27">
        <f>IF(AS10="","", 100*_xlfn.STDEV.P(AS9:AS10)/AVERAGE(AS9:AS10))</f>
        <v/>
      </c>
      <c r="AV10" s="22">
        <f t="array" ref="AV10">IF(AS10="","", IFERROR(((IF(AS$5&lt;&gt;"", AS$5*AK$5, 0) + SUMPRODUCT(--(AS$6:AS10&lt;&gt;""), AS$6:AS10, (AK$6:AK10-AK$5:AK9)))/1000), ""))</f>
        <v/>
      </c>
      <c r="AW10" s="27">
        <f>AW9+1</f>
        <v/>
      </c>
      <c r="AX10" s="27">
        <f>AY9</f>
        <v/>
      </c>
      <c r="AY10" s="27" t="n"/>
      <c r="AZ10" s="27" t="n"/>
      <c r="BA10" s="27" t="inlineStr">
        <is>
          <t>60mL/3s/30s</t>
        </is>
      </c>
      <c r="BB10" s="27" t="n"/>
      <c r="BC10" s="27" t="n"/>
      <c r="BD10" s="27" t="n"/>
      <c r="BE10" s="27">
        <f>IF(AY10="", "", (AX10-AY10)*1000/(AW10-AW9))</f>
        <v/>
      </c>
      <c r="BF10" s="27">
        <f>IF(BE10="","",BE10/BB$2/3)</f>
        <v/>
      </c>
      <c r="BG10" s="27">
        <f>IF(BE10="","", 100*_xlfn.STDEV.P(BE9:BE10)/AVERAGE(BE9:BE10))</f>
        <v/>
      </c>
      <c r="BH10" s="22">
        <f t="array" ref="BH10">IF(BE10="","", IFERROR(((IF(BE$5&lt;&gt;"", BE$5*AW$5, 0) + SUMPRODUCT(--(BE$6:BE10&lt;&gt;""), BE$6:BE10, (AW$6:AW10-AW$5:AW9)))/1000), ""))</f>
        <v/>
      </c>
      <c r="BI10" s="27">
        <f>BI9+1</f>
        <v/>
      </c>
      <c r="BJ10" s="27">
        <f>BK9</f>
        <v/>
      </c>
      <c r="BK10" s="27" t="n"/>
      <c r="BL10" s="27" t="n"/>
      <c r="BM10" s="27" t="inlineStr">
        <is>
          <t>60mL/3s/30s</t>
        </is>
      </c>
      <c r="BN10" s="27" t="n"/>
      <c r="BO10" s="27" t="n"/>
      <c r="BP10" s="27" t="n"/>
      <c r="BQ10" s="27">
        <f>IF(BK10="", "", (BJ10-BK10)*1000/(BI10-BI9))</f>
        <v/>
      </c>
      <c r="BR10" s="27">
        <f>IF(BQ10="","",BQ10/BN$2/3)</f>
        <v/>
      </c>
      <c r="BS10" s="27">
        <f>IF(BQ10="","", 100*_xlfn.STDEV.P(BQ9:BQ10)/AVERAGE(BQ9:BQ10))</f>
        <v/>
      </c>
      <c r="BT10" s="22">
        <f t="array" ref="BT10">IF(BQ10="","", IFERROR(((IF(BQ$5&lt;&gt;"", BQ$5*BI$5, 0) + SUMPRODUCT(--(BQ$6:BQ10&lt;&gt;""), BQ$6:BQ10, (BI$6:BI10-BI$5:BI9)))/1000), ""))</f>
        <v/>
      </c>
    </row>
    <row r="11">
      <c r="A11" s="26">
        <f>A10+1</f>
        <v/>
      </c>
      <c r="B11" s="27">
        <f>C10</f>
        <v/>
      </c>
      <c r="C11" s="27" t="n"/>
      <c r="D11" s="27" t="n"/>
      <c r="E11" s="27" t="inlineStr">
        <is>
          <t>60mL/3s/30s</t>
        </is>
      </c>
      <c r="F11" s="27" t="n"/>
      <c r="G11" s="27" t="n"/>
      <c r="H11" s="27" t="n"/>
      <c r="I11" s="27">
        <f>IF(C11="", "", (B11-C11)*1000/(A11-A10))</f>
        <v/>
      </c>
      <c r="J11" s="27">
        <f>IF(I11="","",I11/F$2/3)</f>
        <v/>
      </c>
      <c r="K11" s="27">
        <f>IF(I11="","", 100*_xlfn.STDEV.P(I10:I11)/AVERAGE(I10:I11))</f>
        <v/>
      </c>
      <c r="L11" s="22">
        <f t="array" ref="L11">IF(I11="","", IFERROR(((IF(I$5&lt;&gt;"", I$5*A$5, 0) + SUMPRODUCT(--(I$6:I11&lt;&gt;""), I$6:I11, (A$6:A11-A$5:A10)))/1000), ""))</f>
        <v/>
      </c>
      <c r="M11" s="27">
        <f>M10+1</f>
        <v/>
      </c>
      <c r="N11" s="27">
        <f>O10</f>
        <v/>
      </c>
      <c r="O11" s="27" t="n"/>
      <c r="P11" s="27" t="n"/>
      <c r="Q11" s="27" t="inlineStr">
        <is>
          <t>60mL/3s/30s</t>
        </is>
      </c>
      <c r="R11" s="27" t="n"/>
      <c r="S11" s="27" t="n"/>
      <c r="T11" s="27" t="n"/>
      <c r="U11" s="27">
        <f>IF(O11="", "", (N11-O11)*1000/(M11-M10))</f>
        <v/>
      </c>
      <c r="V11" s="27">
        <f>IF(U11="","",U11/R$2/3)</f>
        <v/>
      </c>
      <c r="W11" s="27">
        <f>IF(U11="","", 100*_xlfn.STDEV.P(U10:U11)/AVERAGE(U10:U11))</f>
        <v/>
      </c>
      <c r="X11" s="22">
        <f t="array" ref="X11">IF(U11="","", IFERROR(((IF(U$5&lt;&gt;"", U$5*M$5, 0) + SUMPRODUCT(--(U$6:U11&lt;&gt;""), U$6:U11, (M$6:M11-M$5:M10)))/1000), ""))</f>
        <v/>
      </c>
      <c r="Y11" s="27">
        <f>Y10+1</f>
        <v/>
      </c>
      <c r="Z11" s="27">
        <f>AA10</f>
        <v/>
      </c>
      <c r="AA11" s="27" t="n"/>
      <c r="AB11" s="27" t="n"/>
      <c r="AC11" s="27" t="inlineStr">
        <is>
          <t>60mL/3s/30s</t>
        </is>
      </c>
      <c r="AD11" s="27" t="n"/>
      <c r="AE11" s="27" t="n"/>
      <c r="AF11" s="27" t="n"/>
      <c r="AG11" s="27">
        <f>IF(AA11="", "", (Z11-AA11)*1000/(Y11-Y10))</f>
        <v/>
      </c>
      <c r="AH11" s="27">
        <f>IF(AG11="","",AG11/AD$2/3)</f>
        <v/>
      </c>
      <c r="AI11" s="27">
        <f>IF(AG11="","", 100*_xlfn.STDEV.P(AG10:AG11)/AVERAGE(AG10:AG11))</f>
        <v/>
      </c>
      <c r="AJ11" s="22">
        <f t="array" ref="AJ11">IF(AG11="","", IFERROR(((IF(AG$5&lt;&gt;"", AG$5*Y$5, 0) + SUMPRODUCT(--(AG$6:AG11&lt;&gt;""), AG$6:AG11, (Y$6:Y11-Y$5:Y10)))/1000), ""))</f>
        <v/>
      </c>
      <c r="AK11" s="27">
        <f>AK10+1</f>
        <v/>
      </c>
      <c r="AL11" s="27">
        <f>AM10</f>
        <v/>
      </c>
      <c r="AM11" s="27" t="n"/>
      <c r="AN11" s="27" t="n"/>
      <c r="AO11" s="27" t="inlineStr">
        <is>
          <t>60mL/3s/30s</t>
        </is>
      </c>
      <c r="AP11" s="27" t="n"/>
      <c r="AQ11" s="27" t="n"/>
      <c r="AR11" s="27" t="n"/>
      <c r="AS11" s="27">
        <f>IF(AM11="", "", (AL11-AM11)*1000/(AK11-AK10))</f>
        <v/>
      </c>
      <c r="AT11" s="27">
        <f>IF(AS11="","",AS11/AP$2/3)</f>
        <v/>
      </c>
      <c r="AU11" s="27">
        <f>IF(AS11="","", 100*_xlfn.STDEV.P(AS10:AS11)/AVERAGE(AS10:AS11))</f>
        <v/>
      </c>
      <c r="AV11" s="22">
        <f t="array" ref="AV11">IF(AS11="","", IFERROR(((IF(AS$5&lt;&gt;"", AS$5*AK$5, 0) + SUMPRODUCT(--(AS$6:AS11&lt;&gt;""), AS$6:AS11, (AK$6:AK11-AK$5:AK10)))/1000), ""))</f>
        <v/>
      </c>
      <c r="AW11" s="27">
        <f>AW10+1</f>
        <v/>
      </c>
      <c r="AX11" s="27">
        <f>AY10</f>
        <v/>
      </c>
      <c r="AY11" s="27" t="n"/>
      <c r="AZ11" s="27" t="n"/>
      <c r="BA11" s="27" t="inlineStr">
        <is>
          <t>60mL/3s/30s</t>
        </is>
      </c>
      <c r="BB11" s="27" t="n"/>
      <c r="BC11" s="27" t="n"/>
      <c r="BD11" s="27" t="n"/>
      <c r="BE11" s="27">
        <f>IF(AY11="", "", (AX11-AY11)*1000/(AW11-AW10))</f>
        <v/>
      </c>
      <c r="BF11" s="27">
        <f>IF(BE11="","",BE11/BB$2/3)</f>
        <v/>
      </c>
      <c r="BG11" s="27">
        <f>IF(BE11="","", 100*_xlfn.STDEV.P(BE10:BE11)/AVERAGE(BE10:BE11))</f>
        <v/>
      </c>
      <c r="BH11" s="22">
        <f t="array" ref="BH11">IF(BE11="","", IFERROR(((IF(BE$5&lt;&gt;"", BE$5*AW$5, 0) + SUMPRODUCT(--(BE$6:BE11&lt;&gt;""), BE$6:BE11, (AW$6:AW11-AW$5:AW10)))/1000), ""))</f>
        <v/>
      </c>
      <c r="BI11" s="27">
        <f>BI10+1</f>
        <v/>
      </c>
      <c r="BJ11" s="27">
        <f>BK10</f>
        <v/>
      </c>
      <c r="BK11" s="27" t="n"/>
      <c r="BL11" s="27" t="n"/>
      <c r="BM11" s="27" t="inlineStr">
        <is>
          <t>60mL/3s/30s</t>
        </is>
      </c>
      <c r="BN11" s="27" t="n"/>
      <c r="BO11" s="27" t="n"/>
      <c r="BP11" s="27" t="n"/>
      <c r="BQ11" s="27">
        <f>IF(BK11="", "", (BJ11-BK11)*1000/(BI11-BI10))</f>
        <v/>
      </c>
      <c r="BR11" s="27">
        <f>IF(BQ11="","",BQ11/BN$2/3)</f>
        <v/>
      </c>
      <c r="BS11" s="27">
        <f>IF(BQ11="","", 100*_xlfn.STDEV.P(BQ10:BQ11)/AVERAGE(BQ10:BQ11))</f>
        <v/>
      </c>
      <c r="BT11" s="22">
        <f t="array" ref="BT11">IF(BQ11="","", IFERROR(((IF(BQ$5&lt;&gt;"", BQ$5*BI$5, 0) + SUMPRODUCT(--(BQ$6:BQ11&lt;&gt;""), BQ$6:BQ11, (BI$6:BI11-BI$5:BI10)))/1000), ""))</f>
        <v/>
      </c>
    </row>
    <row r="12">
      <c r="A12" s="26">
        <f>A11+1</f>
        <v/>
      </c>
      <c r="B12" s="27">
        <f>C11</f>
        <v/>
      </c>
      <c r="C12" s="27" t="n"/>
      <c r="D12" s="27" t="n"/>
      <c r="E12" s="27" t="inlineStr">
        <is>
          <t>60mL/3s/30s</t>
        </is>
      </c>
      <c r="F12" s="27" t="n"/>
      <c r="G12" s="27" t="n"/>
      <c r="H12" s="27" t="n"/>
      <c r="I12" s="27">
        <f>IF(C12="", "", (B12-C12)*1000/(A12-A11))</f>
        <v/>
      </c>
      <c r="J12" s="27">
        <f>IF(I12="","",I12/F$2/3)</f>
        <v/>
      </c>
      <c r="K12" s="27">
        <f>IF(I12="","", 100*_xlfn.STDEV.P(I11:I12)/AVERAGE(I11:I12))</f>
        <v/>
      </c>
      <c r="L12" s="22">
        <f t="array" ref="L12">IF(I12="","", IFERROR(((IF(I$5&lt;&gt;"", I$5*A$5, 0) + SUMPRODUCT(--(I$6:I12&lt;&gt;""), I$6:I12, (A$6:A12-A$5:A11)))/1000), ""))</f>
        <v/>
      </c>
      <c r="M12" s="27">
        <f>M11+1</f>
        <v/>
      </c>
      <c r="N12" s="27">
        <f>O11</f>
        <v/>
      </c>
      <c r="O12" s="27" t="n"/>
      <c r="P12" s="27" t="n"/>
      <c r="Q12" s="27" t="inlineStr">
        <is>
          <t>60mL/3s/30s</t>
        </is>
      </c>
      <c r="R12" s="27" t="n"/>
      <c r="S12" s="27" t="n"/>
      <c r="T12" s="27" t="n"/>
      <c r="U12" s="27">
        <f>IF(O12="", "", (N12-O12)*1000/(M12-M11))</f>
        <v/>
      </c>
      <c r="V12" s="27">
        <f>IF(U12="","",U12/R$2/3)</f>
        <v/>
      </c>
      <c r="W12" s="27">
        <f>IF(U12="","", 100*_xlfn.STDEV.P(U11:U12)/AVERAGE(U11:U12))</f>
        <v/>
      </c>
      <c r="X12" s="22">
        <f t="array" ref="X12">IF(U12="","", IFERROR(((IF(U$5&lt;&gt;"", U$5*M$5, 0) + SUMPRODUCT(--(U$6:U12&lt;&gt;""), U$6:U12, (M$6:M12-M$5:M11)))/1000), ""))</f>
        <v/>
      </c>
      <c r="Y12" s="27">
        <f>Y11+1</f>
        <v/>
      </c>
      <c r="Z12" s="27">
        <f>AA11</f>
        <v/>
      </c>
      <c r="AA12" s="27" t="n"/>
      <c r="AB12" s="27" t="n"/>
      <c r="AC12" s="27" t="inlineStr">
        <is>
          <t>60mL/3s/30s</t>
        </is>
      </c>
      <c r="AD12" s="27" t="n"/>
      <c r="AE12" s="27" t="n"/>
      <c r="AF12" s="27" t="n"/>
      <c r="AG12" s="27">
        <f>IF(AA12="", "", (Z12-AA12)*1000/(Y12-Y11))</f>
        <v/>
      </c>
      <c r="AH12" s="27">
        <f>IF(AG12="","",AG12/AD$2/3)</f>
        <v/>
      </c>
      <c r="AI12" s="27">
        <f>IF(AG12="","", 100*_xlfn.STDEV.P(AG11:AG12)/AVERAGE(AG11:AG12))</f>
        <v/>
      </c>
      <c r="AJ12" s="22">
        <f t="array" ref="AJ12">IF(AG12="","", IFERROR(((IF(AG$5&lt;&gt;"", AG$5*Y$5, 0) + SUMPRODUCT(--(AG$6:AG12&lt;&gt;""), AG$6:AG12, (Y$6:Y12-Y$5:Y11)))/1000), ""))</f>
        <v/>
      </c>
      <c r="AK12" s="27">
        <f>AK11+1</f>
        <v/>
      </c>
      <c r="AL12" s="27">
        <f>AM11</f>
        <v/>
      </c>
      <c r="AM12" s="27" t="n"/>
      <c r="AN12" s="27" t="n"/>
      <c r="AO12" s="27" t="inlineStr">
        <is>
          <t>60mL/3s/30s</t>
        </is>
      </c>
      <c r="AP12" s="27" t="n"/>
      <c r="AQ12" s="27" t="n"/>
      <c r="AR12" s="27" t="n"/>
      <c r="AS12" s="27">
        <f>IF(AM12="", "", (AL12-AM12)*1000/(AK12-AK11))</f>
        <v/>
      </c>
      <c r="AT12" s="27">
        <f>IF(AS12="","",AS12/AP$2/3)</f>
        <v/>
      </c>
      <c r="AU12" s="27">
        <f>IF(AS12="","", 100*_xlfn.STDEV.P(AS11:AS12)/AVERAGE(AS11:AS12))</f>
        <v/>
      </c>
      <c r="AV12" s="22">
        <f t="array" ref="AV12">IF(AS12="","", IFERROR(((IF(AS$5&lt;&gt;"", AS$5*AK$5, 0) + SUMPRODUCT(--(AS$6:AS12&lt;&gt;""), AS$6:AS12, (AK$6:AK12-AK$5:AK11)))/1000), ""))</f>
        <v/>
      </c>
      <c r="AW12" s="27">
        <f>AW11+1</f>
        <v/>
      </c>
      <c r="AX12" s="27">
        <f>AY11</f>
        <v/>
      </c>
      <c r="AY12" s="27" t="n"/>
      <c r="AZ12" s="27" t="n"/>
      <c r="BA12" s="27" t="inlineStr">
        <is>
          <t>60mL/3s/30s</t>
        </is>
      </c>
      <c r="BB12" s="27" t="n"/>
      <c r="BC12" s="27" t="n"/>
      <c r="BD12" s="27" t="n"/>
      <c r="BE12" s="27">
        <f>IF(AY12="", "", (AX12-AY12)*1000/(AW12-AW11))</f>
        <v/>
      </c>
      <c r="BF12" s="27">
        <f>IF(BE12="","",BE12/BB$2/3)</f>
        <v/>
      </c>
      <c r="BG12" s="27">
        <f>IF(BE12="","", 100*_xlfn.STDEV.P(BE11:BE12)/AVERAGE(BE11:BE12))</f>
        <v/>
      </c>
      <c r="BH12" s="22">
        <f t="array" ref="BH12">IF(BE12="","", IFERROR(((IF(BE$5&lt;&gt;"", BE$5*AW$5, 0) + SUMPRODUCT(--(BE$6:BE12&lt;&gt;""), BE$6:BE12, (AW$6:AW12-AW$5:AW11)))/1000), ""))</f>
        <v/>
      </c>
      <c r="BI12" s="27">
        <f>BI11+1</f>
        <v/>
      </c>
      <c r="BJ12" s="27">
        <f>BK11</f>
        <v/>
      </c>
      <c r="BK12" s="27" t="n"/>
      <c r="BL12" s="27" t="n"/>
      <c r="BM12" s="27" t="inlineStr">
        <is>
          <t>60mL/3s/30s</t>
        </is>
      </c>
      <c r="BN12" s="27" t="n"/>
      <c r="BO12" s="27" t="n"/>
      <c r="BP12" s="27" t="n"/>
      <c r="BQ12" s="27">
        <f>IF(BK12="", "", (BJ12-BK12)*1000/(BI12-BI11))</f>
        <v/>
      </c>
      <c r="BR12" s="27">
        <f>IF(BQ12="","",BQ12/BN$2/3)</f>
        <v/>
      </c>
      <c r="BS12" s="27">
        <f>IF(BQ12="","", 100*_xlfn.STDEV.P(BQ11:BQ12)/AVERAGE(BQ11:BQ12))</f>
        <v/>
      </c>
      <c r="BT12" s="22">
        <f t="array" ref="BT12">IF(BQ12="","", IFERROR(((IF(BQ$5&lt;&gt;"", BQ$5*BI$5, 0) + SUMPRODUCT(--(BQ$6:BQ12&lt;&gt;""), BQ$6:BQ12, (BI$6:BI12-BI$5:BI11)))/1000), ""))</f>
        <v/>
      </c>
    </row>
    <row r="13">
      <c r="A13" s="26">
        <f>A12+1</f>
        <v/>
      </c>
      <c r="B13" s="27">
        <f>C12</f>
        <v/>
      </c>
      <c r="C13" s="27" t="n"/>
      <c r="D13" s="27" t="n"/>
      <c r="E13" s="27" t="inlineStr">
        <is>
          <t>60mL/3s/30s</t>
        </is>
      </c>
      <c r="F13" s="27" t="n"/>
      <c r="G13" s="27" t="n"/>
      <c r="H13" s="27" t="n"/>
      <c r="I13" s="27">
        <f>IF(C13="", "", (B13-C13)*1000/(A13-A12))</f>
        <v/>
      </c>
      <c r="J13" s="27">
        <f>IF(I13="","",I13/F$2/3)</f>
        <v/>
      </c>
      <c r="K13" s="27">
        <f>IF(I13="","", 100*_xlfn.STDEV.P(I12:I13)/AVERAGE(I12:I13))</f>
        <v/>
      </c>
      <c r="L13" s="22">
        <f t="array" ref="L13">IF(I13="","", IFERROR(((IF(I$5&lt;&gt;"", I$5*A$5, 0) + SUMPRODUCT(--(I$6:I13&lt;&gt;""), I$6:I13, (A$6:A13-A$5:A12)))/1000), ""))</f>
        <v/>
      </c>
      <c r="M13" s="27">
        <f>M12+1</f>
        <v/>
      </c>
      <c r="N13" s="27">
        <f>O12</f>
        <v/>
      </c>
      <c r="O13" s="27" t="n"/>
      <c r="P13" s="27" t="n"/>
      <c r="Q13" s="27" t="inlineStr">
        <is>
          <t>60mL/3s/30s</t>
        </is>
      </c>
      <c r="R13" s="27" t="n"/>
      <c r="S13" s="27" t="n"/>
      <c r="T13" s="27" t="n"/>
      <c r="U13" s="27">
        <f>IF(O13="", "", (N13-O13)*1000/(M13-M12))</f>
        <v/>
      </c>
      <c r="V13" s="27">
        <f>IF(U13="","",U13/R$2/3)</f>
        <v/>
      </c>
      <c r="W13" s="27">
        <f>IF(U13="","", 100*_xlfn.STDEV.P(U12:U13)/AVERAGE(U12:U13))</f>
        <v/>
      </c>
      <c r="X13" s="22">
        <f t="array" ref="X13">IF(U13="","", IFERROR(((IF(U$5&lt;&gt;"", U$5*M$5, 0) + SUMPRODUCT(--(U$6:U13&lt;&gt;""), U$6:U13, (M$6:M13-M$5:M12)))/1000), ""))</f>
        <v/>
      </c>
      <c r="Y13" s="27">
        <f>Y12+1</f>
        <v/>
      </c>
      <c r="Z13" s="27">
        <f>AA12</f>
        <v/>
      </c>
      <c r="AA13" s="27" t="n"/>
      <c r="AB13" s="27" t="n"/>
      <c r="AC13" s="27" t="inlineStr">
        <is>
          <t>60mL/3s/30s</t>
        </is>
      </c>
      <c r="AD13" s="27" t="n"/>
      <c r="AE13" s="27" t="n"/>
      <c r="AF13" s="27" t="n"/>
      <c r="AG13" s="27">
        <f>IF(AA13="", "", (Z13-AA13)*1000/(Y13-Y12))</f>
        <v/>
      </c>
      <c r="AH13" s="27">
        <f>IF(AG13="","",AG13/AD$2/3)</f>
        <v/>
      </c>
      <c r="AI13" s="27">
        <f>IF(AG13="","", 100*_xlfn.STDEV.P(AG12:AG13)/AVERAGE(AG12:AG13))</f>
        <v/>
      </c>
      <c r="AJ13" s="22">
        <f t="array" ref="AJ13">IF(AG13="","", IFERROR(((IF(AG$5&lt;&gt;"", AG$5*Y$5, 0) + SUMPRODUCT(--(AG$6:AG13&lt;&gt;""), AG$6:AG13, (Y$6:Y13-Y$5:Y12)))/1000), ""))</f>
        <v/>
      </c>
      <c r="AK13" s="27">
        <f>AK12+1</f>
        <v/>
      </c>
      <c r="AL13" s="27">
        <f>AM12</f>
        <v/>
      </c>
      <c r="AM13" s="27" t="n"/>
      <c r="AN13" s="27" t="n"/>
      <c r="AO13" s="27" t="inlineStr">
        <is>
          <t>60mL/3s/30s</t>
        </is>
      </c>
      <c r="AP13" s="27" t="n"/>
      <c r="AQ13" s="27" t="n"/>
      <c r="AR13" s="27" t="n"/>
      <c r="AS13" s="27">
        <f>IF(AM13="", "", (AL13-AM13)*1000/(AK13-AK12))</f>
        <v/>
      </c>
      <c r="AT13" s="27">
        <f>IF(AS13="","",AS13/AP$2/3)</f>
        <v/>
      </c>
      <c r="AU13" s="27">
        <f>IF(AS13="","", 100*_xlfn.STDEV.P(AS12:AS13)/AVERAGE(AS12:AS13))</f>
        <v/>
      </c>
      <c r="AV13" s="22">
        <f t="array" ref="AV13">IF(AS13="","", IFERROR(((IF(AS$5&lt;&gt;"", AS$5*AK$5, 0) + SUMPRODUCT(--(AS$6:AS13&lt;&gt;""), AS$6:AS13, (AK$6:AK13-AK$5:AK12)))/1000), ""))</f>
        <v/>
      </c>
      <c r="AW13" s="27">
        <f>AW12+1</f>
        <v/>
      </c>
      <c r="AX13" s="27">
        <f>AY12</f>
        <v/>
      </c>
      <c r="AY13" s="27" t="n"/>
      <c r="AZ13" s="27" t="n"/>
      <c r="BA13" s="27" t="inlineStr">
        <is>
          <t>60mL/3s/30s</t>
        </is>
      </c>
      <c r="BB13" s="27" t="n"/>
      <c r="BC13" s="27" t="n"/>
      <c r="BD13" s="27" t="n"/>
      <c r="BE13" s="27">
        <f>IF(AY13="", "", (AX13-AY13)*1000/(AW13-AW12))</f>
        <v/>
      </c>
      <c r="BF13" s="27">
        <f>IF(BE13="","",BE13/BB$2/3)</f>
        <v/>
      </c>
      <c r="BG13" s="27">
        <f>IF(BE13="","", 100*_xlfn.STDEV.P(BE12:BE13)/AVERAGE(BE12:BE13))</f>
        <v/>
      </c>
      <c r="BH13" s="22">
        <f t="array" ref="BH13">IF(BE13="","", IFERROR(((IF(BE$5&lt;&gt;"", BE$5*AW$5, 0) + SUMPRODUCT(--(BE$6:BE13&lt;&gt;""), BE$6:BE13, (AW$6:AW13-AW$5:AW12)))/1000), ""))</f>
        <v/>
      </c>
      <c r="BI13" s="27">
        <f>BI12+1</f>
        <v/>
      </c>
      <c r="BJ13" s="27">
        <f>BK12</f>
        <v/>
      </c>
      <c r="BK13" s="27" t="n"/>
      <c r="BL13" s="27" t="n"/>
      <c r="BM13" s="27" t="inlineStr">
        <is>
          <t>60mL/3s/30s</t>
        </is>
      </c>
      <c r="BN13" s="27" t="n"/>
      <c r="BO13" s="27" t="n"/>
      <c r="BP13" s="27" t="n"/>
      <c r="BQ13" s="27">
        <f>IF(BK13="", "", (BJ13-BK13)*1000/(BI13-BI12))</f>
        <v/>
      </c>
      <c r="BR13" s="27">
        <f>IF(BQ13="","",BQ13/BN$2/3)</f>
        <v/>
      </c>
      <c r="BS13" s="27">
        <f>IF(BQ13="","", 100*_xlfn.STDEV.P(BQ12:BQ13)/AVERAGE(BQ12:BQ13))</f>
        <v/>
      </c>
      <c r="BT13" s="22">
        <f t="array" ref="BT13">IF(BQ13="","", IFERROR(((IF(BQ$5&lt;&gt;"", BQ$5*BI$5, 0) + SUMPRODUCT(--(BQ$6:BQ13&lt;&gt;""), BQ$6:BQ13, (BI$6:BI13-BI$5:BI12)))/1000), ""))</f>
        <v/>
      </c>
    </row>
    <row r="14">
      <c r="A14" s="28">
        <f>A13+1</f>
        <v/>
      </c>
      <c r="B14" s="29">
        <f>C13</f>
        <v/>
      </c>
      <c r="C14" s="29" t="n"/>
      <c r="D14" s="29" t="n"/>
      <c r="E14" s="29" t="inlineStr">
        <is>
          <t>60mL/3s/30s</t>
        </is>
      </c>
      <c r="F14" s="29" t="n"/>
      <c r="G14" s="29" t="n"/>
      <c r="H14" s="29" t="n"/>
      <c r="I14" s="29">
        <f>IF(C14="", "", (B14-C14)*1000/(A14-A13))</f>
        <v/>
      </c>
      <c r="J14" s="29">
        <f>IF(I14="","",I14/F$2/3)</f>
        <v/>
      </c>
      <c r="K14" s="29">
        <f>IF(I14="","", 100*_xlfn.STDEV.P(I13:I14)/AVERAGE(I13:I14))</f>
        <v/>
      </c>
      <c r="L14" s="30">
        <f t="array" ref="L14">IF(I14="","", IFERROR(((IF(I$5&lt;&gt;"", I$5*A$5, 0) + SUMPRODUCT(--(I$6:I14&lt;&gt;""), I$6:I14, (A$6:A14-A$5:A13)))/1000), ""))</f>
        <v/>
      </c>
      <c r="M14" s="29">
        <f>M13+1</f>
        <v/>
      </c>
      <c r="N14" s="29">
        <f>O13</f>
        <v/>
      </c>
      <c r="O14" s="29" t="n"/>
      <c r="P14" s="29" t="n"/>
      <c r="Q14" s="29" t="inlineStr">
        <is>
          <t>60mL/3s/30s</t>
        </is>
      </c>
      <c r="R14" s="29" t="n"/>
      <c r="S14" s="29" t="n"/>
      <c r="T14" s="29" t="n"/>
      <c r="U14" s="29">
        <f>IF(O14="", "", (N14-O14)*1000/(M14-M13))</f>
        <v/>
      </c>
      <c r="V14" s="29">
        <f>IF(U14="","",U14/R$2/3)</f>
        <v/>
      </c>
      <c r="W14" s="29">
        <f>IF(U14="","", 100*_xlfn.STDEV.P(U13:U14)/AVERAGE(U13:U14))</f>
        <v/>
      </c>
      <c r="X14" s="30">
        <f t="array" ref="X14">IF(U14="","", IFERROR(((IF(U$5&lt;&gt;"", U$5*M$5, 0) + SUMPRODUCT(--(U$6:U14&lt;&gt;""), U$6:U14, (M$6:M14-M$5:M13)))/1000), ""))</f>
        <v/>
      </c>
      <c r="Y14" s="29">
        <f>Y13+1</f>
        <v/>
      </c>
      <c r="Z14" s="29">
        <f>AA13</f>
        <v/>
      </c>
      <c r="AA14" s="29" t="n"/>
      <c r="AB14" s="29" t="n"/>
      <c r="AC14" s="29" t="inlineStr">
        <is>
          <t>60mL/3s/30s</t>
        </is>
      </c>
      <c r="AD14" s="29" t="n"/>
      <c r="AE14" s="29" t="n"/>
      <c r="AF14" s="29" t="n"/>
      <c r="AG14" s="29">
        <f>IF(AA14="", "", (Z14-AA14)*1000/(Y14-Y13))</f>
        <v/>
      </c>
      <c r="AH14" s="29">
        <f>IF(AG14="","",AG14/AD$2/3)</f>
        <v/>
      </c>
      <c r="AI14" s="29">
        <f>IF(AG14="","", 100*_xlfn.STDEV.P(AG13:AG14)/AVERAGE(AG13:AG14))</f>
        <v/>
      </c>
      <c r="AJ14" s="30">
        <f t="array" ref="AJ14">IF(AG14="","", IFERROR(((IF(AG$5&lt;&gt;"", AG$5*Y$5, 0) + SUMPRODUCT(--(AG$6:AG14&lt;&gt;""), AG$6:AG14, (Y$6:Y14-Y$5:Y13)))/1000), ""))</f>
        <v/>
      </c>
      <c r="AK14" s="29">
        <f>AK13+1</f>
        <v/>
      </c>
      <c r="AL14" s="29">
        <f>AM13</f>
        <v/>
      </c>
      <c r="AM14" s="29" t="n"/>
      <c r="AN14" s="29" t="n"/>
      <c r="AO14" s="29" t="inlineStr">
        <is>
          <t>60mL/3s/30s</t>
        </is>
      </c>
      <c r="AP14" s="29" t="n"/>
      <c r="AQ14" s="29" t="n"/>
      <c r="AR14" s="29" t="n"/>
      <c r="AS14" s="29">
        <f>IF(AM14="", "", (AL14-AM14)*1000/(AK14-AK13))</f>
        <v/>
      </c>
      <c r="AT14" s="29">
        <f>IF(AS14="","",AS14/AP$2/3)</f>
        <v/>
      </c>
      <c r="AU14" s="29">
        <f>IF(AS14="","", 100*_xlfn.STDEV.P(AS13:AS14)/AVERAGE(AS13:AS14))</f>
        <v/>
      </c>
      <c r="AV14" s="30">
        <f t="array" ref="AV14">IF(AS14="","", IFERROR(((IF(AS$5&lt;&gt;"", AS$5*AK$5, 0) + SUMPRODUCT(--(AS$6:AS14&lt;&gt;""), AS$6:AS14, (AK$6:AK14-AK$5:AK13)))/1000), ""))</f>
        <v/>
      </c>
      <c r="AW14" s="29">
        <f>AW13+1</f>
        <v/>
      </c>
      <c r="AX14" s="29">
        <f>AY13</f>
        <v/>
      </c>
      <c r="AY14" s="29" t="n"/>
      <c r="AZ14" s="29" t="n"/>
      <c r="BA14" s="29" t="inlineStr">
        <is>
          <t>60mL/3s/30s</t>
        </is>
      </c>
      <c r="BB14" s="29" t="n"/>
      <c r="BC14" s="29" t="n"/>
      <c r="BD14" s="29" t="n"/>
      <c r="BE14" s="29">
        <f>IF(AY14="", "", (AX14-AY14)*1000/(AW14-AW13))</f>
        <v/>
      </c>
      <c r="BF14" s="29">
        <f>IF(BE14="","",BE14/BB$2/3)</f>
        <v/>
      </c>
      <c r="BG14" s="29">
        <f>IF(BE14="","", 100*_xlfn.STDEV.P(BE13:BE14)/AVERAGE(BE13:BE14))</f>
        <v/>
      </c>
      <c r="BH14" s="30">
        <f t="array" ref="BH14">IF(BE14="","", IFERROR(((IF(BE$5&lt;&gt;"", BE$5*AW$5, 0) + SUMPRODUCT(--(BE$6:BE14&lt;&gt;""), BE$6:BE14, (AW$6:AW14-AW$5:AW13)))/1000), ""))</f>
        <v/>
      </c>
      <c r="BI14" s="29">
        <f>BI13+1</f>
        <v/>
      </c>
      <c r="BJ14" s="29">
        <f>BK13</f>
        <v/>
      </c>
      <c r="BK14" s="29" t="n"/>
      <c r="BL14" s="29" t="n"/>
      <c r="BM14" s="29" t="inlineStr">
        <is>
          <t>60mL/3s/30s</t>
        </is>
      </c>
      <c r="BN14" s="29" t="n"/>
      <c r="BO14" s="29" t="n"/>
      <c r="BP14" s="29" t="n"/>
      <c r="BQ14" s="29">
        <f>IF(BK14="", "", (BJ14-BK14)*1000/(BI14-BI13))</f>
        <v/>
      </c>
      <c r="BR14" s="29">
        <f>IF(BQ14="","",BQ14/BN$2/3)</f>
        <v/>
      </c>
      <c r="BS14" s="29">
        <f>IF(BQ14="","", 100*_xlfn.STDEV.P(BQ13:BQ14)/AVERAGE(BQ13:BQ14))</f>
        <v/>
      </c>
      <c r="BT14" s="30">
        <f t="array" ref="BT14">IF(BQ14="","", IFERROR(((IF(BQ$5&lt;&gt;"", BQ$5*BI$5, 0) + SUMPRODUCT(--(BQ$6:BQ14&lt;&gt;""), BQ$6:BQ14, (BI$6:BI14-BI$5:BI13)))/1000), ""))</f>
        <v/>
      </c>
    </row>
    <row r="15" ht="60" customHeight="1">
      <c r="A15" s="23">
        <f>A14+1</f>
        <v/>
      </c>
      <c r="B15" s="24">
        <f>C14</f>
        <v/>
      </c>
      <c r="C15" s="24" t="n"/>
      <c r="D15" s="24" t="n"/>
      <c r="E15" s="24" t="inlineStr">
        <is>
          <t>60mL/3s/30s</t>
        </is>
      </c>
      <c r="F15" s="24" t="n"/>
      <c r="G15" s="24" t="n"/>
      <c r="H15" s="24" t="inlineStr">
        <is>
          <t>RIGHT AFTER FIRST ROUND</t>
        </is>
      </c>
      <c r="I15" s="24">
        <f>IF(C15="", "", (B15-C15)*1000/(A15-A14))</f>
        <v/>
      </c>
      <c r="J15" s="24">
        <f>IF(I15="","",I15/F$2/3)</f>
        <v/>
      </c>
      <c r="K15" s="24">
        <f>IF(I15="","", 100*_xlfn.STDEV.P(I14:I15)/AVERAGE(I14:I15))</f>
        <v/>
      </c>
      <c r="L15" s="25">
        <f t="array" ref="L15">IF(I15="","", IFERROR(((IF(I$5&lt;&gt;"", I$5*A$5, 0) + SUMPRODUCT(--(I$6:I15&lt;&gt;""), I$6:I15, (A$6:A15-A$5:A14)))/1000), ""))</f>
        <v/>
      </c>
      <c r="M15" s="24">
        <f>M14+1</f>
        <v/>
      </c>
      <c r="N15" s="24">
        <f>O14</f>
        <v/>
      </c>
      <c r="O15" s="24" t="n"/>
      <c r="P15" s="24" t="n"/>
      <c r="Q15" s="24" t="inlineStr">
        <is>
          <t>60mL/3s/30s</t>
        </is>
      </c>
      <c r="R15" s="24" t="n"/>
      <c r="S15" s="24" t="n"/>
      <c r="T15" s="24" t="inlineStr">
        <is>
          <t>RIGHT AFTER FIRST ROUND</t>
        </is>
      </c>
      <c r="U15" s="24">
        <f>IF(O15="", "", (N15-O15)*1000/(M15-M14))</f>
        <v/>
      </c>
      <c r="V15" s="24">
        <f>IF(U15="","",U15/R$2/3)</f>
        <v/>
      </c>
      <c r="W15" s="24">
        <f>IF(U15="","", 100*_xlfn.STDEV.P(U14:U15)/AVERAGE(U14:U15))</f>
        <v/>
      </c>
      <c r="X15" s="25">
        <f t="array" ref="X15">IF(U15="","", IFERROR(((IF(U$5&lt;&gt;"", U$5*M$5, 0) + SUMPRODUCT(--(U$6:U15&lt;&gt;""), U$6:U15, (M$6:M15-M$5:M14)))/1000), ""))</f>
        <v/>
      </c>
      <c r="Y15" s="24">
        <f>Y14+1</f>
        <v/>
      </c>
      <c r="Z15" s="24">
        <f>AA14</f>
        <v/>
      </c>
      <c r="AA15" s="24" t="n"/>
      <c r="AB15" s="24" t="n"/>
      <c r="AC15" s="24" t="inlineStr">
        <is>
          <t>60mL/3s/30s</t>
        </is>
      </c>
      <c r="AD15" s="24" t="n"/>
      <c r="AE15" s="24" t="n"/>
      <c r="AF15" s="24" t="inlineStr">
        <is>
          <t>RIGHT AFTER FIRST ROUND</t>
        </is>
      </c>
      <c r="AG15" s="24">
        <f>IF(AA15="", "", (Z15-AA15)*1000/(Y15-Y14))</f>
        <v/>
      </c>
      <c r="AH15" s="24">
        <f>IF(AG15="","",AG15/AD$2/3)</f>
        <v/>
      </c>
      <c r="AI15" s="24">
        <f>IF(AG15="","", 100*_xlfn.STDEV.P(AG14:AG15)/AVERAGE(AG14:AG15))</f>
        <v/>
      </c>
      <c r="AJ15" s="25">
        <f t="array" ref="AJ15">IF(AG15="","", IFERROR(((IF(AG$5&lt;&gt;"", AG$5*Y$5, 0) + SUMPRODUCT(--(AG$6:AG15&lt;&gt;""), AG$6:AG15, (Y$6:Y15-Y$5:Y14)))/1000), ""))</f>
        <v/>
      </c>
      <c r="AK15" s="24">
        <f>AK14+1</f>
        <v/>
      </c>
      <c r="AL15" s="24">
        <f>AM14</f>
        <v/>
      </c>
      <c r="AM15" s="24" t="n"/>
      <c r="AN15" s="24" t="n"/>
      <c r="AO15" s="24" t="inlineStr">
        <is>
          <t>60mL/3s/30s</t>
        </is>
      </c>
      <c r="AP15" s="24" t="n"/>
      <c r="AQ15" s="24" t="n"/>
      <c r="AR15" s="24" t="inlineStr">
        <is>
          <t>RIGHT AFTER FIRST ROUND</t>
        </is>
      </c>
      <c r="AS15" s="24">
        <f>IF(AM15="", "", (AL15-AM15)*1000/(AK15-AK14))</f>
        <v/>
      </c>
      <c r="AT15" s="24">
        <f>IF(AS15="","",AS15/AP$2/3)</f>
        <v/>
      </c>
      <c r="AU15" s="24">
        <f>IF(AS15="","", 100*_xlfn.STDEV.P(AS14:AS15)/AVERAGE(AS14:AS15))</f>
        <v/>
      </c>
      <c r="AV15" s="25">
        <f t="array" ref="AV15">IF(AS15="","", IFERROR(((IF(AS$5&lt;&gt;"", AS$5*AK$5, 0) + SUMPRODUCT(--(AS$6:AS15&lt;&gt;""), AS$6:AS15, (AK$6:AK15-AK$5:AK14)))/1000), ""))</f>
        <v/>
      </c>
      <c r="AW15" s="24">
        <f>AW14+1</f>
        <v/>
      </c>
      <c r="AX15" s="24">
        <f>AY14</f>
        <v/>
      </c>
      <c r="AY15" s="24" t="n"/>
      <c r="AZ15" s="24" t="n"/>
      <c r="BA15" s="24" t="inlineStr">
        <is>
          <t>60mL/3s/30s</t>
        </is>
      </c>
      <c r="BB15" s="24" t="n"/>
      <c r="BC15" s="24" t="n"/>
      <c r="BD15" s="24" t="inlineStr">
        <is>
          <t>RIGHT AFTER FIRST ROUND</t>
        </is>
      </c>
      <c r="BE15" s="24">
        <f>IF(AY15="", "", (AX15-AY15)*1000/(AW15-AW14))</f>
        <v/>
      </c>
      <c r="BF15" s="24">
        <f>IF(BE15="","",BE15/BB$2/3)</f>
        <v/>
      </c>
      <c r="BG15" s="24">
        <f>IF(BE15="","", 100*_xlfn.STDEV.P(BE14:BE15)/AVERAGE(BE14:BE15))</f>
        <v/>
      </c>
      <c r="BH15" s="25">
        <f t="array" ref="BH15">IF(BE15="","", IFERROR(((IF(BE$5&lt;&gt;"", BE$5*AW$5, 0) + SUMPRODUCT(--(BE$6:BE15&lt;&gt;""), BE$6:BE15, (AW$6:AW15-AW$5:AW14)))/1000), ""))</f>
        <v/>
      </c>
      <c r="BI15" s="24">
        <f>BI14+1</f>
        <v/>
      </c>
      <c r="BJ15" s="24">
        <f>BK14</f>
        <v/>
      </c>
      <c r="BK15" s="24" t="n"/>
      <c r="BL15" s="24" t="n"/>
      <c r="BM15" s="24" t="inlineStr">
        <is>
          <t>60mL/3s/30s</t>
        </is>
      </c>
      <c r="BN15" s="24" t="n"/>
      <c r="BO15" s="24" t="n"/>
      <c r="BP15" s="24" t="inlineStr">
        <is>
          <t>RIGHT AFTER FIRST ROUND</t>
        </is>
      </c>
      <c r="BQ15" s="24">
        <f>IF(BK15="", "", (BJ15-BK15)*1000/(BI15-BI14))</f>
        <v/>
      </c>
      <c r="BR15" s="24">
        <f>IF(BQ15="","",BQ15/BN$2/3)</f>
        <v/>
      </c>
      <c r="BS15" s="24">
        <f>IF(BQ15="","", 100*_xlfn.STDEV.P(BQ14:BQ15)/AVERAGE(BQ14:BQ15))</f>
        <v/>
      </c>
      <c r="BT15" s="25">
        <f t="array" ref="BT15">IF(BQ15="","", IFERROR(((IF(BQ$5&lt;&gt;"", BQ$5*BI$5, 0) + SUMPRODUCT(--(BQ$6:BQ15&lt;&gt;""), BQ$6:BQ15, (BI$6:BI15-BI$5:BI14)))/1000), ""))</f>
        <v/>
      </c>
    </row>
    <row r="16">
      <c r="A16" s="26">
        <f>A15+1</f>
        <v/>
      </c>
      <c r="B16" s="27">
        <f>C15</f>
        <v/>
      </c>
      <c r="C16" s="27" t="n"/>
      <c r="D16" s="27" t="n"/>
      <c r="E16" s="27" t="inlineStr">
        <is>
          <t>60mL/3s/30s</t>
        </is>
      </c>
      <c r="F16" s="27" t="n"/>
      <c r="G16" s="27" t="n"/>
      <c r="H16" s="27" t="n"/>
      <c r="I16" s="27">
        <f>IF(C16="", "", (B16-C16)*1000/(A16-A15))</f>
        <v/>
      </c>
      <c r="J16" s="27">
        <f>IF(I16="","",I16/F$2/3)</f>
        <v/>
      </c>
      <c r="K16" s="27">
        <f>IF(I16="","", 100*_xlfn.STDEV.P(I15:I16)/AVERAGE(I15:I16))</f>
        <v/>
      </c>
      <c r="L16" s="22">
        <f t="array" ref="L16">IF(I16="","", IFERROR(((IF(I$5&lt;&gt;"", I$5*A$5, 0) + SUMPRODUCT(--(I$6:I16&lt;&gt;""), I$6:I16, (A$6:A16-A$5:A15)))/1000), ""))</f>
        <v/>
      </c>
      <c r="M16" s="27">
        <f>M15+1</f>
        <v/>
      </c>
      <c r="N16" s="27">
        <f>O15</f>
        <v/>
      </c>
      <c r="O16" s="27" t="n"/>
      <c r="P16" s="27" t="n"/>
      <c r="Q16" s="27" t="inlineStr">
        <is>
          <t>60mL/3s/30s</t>
        </is>
      </c>
      <c r="R16" s="27" t="n"/>
      <c r="S16" s="27" t="n"/>
      <c r="T16" s="27" t="n"/>
      <c r="U16" s="27">
        <f>IF(O16="", "", (N16-O16)*1000/(M16-M15))</f>
        <v/>
      </c>
      <c r="V16" s="27">
        <f>IF(U16="","",U16/R$2/3)</f>
        <v/>
      </c>
      <c r="W16" s="27">
        <f>IF(U16="","", 100*_xlfn.STDEV.P(U15:U16)/AVERAGE(U15:U16))</f>
        <v/>
      </c>
      <c r="X16" s="22">
        <f t="array" ref="X16">IF(U16="","", IFERROR(((IF(U$5&lt;&gt;"", U$5*M$5, 0) + SUMPRODUCT(--(U$6:U16&lt;&gt;""), U$6:U16, (M$6:M16-M$5:M15)))/1000), ""))</f>
        <v/>
      </c>
      <c r="Y16" s="27">
        <f>Y15+1</f>
        <v/>
      </c>
      <c r="Z16" s="27">
        <f>AA15</f>
        <v/>
      </c>
      <c r="AA16" s="27" t="n"/>
      <c r="AB16" s="27" t="n"/>
      <c r="AC16" s="27" t="inlineStr">
        <is>
          <t>60mL/3s/30s</t>
        </is>
      </c>
      <c r="AD16" s="27" t="n"/>
      <c r="AE16" s="27" t="n"/>
      <c r="AF16" s="27" t="n"/>
      <c r="AG16" s="27">
        <f>IF(AA16="", "", (Z16-AA16)*1000/(Y16-Y15))</f>
        <v/>
      </c>
      <c r="AH16" s="27">
        <f>IF(AG16="","",AG16/AD$2/3)</f>
        <v/>
      </c>
      <c r="AI16" s="27">
        <f>IF(AG16="","", 100*_xlfn.STDEV.P(AG15:AG16)/AVERAGE(AG15:AG16))</f>
        <v/>
      </c>
      <c r="AJ16" s="22">
        <f t="array" ref="AJ16">IF(AG16="","", IFERROR(((IF(AG$5&lt;&gt;"", AG$5*Y$5, 0) + SUMPRODUCT(--(AG$6:AG16&lt;&gt;""), AG$6:AG16, (Y$6:Y16-Y$5:Y15)))/1000), ""))</f>
        <v/>
      </c>
      <c r="AK16" s="27">
        <f>AK15+1</f>
        <v/>
      </c>
      <c r="AL16" s="27">
        <f>AM15</f>
        <v/>
      </c>
      <c r="AM16" s="27" t="n"/>
      <c r="AN16" s="27" t="n"/>
      <c r="AO16" s="27" t="inlineStr">
        <is>
          <t>60mL/3s/30s</t>
        </is>
      </c>
      <c r="AP16" s="27" t="n"/>
      <c r="AQ16" s="27" t="n"/>
      <c r="AR16" s="27" t="n"/>
      <c r="AS16" s="27">
        <f>IF(AM16="", "", (AL16-AM16)*1000/(AK16-AK15))</f>
        <v/>
      </c>
      <c r="AT16" s="27">
        <f>IF(AS16="","",AS16/AP$2/3)</f>
        <v/>
      </c>
      <c r="AU16" s="27">
        <f>IF(AS16="","", 100*_xlfn.STDEV.P(AS15:AS16)/AVERAGE(AS15:AS16))</f>
        <v/>
      </c>
      <c r="AV16" s="22">
        <f t="array" ref="AV16">IF(AS16="","", IFERROR(((IF(AS$5&lt;&gt;"", AS$5*AK$5, 0) + SUMPRODUCT(--(AS$6:AS16&lt;&gt;""), AS$6:AS16, (AK$6:AK16-AK$5:AK15)))/1000), ""))</f>
        <v/>
      </c>
      <c r="AW16" s="27">
        <f>AW15+1</f>
        <v/>
      </c>
      <c r="AX16" s="27">
        <f>AY15</f>
        <v/>
      </c>
      <c r="AY16" s="27" t="n"/>
      <c r="AZ16" s="27" t="n"/>
      <c r="BA16" s="27" t="inlineStr">
        <is>
          <t>60mL/3s/30s</t>
        </is>
      </c>
      <c r="BB16" s="27" t="n"/>
      <c r="BC16" s="27" t="n"/>
      <c r="BD16" s="27" t="n"/>
      <c r="BE16" s="27">
        <f>IF(AY16="", "", (AX16-AY16)*1000/(AW16-AW15))</f>
        <v/>
      </c>
      <c r="BF16" s="27">
        <f>IF(BE16="","",BE16/BB$2/3)</f>
        <v/>
      </c>
      <c r="BG16" s="27">
        <f>IF(BE16="","", 100*_xlfn.STDEV.P(BE15:BE16)/AVERAGE(BE15:BE16))</f>
        <v/>
      </c>
      <c r="BH16" s="22">
        <f t="array" ref="BH16">IF(BE16="","", IFERROR(((IF(BE$5&lt;&gt;"", BE$5*AW$5, 0) + SUMPRODUCT(--(BE$6:BE16&lt;&gt;""), BE$6:BE16, (AW$6:AW16-AW$5:AW15)))/1000), ""))</f>
        <v/>
      </c>
      <c r="BI16" s="27">
        <f>BI15+1</f>
        <v/>
      </c>
      <c r="BJ16" s="27">
        <f>BK15</f>
        <v/>
      </c>
      <c r="BK16" s="27" t="n"/>
      <c r="BL16" s="27" t="n"/>
      <c r="BM16" s="27" t="inlineStr">
        <is>
          <t>60mL/3s/30s</t>
        </is>
      </c>
      <c r="BN16" s="27" t="n"/>
      <c r="BO16" s="27" t="n"/>
      <c r="BP16" s="27" t="n"/>
      <c r="BQ16" s="27">
        <f>IF(BK16="", "", (BJ16-BK16)*1000/(BI16-BI15))</f>
        <v/>
      </c>
      <c r="BR16" s="27">
        <f>IF(BQ16="","",BQ16/BN$2/3)</f>
        <v/>
      </c>
      <c r="BS16" s="27">
        <f>IF(BQ16="","", 100*_xlfn.STDEV.P(BQ15:BQ16)/AVERAGE(BQ15:BQ16))</f>
        <v/>
      </c>
      <c r="BT16" s="22">
        <f t="array" ref="BT16">IF(BQ16="","", IFERROR(((IF(BQ$5&lt;&gt;"", BQ$5*BI$5, 0) + SUMPRODUCT(--(BQ$6:BQ16&lt;&gt;""), BQ$6:BQ16, (BI$6:BI16-BI$5:BI15)))/1000), ""))</f>
        <v/>
      </c>
    </row>
    <row r="17">
      <c r="A17" s="26">
        <f>A16+1</f>
        <v/>
      </c>
      <c r="B17" s="27">
        <f>C16</f>
        <v/>
      </c>
      <c r="C17" s="27" t="n"/>
      <c r="D17" s="27" t="n"/>
      <c r="E17" s="27" t="inlineStr">
        <is>
          <t>60mL/3s/30s</t>
        </is>
      </c>
      <c r="F17" s="27" t="n"/>
      <c r="G17" s="27" t="n"/>
      <c r="H17" s="27" t="n"/>
      <c r="I17" s="27">
        <f>IF(C17="", "", (B17-C17)*1000/(A17-A16))</f>
        <v/>
      </c>
      <c r="J17" s="27">
        <f>IF(I17="","",I17/F$2/3)</f>
        <v/>
      </c>
      <c r="K17" s="27">
        <f>IF(I17="","", 100*_xlfn.STDEV.P(I16:I17)/AVERAGE(I16:I17))</f>
        <v/>
      </c>
      <c r="L17" s="22">
        <f t="array" ref="L17">IF(I17="","", IFERROR(((IF(I$5&lt;&gt;"", I$5*A$5, 0) + SUMPRODUCT(--(I$6:I17&lt;&gt;""), I$6:I17, (A$6:A17-A$5:A16)))/1000), ""))</f>
        <v/>
      </c>
      <c r="M17" s="27">
        <f>M16+1</f>
        <v/>
      </c>
      <c r="N17" s="27">
        <f>O16</f>
        <v/>
      </c>
      <c r="O17" s="27" t="n"/>
      <c r="P17" s="27" t="n"/>
      <c r="Q17" s="27" t="inlineStr">
        <is>
          <t>60mL/3s/30s</t>
        </is>
      </c>
      <c r="R17" s="27" t="n"/>
      <c r="S17" s="27" t="n"/>
      <c r="T17" s="27" t="n"/>
      <c r="U17" s="27">
        <f>IF(O17="", "", (N17-O17)*1000/(M17-M16))</f>
        <v/>
      </c>
      <c r="V17" s="27">
        <f>IF(U17="","",U17/R$2/3)</f>
        <v/>
      </c>
      <c r="W17" s="27">
        <f>IF(U17="","", 100*_xlfn.STDEV.P(U16:U17)/AVERAGE(U16:U17))</f>
        <v/>
      </c>
      <c r="X17" s="22">
        <f t="array" ref="X17">IF(U17="","", IFERROR(((IF(U$5&lt;&gt;"", U$5*M$5, 0) + SUMPRODUCT(--(U$6:U17&lt;&gt;""), U$6:U17, (M$6:M17-M$5:M16)))/1000), ""))</f>
        <v/>
      </c>
      <c r="Y17" s="27">
        <f>Y16+1</f>
        <v/>
      </c>
      <c r="Z17" s="27">
        <f>AA16</f>
        <v/>
      </c>
      <c r="AA17" s="27" t="n"/>
      <c r="AB17" s="27" t="n"/>
      <c r="AC17" s="27" t="inlineStr">
        <is>
          <t>60mL/3s/30s</t>
        </is>
      </c>
      <c r="AD17" s="27" t="n"/>
      <c r="AE17" s="27" t="n"/>
      <c r="AF17" s="27" t="n"/>
      <c r="AG17" s="27">
        <f>IF(AA17="", "", (Z17-AA17)*1000/(Y17-Y16))</f>
        <v/>
      </c>
      <c r="AH17" s="27">
        <f>IF(AG17="","",AG17/AD$2/3)</f>
        <v/>
      </c>
      <c r="AI17" s="27">
        <f>IF(AG17="","", 100*_xlfn.STDEV.P(AG16:AG17)/AVERAGE(AG16:AG17))</f>
        <v/>
      </c>
      <c r="AJ17" s="22">
        <f t="array" ref="AJ17">IF(AG17="","", IFERROR(((IF(AG$5&lt;&gt;"", AG$5*Y$5, 0) + SUMPRODUCT(--(AG$6:AG17&lt;&gt;""), AG$6:AG17, (Y$6:Y17-Y$5:Y16)))/1000), ""))</f>
        <v/>
      </c>
      <c r="AK17" s="27">
        <f>AK16+1</f>
        <v/>
      </c>
      <c r="AL17" s="27">
        <f>AM16</f>
        <v/>
      </c>
      <c r="AM17" s="27" t="n"/>
      <c r="AN17" s="27" t="n"/>
      <c r="AO17" s="27" t="inlineStr">
        <is>
          <t>60mL/3s/30s</t>
        </is>
      </c>
      <c r="AP17" s="27" t="n"/>
      <c r="AQ17" s="27" t="n"/>
      <c r="AR17" s="27" t="n"/>
      <c r="AS17" s="27">
        <f>IF(AM17="", "", (AL17-AM17)*1000/(AK17-AK16))</f>
        <v/>
      </c>
      <c r="AT17" s="27">
        <f>IF(AS17="","",AS17/AP$2/3)</f>
        <v/>
      </c>
      <c r="AU17" s="27">
        <f>IF(AS17="","", 100*_xlfn.STDEV.P(AS16:AS17)/AVERAGE(AS16:AS17))</f>
        <v/>
      </c>
      <c r="AV17" s="22">
        <f t="array" ref="AV17">IF(AS17="","", IFERROR(((IF(AS$5&lt;&gt;"", AS$5*AK$5, 0) + SUMPRODUCT(--(AS$6:AS17&lt;&gt;""), AS$6:AS17, (AK$6:AK17-AK$5:AK16)))/1000), ""))</f>
        <v/>
      </c>
      <c r="AW17" s="27">
        <f>AW16+1</f>
        <v/>
      </c>
      <c r="AX17" s="27">
        <f>AY16</f>
        <v/>
      </c>
      <c r="AY17" s="27" t="n"/>
      <c r="AZ17" s="27" t="n"/>
      <c r="BA17" s="27" t="inlineStr">
        <is>
          <t>60mL/3s/30s</t>
        </is>
      </c>
      <c r="BB17" s="27" t="n"/>
      <c r="BC17" s="27" t="n"/>
      <c r="BD17" s="27" t="n"/>
      <c r="BE17" s="27">
        <f>IF(AY17="", "", (AX17-AY17)*1000/(AW17-AW16))</f>
        <v/>
      </c>
      <c r="BF17" s="27">
        <f>IF(BE17="","",BE17/BB$2/3)</f>
        <v/>
      </c>
      <c r="BG17" s="27">
        <f>IF(BE17="","", 100*_xlfn.STDEV.P(BE16:BE17)/AVERAGE(BE16:BE17))</f>
        <v/>
      </c>
      <c r="BH17" s="22">
        <f t="array" ref="BH17">IF(BE17="","", IFERROR(((IF(BE$5&lt;&gt;"", BE$5*AW$5, 0) + SUMPRODUCT(--(BE$6:BE17&lt;&gt;""), BE$6:BE17, (AW$6:AW17-AW$5:AW16)))/1000), ""))</f>
        <v/>
      </c>
      <c r="BI17" s="27">
        <f>BI16+1</f>
        <v/>
      </c>
      <c r="BJ17" s="27">
        <f>BK16</f>
        <v/>
      </c>
      <c r="BK17" s="27" t="n"/>
      <c r="BL17" s="27" t="n"/>
      <c r="BM17" s="27" t="inlineStr">
        <is>
          <t>60mL/3s/30s</t>
        </is>
      </c>
      <c r="BN17" s="27" t="n"/>
      <c r="BO17" s="27" t="n"/>
      <c r="BP17" s="27" t="n"/>
      <c r="BQ17" s="27">
        <f>IF(BK17="", "", (BJ17-BK17)*1000/(BI17-BI16))</f>
        <v/>
      </c>
      <c r="BR17" s="27">
        <f>IF(BQ17="","",BQ17/BN$2/3)</f>
        <v/>
      </c>
      <c r="BS17" s="27">
        <f>IF(BQ17="","", 100*_xlfn.STDEV.P(BQ16:BQ17)/AVERAGE(BQ16:BQ17))</f>
        <v/>
      </c>
      <c r="BT17" s="22">
        <f t="array" ref="BT17">IF(BQ17="","", IFERROR(((IF(BQ$5&lt;&gt;"", BQ$5*BI$5, 0) + SUMPRODUCT(--(BQ$6:BQ17&lt;&gt;""), BQ$6:BQ17, (BI$6:BI17-BI$5:BI16)))/1000), ""))</f>
        <v/>
      </c>
    </row>
    <row r="18">
      <c r="A18" s="26">
        <f>A17+1</f>
        <v/>
      </c>
      <c r="B18" s="27">
        <f>C17</f>
        <v/>
      </c>
      <c r="C18" s="27" t="n"/>
      <c r="D18" s="27" t="n"/>
      <c r="E18" s="27" t="inlineStr">
        <is>
          <t>60mL/3s/30s</t>
        </is>
      </c>
      <c r="F18" s="27" t="n"/>
      <c r="G18" s="27" t="n"/>
      <c r="H18" s="27" t="n"/>
      <c r="I18" s="27">
        <f>IF(C18="", "", (B18-C18)*1000/(A18-A17))</f>
        <v/>
      </c>
      <c r="J18" s="27">
        <f>IF(I18="","",I18/F$2/3)</f>
        <v/>
      </c>
      <c r="K18" s="27">
        <f>IF(I18="","", 100*_xlfn.STDEV.P(I17:I18)/AVERAGE(I17:I18))</f>
        <v/>
      </c>
      <c r="L18" s="22">
        <f t="array" ref="L18">IF(I18="","", IFERROR(((IF(I$5&lt;&gt;"", I$5*A$5, 0) + SUMPRODUCT(--(I$6:I18&lt;&gt;""), I$6:I18, (A$6:A18-A$5:A17)))/1000), ""))</f>
        <v/>
      </c>
      <c r="M18" s="27">
        <f>M17+1</f>
        <v/>
      </c>
      <c r="N18" s="27">
        <f>O17</f>
        <v/>
      </c>
      <c r="O18" s="27" t="n"/>
      <c r="P18" s="27" t="n"/>
      <c r="Q18" s="27" t="inlineStr">
        <is>
          <t>60mL/3s/30s</t>
        </is>
      </c>
      <c r="R18" s="27" t="n"/>
      <c r="S18" s="27" t="n"/>
      <c r="T18" s="27" t="n"/>
      <c r="U18" s="27">
        <f>IF(O18="", "", (N18-O18)*1000/(M18-M17))</f>
        <v/>
      </c>
      <c r="V18" s="27">
        <f>IF(U18="","",U18/R$2/3)</f>
        <v/>
      </c>
      <c r="W18" s="27">
        <f>IF(U18="","", 100*_xlfn.STDEV.P(U17:U18)/AVERAGE(U17:U18))</f>
        <v/>
      </c>
      <c r="X18" s="22">
        <f t="array" ref="X18">IF(U18="","", IFERROR(((IF(U$5&lt;&gt;"", U$5*M$5, 0) + SUMPRODUCT(--(U$6:U18&lt;&gt;""), U$6:U18, (M$6:M18-M$5:M17)))/1000), ""))</f>
        <v/>
      </c>
      <c r="Y18" s="27">
        <f>Y17+1</f>
        <v/>
      </c>
      <c r="Z18" s="27">
        <f>AA17</f>
        <v/>
      </c>
      <c r="AA18" s="27" t="n"/>
      <c r="AB18" s="27" t="n"/>
      <c r="AC18" s="27" t="inlineStr">
        <is>
          <t>60mL/3s/30s</t>
        </is>
      </c>
      <c r="AD18" s="27" t="n"/>
      <c r="AE18" s="27" t="n"/>
      <c r="AF18" s="27" t="n"/>
      <c r="AG18" s="27">
        <f>IF(AA18="", "", (Z18-AA18)*1000/(Y18-Y17))</f>
        <v/>
      </c>
      <c r="AH18" s="27">
        <f>IF(AG18="","",AG18/AD$2/3)</f>
        <v/>
      </c>
      <c r="AI18" s="27">
        <f>IF(AG18="","", 100*_xlfn.STDEV.P(AG17:AG18)/AVERAGE(AG17:AG18))</f>
        <v/>
      </c>
      <c r="AJ18" s="22">
        <f t="array" ref="AJ18">IF(AG18="","", IFERROR(((IF(AG$5&lt;&gt;"", AG$5*Y$5, 0) + SUMPRODUCT(--(AG$6:AG18&lt;&gt;""), AG$6:AG18, (Y$6:Y18-Y$5:Y17)))/1000), ""))</f>
        <v/>
      </c>
      <c r="AK18" s="27">
        <f>AK17+1</f>
        <v/>
      </c>
      <c r="AL18" s="27">
        <f>AM17</f>
        <v/>
      </c>
      <c r="AM18" s="27" t="n"/>
      <c r="AN18" s="27" t="n"/>
      <c r="AO18" s="27" t="inlineStr">
        <is>
          <t>60mL/3s/30s</t>
        </is>
      </c>
      <c r="AP18" s="27" t="n"/>
      <c r="AQ18" s="27" t="n"/>
      <c r="AR18" s="27" t="n"/>
      <c r="AS18" s="27">
        <f>IF(AM18="", "", (AL18-AM18)*1000/(AK18-AK17))</f>
        <v/>
      </c>
      <c r="AT18" s="27">
        <f>IF(AS18="","",AS18/AP$2/3)</f>
        <v/>
      </c>
      <c r="AU18" s="27">
        <f>IF(AS18="","", 100*_xlfn.STDEV.P(AS17:AS18)/AVERAGE(AS17:AS18))</f>
        <v/>
      </c>
      <c r="AV18" s="22">
        <f t="array" ref="AV18">IF(AS18="","", IFERROR(((IF(AS$5&lt;&gt;"", AS$5*AK$5, 0) + SUMPRODUCT(--(AS$6:AS18&lt;&gt;""), AS$6:AS18, (AK$6:AK18-AK$5:AK17)))/1000), ""))</f>
        <v/>
      </c>
      <c r="AW18" s="27">
        <f>AW17+1</f>
        <v/>
      </c>
      <c r="AX18" s="27">
        <f>AY17</f>
        <v/>
      </c>
      <c r="AY18" s="27" t="n"/>
      <c r="AZ18" s="27" t="n"/>
      <c r="BA18" s="27" t="inlineStr">
        <is>
          <t>60mL/3s/30s</t>
        </is>
      </c>
      <c r="BB18" s="27" t="n"/>
      <c r="BC18" s="27" t="n"/>
      <c r="BD18" s="27" t="n"/>
      <c r="BE18" s="27">
        <f>IF(AY18="", "", (AX18-AY18)*1000/(AW18-AW17))</f>
        <v/>
      </c>
      <c r="BF18" s="27">
        <f>IF(BE18="","",BE18/BB$2/3)</f>
        <v/>
      </c>
      <c r="BG18" s="27">
        <f>IF(BE18="","", 100*_xlfn.STDEV.P(BE17:BE18)/AVERAGE(BE17:BE18))</f>
        <v/>
      </c>
      <c r="BH18" s="22">
        <f t="array" ref="BH18">IF(BE18="","", IFERROR(((IF(BE$5&lt;&gt;"", BE$5*AW$5, 0) + SUMPRODUCT(--(BE$6:BE18&lt;&gt;""), BE$6:BE18, (AW$6:AW18-AW$5:AW17)))/1000), ""))</f>
        <v/>
      </c>
      <c r="BI18" s="27">
        <f>BI17+1</f>
        <v/>
      </c>
      <c r="BJ18" s="27">
        <f>BK17</f>
        <v/>
      </c>
      <c r="BK18" s="27" t="n"/>
      <c r="BL18" s="27" t="n"/>
      <c r="BM18" s="27" t="inlineStr">
        <is>
          <t>60mL/3s/30s</t>
        </is>
      </c>
      <c r="BN18" s="27" t="n"/>
      <c r="BO18" s="27" t="n"/>
      <c r="BP18" s="27" t="n"/>
      <c r="BQ18" s="27">
        <f>IF(BK18="", "", (BJ18-BK18)*1000/(BI18-BI17))</f>
        <v/>
      </c>
      <c r="BR18" s="27">
        <f>IF(BQ18="","",BQ18/BN$2/3)</f>
        <v/>
      </c>
      <c r="BS18" s="27">
        <f>IF(BQ18="","", 100*_xlfn.STDEV.P(BQ17:BQ18)/AVERAGE(BQ17:BQ18))</f>
        <v/>
      </c>
      <c r="BT18" s="22">
        <f t="array" ref="BT18">IF(BQ18="","", IFERROR(((IF(BQ$5&lt;&gt;"", BQ$5*BI$5, 0) + SUMPRODUCT(--(BQ$6:BQ18&lt;&gt;""), BQ$6:BQ18, (BI$6:BI18-BI$5:BI17)))/1000), ""))</f>
        <v/>
      </c>
    </row>
    <row r="19">
      <c r="A19" s="26">
        <f>A18+1</f>
        <v/>
      </c>
      <c r="B19" s="27">
        <f>C18</f>
        <v/>
      </c>
      <c r="C19" s="27" t="n"/>
      <c r="D19" s="27" t="n"/>
      <c r="E19" s="27" t="inlineStr">
        <is>
          <t>60mL/3s/30s</t>
        </is>
      </c>
      <c r="F19" s="27" t="n"/>
      <c r="G19" s="27" t="n"/>
      <c r="H19" s="27" t="n"/>
      <c r="I19" s="27">
        <f>IF(C19="", "", (B19-C19)*1000/(A19-A18))</f>
        <v/>
      </c>
      <c r="J19" s="27">
        <f>IF(I19="","",I19/F$2/3)</f>
        <v/>
      </c>
      <c r="K19" s="27">
        <f>IF(I19="","", 100*_xlfn.STDEV.P(I18:I19)/AVERAGE(I18:I19))</f>
        <v/>
      </c>
      <c r="L19" s="22">
        <f t="array" ref="L19">IF(I19="","", IFERROR(((IF(I$5&lt;&gt;"", I$5*A$5, 0) + SUMPRODUCT(--(I$6:I19&lt;&gt;""), I$6:I19, (A$6:A19-A$5:A18)))/1000), ""))</f>
        <v/>
      </c>
      <c r="M19" s="27">
        <f>M18+1</f>
        <v/>
      </c>
      <c r="N19" s="27">
        <f>O18</f>
        <v/>
      </c>
      <c r="O19" s="27" t="n"/>
      <c r="P19" s="27" t="n"/>
      <c r="Q19" s="27" t="inlineStr">
        <is>
          <t>60mL/3s/30s</t>
        </is>
      </c>
      <c r="R19" s="27" t="n"/>
      <c r="S19" s="27" t="n"/>
      <c r="T19" s="27" t="n"/>
      <c r="U19" s="27">
        <f>IF(O19="", "", (N19-O19)*1000/(M19-M18))</f>
        <v/>
      </c>
      <c r="V19" s="27">
        <f>IF(U19="","",U19/R$2/3)</f>
        <v/>
      </c>
      <c r="W19" s="27">
        <f>IF(U19="","", 100*_xlfn.STDEV.P(U18:U19)/AVERAGE(U18:U19))</f>
        <v/>
      </c>
      <c r="X19" s="22">
        <f t="array" ref="X19">IF(U19="","", IFERROR(((IF(U$5&lt;&gt;"", U$5*M$5, 0) + SUMPRODUCT(--(U$6:U19&lt;&gt;""), U$6:U19, (M$6:M19-M$5:M18)))/1000), ""))</f>
        <v/>
      </c>
      <c r="Y19" s="27">
        <f>Y18+1</f>
        <v/>
      </c>
      <c r="Z19" s="27">
        <f>AA18</f>
        <v/>
      </c>
      <c r="AA19" s="27" t="n"/>
      <c r="AB19" s="27" t="n"/>
      <c r="AC19" s="27" t="inlineStr">
        <is>
          <t>60mL/3s/30s</t>
        </is>
      </c>
      <c r="AD19" s="27" t="n"/>
      <c r="AE19" s="27" t="n"/>
      <c r="AF19" s="27" t="n"/>
      <c r="AG19" s="27">
        <f>IF(AA19="", "", (Z19-AA19)*1000/(Y19-Y18))</f>
        <v/>
      </c>
      <c r="AH19" s="27">
        <f>IF(AG19="","",AG19/AD$2/3)</f>
        <v/>
      </c>
      <c r="AI19" s="27">
        <f>IF(AG19="","", 100*_xlfn.STDEV.P(AG18:AG19)/AVERAGE(AG18:AG19))</f>
        <v/>
      </c>
      <c r="AJ19" s="22">
        <f t="array" ref="AJ19">IF(AG19="","", IFERROR(((IF(AG$5&lt;&gt;"", AG$5*Y$5, 0) + SUMPRODUCT(--(AG$6:AG19&lt;&gt;""), AG$6:AG19, (Y$6:Y19-Y$5:Y18)))/1000), ""))</f>
        <v/>
      </c>
      <c r="AK19" s="27">
        <f>AK18+1</f>
        <v/>
      </c>
      <c r="AL19" s="27">
        <f>AM18</f>
        <v/>
      </c>
      <c r="AM19" s="27" t="n"/>
      <c r="AN19" s="27" t="n"/>
      <c r="AO19" s="27" t="inlineStr">
        <is>
          <t>60mL/3s/30s</t>
        </is>
      </c>
      <c r="AP19" s="27" t="n"/>
      <c r="AQ19" s="27" t="n"/>
      <c r="AR19" s="27" t="n"/>
      <c r="AS19" s="27">
        <f>IF(AM19="", "", (AL19-AM19)*1000/(AK19-AK18))</f>
        <v/>
      </c>
      <c r="AT19" s="27">
        <f>IF(AS19="","",AS19/AP$2/3)</f>
        <v/>
      </c>
      <c r="AU19" s="27">
        <f>IF(AS19="","", 100*_xlfn.STDEV.P(AS18:AS19)/AVERAGE(AS18:AS19))</f>
        <v/>
      </c>
      <c r="AV19" s="22">
        <f t="array" ref="AV19">IF(AS19="","", IFERROR(((IF(AS$5&lt;&gt;"", AS$5*AK$5, 0) + SUMPRODUCT(--(AS$6:AS19&lt;&gt;""), AS$6:AS19, (AK$6:AK19-AK$5:AK18)))/1000), ""))</f>
        <v/>
      </c>
      <c r="AW19" s="27">
        <f>AW18+1</f>
        <v/>
      </c>
      <c r="AX19" s="27">
        <f>AY18</f>
        <v/>
      </c>
      <c r="AY19" s="27" t="n"/>
      <c r="AZ19" s="27" t="n"/>
      <c r="BA19" s="27" t="inlineStr">
        <is>
          <t>60mL/3s/30s</t>
        </is>
      </c>
      <c r="BB19" s="27" t="n"/>
      <c r="BC19" s="27" t="n"/>
      <c r="BD19" s="27" t="n"/>
      <c r="BE19" s="27">
        <f>IF(AY19="", "", (AX19-AY19)*1000/(AW19-AW18))</f>
        <v/>
      </c>
      <c r="BF19" s="27">
        <f>IF(BE19="","",BE19/BB$2/3)</f>
        <v/>
      </c>
      <c r="BG19" s="27">
        <f>IF(BE19="","", 100*_xlfn.STDEV.P(BE18:BE19)/AVERAGE(BE18:BE19))</f>
        <v/>
      </c>
      <c r="BH19" s="22">
        <f t="array" ref="BH19">IF(BE19="","", IFERROR(((IF(BE$5&lt;&gt;"", BE$5*AW$5, 0) + SUMPRODUCT(--(BE$6:BE19&lt;&gt;""), BE$6:BE19, (AW$6:AW19-AW$5:AW18)))/1000), ""))</f>
        <v/>
      </c>
      <c r="BI19" s="27">
        <f>BI18+1</f>
        <v/>
      </c>
      <c r="BJ19" s="27">
        <f>BK18</f>
        <v/>
      </c>
      <c r="BK19" s="27" t="n"/>
      <c r="BL19" s="27" t="n"/>
      <c r="BM19" s="27" t="inlineStr">
        <is>
          <t>60mL/3s/30s</t>
        </is>
      </c>
      <c r="BN19" s="27" t="n"/>
      <c r="BO19" s="27" t="n"/>
      <c r="BP19" s="27" t="n"/>
      <c r="BQ19" s="27">
        <f>IF(BK19="", "", (BJ19-BK19)*1000/(BI19-BI18))</f>
        <v/>
      </c>
      <c r="BR19" s="27">
        <f>IF(BQ19="","",BQ19/BN$2/3)</f>
        <v/>
      </c>
      <c r="BS19" s="27">
        <f>IF(BQ19="","", 100*_xlfn.STDEV.P(BQ18:BQ19)/AVERAGE(BQ18:BQ19))</f>
        <v/>
      </c>
      <c r="BT19" s="22">
        <f t="array" ref="BT19">IF(BQ19="","", IFERROR(((IF(BQ$5&lt;&gt;"", BQ$5*BI$5, 0) + SUMPRODUCT(--(BQ$6:BQ19&lt;&gt;""), BQ$6:BQ19, (BI$6:BI19-BI$5:BI18)))/1000), ""))</f>
        <v/>
      </c>
    </row>
    <row r="20">
      <c r="A20" s="26">
        <f>A19+1</f>
        <v/>
      </c>
      <c r="B20" s="27">
        <f>C19</f>
        <v/>
      </c>
      <c r="C20" s="27" t="n"/>
      <c r="D20" s="27" t="n"/>
      <c r="E20" s="27" t="inlineStr">
        <is>
          <t>60mL/3s/30s</t>
        </is>
      </c>
      <c r="F20" s="27" t="n"/>
      <c r="G20" s="27" t="n"/>
      <c r="H20" s="27" t="n"/>
      <c r="I20" s="27">
        <f>IF(C20="", "", (B20-C20)*1000/(A20-A19))</f>
        <v/>
      </c>
      <c r="J20" s="27">
        <f>IF(I20="","",I20/F$2/3)</f>
        <v/>
      </c>
      <c r="K20" s="27">
        <f>IF(I20="","", 100*_xlfn.STDEV.P(I19:I20)/AVERAGE(I19:I20))</f>
        <v/>
      </c>
      <c r="L20" s="22">
        <f t="array" ref="L20">IF(I20="","", IFERROR(((IF(I$5&lt;&gt;"", I$5*A$5, 0) + SUMPRODUCT(--(I$6:I20&lt;&gt;""), I$6:I20, (A$6:A20-A$5:A19)))/1000), ""))</f>
        <v/>
      </c>
      <c r="M20" s="27">
        <f>M19+1</f>
        <v/>
      </c>
      <c r="N20" s="27">
        <f>O19</f>
        <v/>
      </c>
      <c r="O20" s="27" t="n"/>
      <c r="P20" s="27" t="n"/>
      <c r="Q20" s="27" t="inlineStr">
        <is>
          <t>60mL/3s/30s</t>
        </is>
      </c>
      <c r="R20" s="27" t="n"/>
      <c r="S20" s="27" t="n"/>
      <c r="T20" s="27" t="n"/>
      <c r="U20" s="27">
        <f>IF(O20="", "", (N20-O20)*1000/(M20-M19))</f>
        <v/>
      </c>
      <c r="V20" s="27">
        <f>IF(U20="","",U20/R$2/3)</f>
        <v/>
      </c>
      <c r="W20" s="27">
        <f>IF(U20="","", 100*_xlfn.STDEV.P(U19:U20)/AVERAGE(U19:U20))</f>
        <v/>
      </c>
      <c r="X20" s="22">
        <f t="array" ref="X20">IF(U20="","", IFERROR(((IF(U$5&lt;&gt;"", U$5*M$5, 0) + SUMPRODUCT(--(U$6:U20&lt;&gt;""), U$6:U20, (M$6:M20-M$5:M19)))/1000), ""))</f>
        <v/>
      </c>
      <c r="Y20" s="27">
        <f>Y19+1</f>
        <v/>
      </c>
      <c r="Z20" s="27">
        <f>AA19</f>
        <v/>
      </c>
      <c r="AA20" s="27" t="n"/>
      <c r="AB20" s="27" t="n"/>
      <c r="AC20" s="27" t="inlineStr">
        <is>
          <t>60mL/3s/30s</t>
        </is>
      </c>
      <c r="AD20" s="27" t="n"/>
      <c r="AE20" s="27" t="n"/>
      <c r="AF20" s="27" t="n"/>
      <c r="AG20" s="27">
        <f>IF(AA20="", "", (Z20-AA20)*1000/(Y20-Y19))</f>
        <v/>
      </c>
      <c r="AH20" s="27">
        <f>IF(AG20="","",AG20/AD$2/3)</f>
        <v/>
      </c>
      <c r="AI20" s="27">
        <f>IF(AG20="","", 100*_xlfn.STDEV.P(AG19:AG20)/AVERAGE(AG19:AG20))</f>
        <v/>
      </c>
      <c r="AJ20" s="22">
        <f t="array" ref="AJ20">IF(AG20="","", IFERROR(((IF(AG$5&lt;&gt;"", AG$5*Y$5, 0) + SUMPRODUCT(--(AG$6:AG20&lt;&gt;""), AG$6:AG20, (Y$6:Y20-Y$5:Y19)))/1000), ""))</f>
        <v/>
      </c>
      <c r="AK20" s="27">
        <f>AK19+1</f>
        <v/>
      </c>
      <c r="AL20" s="27">
        <f>AM19</f>
        <v/>
      </c>
      <c r="AM20" s="27" t="n"/>
      <c r="AN20" s="27" t="n"/>
      <c r="AO20" s="27" t="inlineStr">
        <is>
          <t>60mL/3s/30s</t>
        </is>
      </c>
      <c r="AP20" s="27" t="n"/>
      <c r="AQ20" s="27" t="n"/>
      <c r="AR20" s="27" t="n"/>
      <c r="AS20" s="27">
        <f>IF(AM20="", "", (AL20-AM20)*1000/(AK20-AK19))</f>
        <v/>
      </c>
      <c r="AT20" s="27">
        <f>IF(AS20="","",AS20/AP$2/3)</f>
        <v/>
      </c>
      <c r="AU20" s="27">
        <f>IF(AS20="","", 100*_xlfn.STDEV.P(AS19:AS20)/AVERAGE(AS19:AS20))</f>
        <v/>
      </c>
      <c r="AV20" s="22">
        <f t="array" ref="AV20">IF(AS20="","", IFERROR(((IF(AS$5&lt;&gt;"", AS$5*AK$5, 0) + SUMPRODUCT(--(AS$6:AS20&lt;&gt;""), AS$6:AS20, (AK$6:AK20-AK$5:AK19)))/1000), ""))</f>
        <v/>
      </c>
      <c r="AW20" s="27">
        <f>AW19+1</f>
        <v/>
      </c>
      <c r="AX20" s="27">
        <f>AY19</f>
        <v/>
      </c>
      <c r="AY20" s="27" t="n"/>
      <c r="AZ20" s="27" t="n"/>
      <c r="BA20" s="27" t="inlineStr">
        <is>
          <t>60mL/3s/30s</t>
        </is>
      </c>
      <c r="BB20" s="27" t="n"/>
      <c r="BC20" s="27" t="n"/>
      <c r="BD20" s="27" t="n"/>
      <c r="BE20" s="27">
        <f>IF(AY20="", "", (AX20-AY20)*1000/(AW20-AW19))</f>
        <v/>
      </c>
      <c r="BF20" s="27">
        <f>IF(BE20="","",BE20/BB$2/3)</f>
        <v/>
      </c>
      <c r="BG20" s="27">
        <f>IF(BE20="","", 100*_xlfn.STDEV.P(BE19:BE20)/AVERAGE(BE19:BE20))</f>
        <v/>
      </c>
      <c r="BH20" s="22">
        <f t="array" ref="BH20">IF(BE20="","", IFERROR(((IF(BE$5&lt;&gt;"", BE$5*AW$5, 0) + SUMPRODUCT(--(BE$6:BE20&lt;&gt;""), BE$6:BE20, (AW$6:AW20-AW$5:AW19)))/1000), ""))</f>
        <v/>
      </c>
      <c r="BI20" s="27">
        <f>BI19+1</f>
        <v/>
      </c>
      <c r="BJ20" s="27">
        <f>BK19</f>
        <v/>
      </c>
      <c r="BK20" s="27" t="n"/>
      <c r="BL20" s="27" t="n"/>
      <c r="BM20" s="27" t="inlineStr">
        <is>
          <t>60mL/3s/30s</t>
        </is>
      </c>
      <c r="BN20" s="27" t="n"/>
      <c r="BO20" s="27" t="n"/>
      <c r="BP20" s="27" t="n"/>
      <c r="BQ20" s="27">
        <f>IF(BK20="", "", (BJ20-BK20)*1000/(BI20-BI19))</f>
        <v/>
      </c>
      <c r="BR20" s="27">
        <f>IF(BQ20="","",BQ20/BN$2/3)</f>
        <v/>
      </c>
      <c r="BS20" s="27">
        <f>IF(BQ20="","", 100*_xlfn.STDEV.P(BQ19:BQ20)/AVERAGE(BQ19:BQ20))</f>
        <v/>
      </c>
      <c r="BT20" s="22">
        <f t="array" ref="BT20">IF(BQ20="","", IFERROR(((IF(BQ$5&lt;&gt;"", BQ$5*BI$5, 0) + SUMPRODUCT(--(BQ$6:BQ20&lt;&gt;""), BQ$6:BQ20, (BI$6:BI20-BI$5:BI19)))/1000), ""))</f>
        <v/>
      </c>
    </row>
    <row r="21">
      <c r="A21" s="26">
        <f>A20+1</f>
        <v/>
      </c>
      <c r="B21" s="27">
        <f>C20</f>
        <v/>
      </c>
      <c r="C21" s="27" t="n"/>
      <c r="D21" s="27" t="n"/>
      <c r="E21" s="27" t="inlineStr">
        <is>
          <t>60mL/3s/30s</t>
        </is>
      </c>
      <c r="F21" s="27" t="n"/>
      <c r="G21" s="27" t="n"/>
      <c r="H21" s="27" t="n"/>
      <c r="I21" s="27">
        <f>IF(C21="", "", (B21-C21)*1000/(A21-A20))</f>
        <v/>
      </c>
      <c r="J21" s="27">
        <f>IF(I21="","",I21/F$2/3)</f>
        <v/>
      </c>
      <c r="K21" s="27">
        <f>IF(I21="","", 100*_xlfn.STDEV.P(I20:I21)/AVERAGE(I20:I21))</f>
        <v/>
      </c>
      <c r="L21" s="22">
        <f t="array" ref="L21">IF(I21="","", IFERROR(((IF(I$5&lt;&gt;"", I$5*A$5, 0) + SUMPRODUCT(--(I$6:I21&lt;&gt;""), I$6:I21, (A$6:A21-A$5:A20)))/1000), ""))</f>
        <v/>
      </c>
      <c r="M21" s="27">
        <f>M20+1</f>
        <v/>
      </c>
      <c r="N21" s="27">
        <f>O20</f>
        <v/>
      </c>
      <c r="O21" s="27" t="n"/>
      <c r="P21" s="27" t="n"/>
      <c r="Q21" s="27" t="inlineStr">
        <is>
          <t>60mL/3s/30s</t>
        </is>
      </c>
      <c r="R21" s="27" t="n"/>
      <c r="S21" s="27" t="n"/>
      <c r="T21" s="27" t="n"/>
      <c r="U21" s="27">
        <f>IF(O21="", "", (N21-O21)*1000/(M21-M20))</f>
        <v/>
      </c>
      <c r="V21" s="27">
        <f>IF(U21="","",U21/R$2/3)</f>
        <v/>
      </c>
      <c r="W21" s="27">
        <f>IF(U21="","", 100*_xlfn.STDEV.P(U20:U21)/AVERAGE(U20:U21))</f>
        <v/>
      </c>
      <c r="X21" s="22">
        <f t="array" ref="X21">IF(U21="","", IFERROR(((IF(U$5&lt;&gt;"", U$5*M$5, 0) + SUMPRODUCT(--(U$6:U21&lt;&gt;""), U$6:U21, (M$6:M21-M$5:M20)))/1000), ""))</f>
        <v/>
      </c>
      <c r="Y21" s="27">
        <f>Y20+1</f>
        <v/>
      </c>
      <c r="Z21" s="27">
        <f>AA20</f>
        <v/>
      </c>
      <c r="AA21" s="27" t="n"/>
      <c r="AB21" s="27" t="n"/>
      <c r="AC21" s="27" t="inlineStr">
        <is>
          <t>60mL/3s/30s</t>
        </is>
      </c>
      <c r="AD21" s="27" t="n"/>
      <c r="AE21" s="27" t="n"/>
      <c r="AF21" s="27" t="n"/>
      <c r="AG21" s="27">
        <f>IF(AA21="", "", (Z21-AA21)*1000/(Y21-Y20))</f>
        <v/>
      </c>
      <c r="AH21" s="27">
        <f>IF(AG21="","",AG21/AD$2/3)</f>
        <v/>
      </c>
      <c r="AI21" s="27">
        <f>IF(AG21="","", 100*_xlfn.STDEV.P(AG20:AG21)/AVERAGE(AG20:AG21))</f>
        <v/>
      </c>
      <c r="AJ21" s="22">
        <f t="array" ref="AJ21">IF(AG21="","", IFERROR(((IF(AG$5&lt;&gt;"", AG$5*Y$5, 0) + SUMPRODUCT(--(AG$6:AG21&lt;&gt;""), AG$6:AG21, (Y$6:Y21-Y$5:Y20)))/1000), ""))</f>
        <v/>
      </c>
      <c r="AK21" s="27">
        <f>AK20+1</f>
        <v/>
      </c>
      <c r="AL21" s="27">
        <f>AM20</f>
        <v/>
      </c>
      <c r="AM21" s="27" t="n"/>
      <c r="AN21" s="27" t="n"/>
      <c r="AO21" s="27" t="inlineStr">
        <is>
          <t>60mL/3s/30s</t>
        </is>
      </c>
      <c r="AP21" s="27" t="n"/>
      <c r="AQ21" s="27" t="n"/>
      <c r="AR21" s="27" t="n"/>
      <c r="AS21" s="27">
        <f>IF(AM21="", "", (AL21-AM21)*1000/(AK21-AK20))</f>
        <v/>
      </c>
      <c r="AT21" s="27">
        <f>IF(AS21="","",AS21/AP$2/3)</f>
        <v/>
      </c>
      <c r="AU21" s="27">
        <f>IF(AS21="","", 100*_xlfn.STDEV.P(AS20:AS21)/AVERAGE(AS20:AS21))</f>
        <v/>
      </c>
      <c r="AV21" s="22">
        <f t="array" ref="AV21">IF(AS21="","", IFERROR(((IF(AS$5&lt;&gt;"", AS$5*AK$5, 0) + SUMPRODUCT(--(AS$6:AS21&lt;&gt;""), AS$6:AS21, (AK$6:AK21-AK$5:AK20)))/1000), ""))</f>
        <v/>
      </c>
      <c r="AW21" s="27">
        <f>AW20+1</f>
        <v/>
      </c>
      <c r="AX21" s="27">
        <f>AY20</f>
        <v/>
      </c>
      <c r="AY21" s="27" t="n"/>
      <c r="AZ21" s="27" t="n"/>
      <c r="BA21" s="27" t="inlineStr">
        <is>
          <t>60mL/3s/30s</t>
        </is>
      </c>
      <c r="BB21" s="27" t="n"/>
      <c r="BC21" s="27" t="n"/>
      <c r="BD21" s="27" t="n"/>
      <c r="BE21" s="27">
        <f>IF(AY21="", "", (AX21-AY21)*1000/(AW21-AW20))</f>
        <v/>
      </c>
      <c r="BF21" s="27">
        <f>IF(BE21="","",BE21/BB$2/3)</f>
        <v/>
      </c>
      <c r="BG21" s="27">
        <f>IF(BE21="","", 100*_xlfn.STDEV.P(BE20:BE21)/AVERAGE(BE20:BE21))</f>
        <v/>
      </c>
      <c r="BH21" s="22">
        <f t="array" ref="BH21">IF(BE21="","", IFERROR(((IF(BE$5&lt;&gt;"", BE$5*AW$5, 0) + SUMPRODUCT(--(BE$6:BE21&lt;&gt;""), BE$6:BE21, (AW$6:AW21-AW$5:AW20)))/1000), ""))</f>
        <v/>
      </c>
      <c r="BI21" s="27">
        <f>BI20+1</f>
        <v/>
      </c>
      <c r="BJ21" s="27">
        <f>BK20</f>
        <v/>
      </c>
      <c r="BK21" s="27" t="n"/>
      <c r="BL21" s="27" t="n"/>
      <c r="BM21" s="27" t="inlineStr">
        <is>
          <t>60mL/3s/30s</t>
        </is>
      </c>
      <c r="BN21" s="27" t="n"/>
      <c r="BO21" s="27" t="n"/>
      <c r="BP21" s="27" t="n"/>
      <c r="BQ21" s="27">
        <f>IF(BK21="", "", (BJ21-BK21)*1000/(BI21-BI20))</f>
        <v/>
      </c>
      <c r="BR21" s="27">
        <f>IF(BQ21="","",BQ21/BN$2/3)</f>
        <v/>
      </c>
      <c r="BS21" s="27">
        <f>IF(BQ21="","", 100*_xlfn.STDEV.P(BQ20:BQ21)/AVERAGE(BQ20:BQ21))</f>
        <v/>
      </c>
      <c r="BT21" s="22">
        <f t="array" ref="BT21">IF(BQ21="","", IFERROR(((IF(BQ$5&lt;&gt;"", BQ$5*BI$5, 0) + SUMPRODUCT(--(BQ$6:BQ21&lt;&gt;""), BQ$6:BQ21, (BI$6:BI21-BI$5:BI20)))/1000), ""))</f>
        <v/>
      </c>
    </row>
    <row r="22">
      <c r="A22" s="26">
        <f>A21+1</f>
        <v/>
      </c>
      <c r="B22" s="27">
        <f>C21</f>
        <v/>
      </c>
      <c r="C22" s="27" t="n"/>
      <c r="D22" s="27" t="n"/>
      <c r="E22" s="27" t="inlineStr">
        <is>
          <t>60mL/3s/30s</t>
        </is>
      </c>
      <c r="F22" s="27" t="n"/>
      <c r="G22" s="27" t="n"/>
      <c r="H22" s="27" t="n"/>
      <c r="I22" s="27">
        <f>IF(C22="", "", (B22-C22)*1000/(A22-A21))</f>
        <v/>
      </c>
      <c r="J22" s="27">
        <f>IF(I22="","",I22/F$2/3)</f>
        <v/>
      </c>
      <c r="K22" s="27">
        <f>IF(I22="","", 100*_xlfn.STDEV.P(I21:I22)/AVERAGE(I21:I22))</f>
        <v/>
      </c>
      <c r="L22" s="22">
        <f t="array" ref="L22">IF(I22="","", IFERROR(((IF(I$5&lt;&gt;"", I$5*A$5, 0) + SUMPRODUCT(--(I$6:I22&lt;&gt;""), I$6:I22, (A$6:A22-A$5:A21)))/1000), ""))</f>
        <v/>
      </c>
      <c r="M22" s="27">
        <f>M21+1</f>
        <v/>
      </c>
      <c r="N22" s="27">
        <f>O21</f>
        <v/>
      </c>
      <c r="O22" s="27" t="n"/>
      <c r="P22" s="27" t="n"/>
      <c r="Q22" s="27" t="inlineStr">
        <is>
          <t>60mL/3s/30s</t>
        </is>
      </c>
      <c r="R22" s="27" t="n"/>
      <c r="S22" s="27" t="n"/>
      <c r="T22" s="27" t="n"/>
      <c r="U22" s="27">
        <f>IF(O22="", "", (N22-O22)*1000/(M22-M21))</f>
        <v/>
      </c>
      <c r="V22" s="27">
        <f>IF(U22="","",U22/R$2/3)</f>
        <v/>
      </c>
      <c r="W22" s="27">
        <f>IF(U22="","", 100*_xlfn.STDEV.P(U21:U22)/AVERAGE(U21:U22))</f>
        <v/>
      </c>
      <c r="X22" s="22">
        <f t="array" ref="X22">IF(U22="","", IFERROR(((IF(U$5&lt;&gt;"", U$5*M$5, 0) + SUMPRODUCT(--(U$6:U22&lt;&gt;""), U$6:U22, (M$6:M22-M$5:M21)))/1000), ""))</f>
        <v/>
      </c>
      <c r="Y22" s="27">
        <f>Y21+1</f>
        <v/>
      </c>
      <c r="Z22" s="27">
        <f>AA21</f>
        <v/>
      </c>
      <c r="AA22" s="27" t="n"/>
      <c r="AB22" s="27" t="n"/>
      <c r="AC22" s="27" t="inlineStr">
        <is>
          <t>60mL/3s/30s</t>
        </is>
      </c>
      <c r="AD22" s="27" t="n"/>
      <c r="AE22" s="27" t="n"/>
      <c r="AF22" s="27" t="n"/>
      <c r="AG22" s="27">
        <f>IF(AA22="", "", (Z22-AA22)*1000/(Y22-Y21))</f>
        <v/>
      </c>
      <c r="AH22" s="27">
        <f>IF(AG22="","",AG22/AD$2/3)</f>
        <v/>
      </c>
      <c r="AI22" s="27">
        <f>IF(AG22="","", 100*_xlfn.STDEV.P(AG21:AG22)/AVERAGE(AG21:AG22))</f>
        <v/>
      </c>
      <c r="AJ22" s="22">
        <f t="array" ref="AJ22">IF(AG22="","", IFERROR(((IF(AG$5&lt;&gt;"", AG$5*Y$5, 0) + SUMPRODUCT(--(AG$6:AG22&lt;&gt;""), AG$6:AG22, (Y$6:Y22-Y$5:Y21)))/1000), ""))</f>
        <v/>
      </c>
      <c r="AK22" s="27">
        <f>AK21+1</f>
        <v/>
      </c>
      <c r="AL22" s="27">
        <f>AM21</f>
        <v/>
      </c>
      <c r="AM22" s="27" t="n"/>
      <c r="AN22" s="27" t="n"/>
      <c r="AO22" s="27" t="inlineStr">
        <is>
          <t>60mL/3s/30s</t>
        </is>
      </c>
      <c r="AP22" s="27" t="n"/>
      <c r="AQ22" s="27" t="n"/>
      <c r="AR22" s="27" t="n"/>
      <c r="AS22" s="27">
        <f>IF(AM22="", "", (AL22-AM22)*1000/(AK22-AK21))</f>
        <v/>
      </c>
      <c r="AT22" s="27">
        <f>IF(AS22="","",AS22/AP$2/3)</f>
        <v/>
      </c>
      <c r="AU22" s="27">
        <f>IF(AS22="","", 100*_xlfn.STDEV.P(AS21:AS22)/AVERAGE(AS21:AS22))</f>
        <v/>
      </c>
      <c r="AV22" s="22">
        <f t="array" ref="AV22">IF(AS22="","", IFERROR(((IF(AS$5&lt;&gt;"", AS$5*AK$5, 0) + SUMPRODUCT(--(AS$6:AS22&lt;&gt;""), AS$6:AS22, (AK$6:AK22-AK$5:AK21)))/1000), ""))</f>
        <v/>
      </c>
      <c r="AW22" s="27">
        <f>AW21+1</f>
        <v/>
      </c>
      <c r="AX22" s="27">
        <f>AY21</f>
        <v/>
      </c>
      <c r="AY22" s="27" t="n"/>
      <c r="AZ22" s="27" t="n"/>
      <c r="BA22" s="27" t="inlineStr">
        <is>
          <t>60mL/3s/30s</t>
        </is>
      </c>
      <c r="BB22" s="27" t="n"/>
      <c r="BC22" s="27" t="n"/>
      <c r="BD22" s="27" t="n"/>
      <c r="BE22" s="27">
        <f>IF(AY22="", "", (AX22-AY22)*1000/(AW22-AW21))</f>
        <v/>
      </c>
      <c r="BF22" s="27">
        <f>IF(BE22="","",BE22/BB$2/3)</f>
        <v/>
      </c>
      <c r="BG22" s="27">
        <f>IF(BE22="","", 100*_xlfn.STDEV.P(BE21:BE22)/AVERAGE(BE21:BE22))</f>
        <v/>
      </c>
      <c r="BH22" s="22">
        <f t="array" ref="BH22">IF(BE22="","", IFERROR(((IF(BE$5&lt;&gt;"", BE$5*AW$5, 0) + SUMPRODUCT(--(BE$6:BE22&lt;&gt;""), BE$6:BE22, (AW$6:AW22-AW$5:AW21)))/1000), ""))</f>
        <v/>
      </c>
      <c r="BI22" s="27">
        <f>BI21+1</f>
        <v/>
      </c>
      <c r="BJ22" s="27">
        <f>BK21</f>
        <v/>
      </c>
      <c r="BK22" s="27" t="n"/>
      <c r="BL22" s="27" t="n"/>
      <c r="BM22" s="27" t="inlineStr">
        <is>
          <t>60mL/3s/30s</t>
        </is>
      </c>
      <c r="BN22" s="27" t="n"/>
      <c r="BO22" s="27" t="n"/>
      <c r="BP22" s="27" t="n"/>
      <c r="BQ22" s="27">
        <f>IF(BK22="", "", (BJ22-BK22)*1000/(BI22-BI21))</f>
        <v/>
      </c>
      <c r="BR22" s="27">
        <f>IF(BQ22="","",BQ22/BN$2/3)</f>
        <v/>
      </c>
      <c r="BS22" s="27">
        <f>IF(BQ22="","", 100*_xlfn.STDEV.P(BQ21:BQ22)/AVERAGE(BQ21:BQ22))</f>
        <v/>
      </c>
      <c r="BT22" s="22">
        <f t="array" ref="BT22">IF(BQ22="","", IFERROR(((IF(BQ$5&lt;&gt;"", BQ$5*BI$5, 0) + SUMPRODUCT(--(BQ$6:BQ22&lt;&gt;""), BQ$6:BQ22, (BI$6:BI22-BI$5:BI21)))/1000), ""))</f>
        <v/>
      </c>
    </row>
    <row r="23">
      <c r="A23" s="26">
        <f>A22+1</f>
        <v/>
      </c>
      <c r="B23" s="27">
        <f>C22</f>
        <v/>
      </c>
      <c r="C23" s="27" t="n"/>
      <c r="D23" s="27" t="n"/>
      <c r="E23" s="27" t="inlineStr">
        <is>
          <t>60mL/3s/30s</t>
        </is>
      </c>
      <c r="F23" s="27" t="n"/>
      <c r="G23" s="27" t="n"/>
      <c r="H23" s="27" t="n"/>
      <c r="I23" s="27">
        <f>IF(C23="", "", (B23-C23)*1000/(A23-A22))</f>
        <v/>
      </c>
      <c r="J23" s="27">
        <f>IF(I23="","",I23/F$2/3)</f>
        <v/>
      </c>
      <c r="K23" s="27">
        <f>IF(I23="","", 100*_xlfn.STDEV.P(I22:I23)/AVERAGE(I22:I23))</f>
        <v/>
      </c>
      <c r="L23" s="22">
        <f t="array" ref="L23">IF(I23="","", IFERROR(((IF(I$5&lt;&gt;"", I$5*A$5, 0) + SUMPRODUCT(--(I$6:I23&lt;&gt;""), I$6:I23, (A$6:A23-A$5:A22)))/1000), ""))</f>
        <v/>
      </c>
      <c r="M23" s="27">
        <f>M22+1</f>
        <v/>
      </c>
      <c r="N23" s="27">
        <f>O22</f>
        <v/>
      </c>
      <c r="O23" s="27" t="n"/>
      <c r="P23" s="27" t="n"/>
      <c r="Q23" s="27" t="inlineStr">
        <is>
          <t>60mL/3s/30s</t>
        </is>
      </c>
      <c r="R23" s="27" t="n"/>
      <c r="S23" s="27" t="n"/>
      <c r="T23" s="27" t="n"/>
      <c r="U23" s="27">
        <f>IF(O23="", "", (N23-O23)*1000/(M23-M22))</f>
        <v/>
      </c>
      <c r="V23" s="27">
        <f>IF(U23="","",U23/R$2/3)</f>
        <v/>
      </c>
      <c r="W23" s="27">
        <f>IF(U23="","", 100*_xlfn.STDEV.P(U22:U23)/AVERAGE(U22:U23))</f>
        <v/>
      </c>
      <c r="X23" s="22">
        <f t="array" ref="X23">IF(U23="","", IFERROR(((IF(U$5&lt;&gt;"", U$5*M$5, 0) + SUMPRODUCT(--(U$6:U23&lt;&gt;""), U$6:U23, (M$6:M23-M$5:M22)))/1000), ""))</f>
        <v/>
      </c>
      <c r="Y23" s="27">
        <f>Y22+1</f>
        <v/>
      </c>
      <c r="Z23" s="27">
        <f>AA22</f>
        <v/>
      </c>
      <c r="AA23" s="27" t="n"/>
      <c r="AB23" s="27" t="n"/>
      <c r="AC23" s="27" t="inlineStr">
        <is>
          <t>60mL/3s/30s</t>
        </is>
      </c>
      <c r="AD23" s="27" t="n"/>
      <c r="AE23" s="27" t="n"/>
      <c r="AF23" s="27" t="n"/>
      <c r="AG23" s="27">
        <f>IF(AA23="", "", (Z23-AA23)*1000/(Y23-Y22))</f>
        <v/>
      </c>
      <c r="AH23" s="27">
        <f>IF(AG23="","",AG23/AD$2/3)</f>
        <v/>
      </c>
      <c r="AI23" s="27">
        <f>IF(AG23="","", 100*_xlfn.STDEV.P(AG22:AG23)/AVERAGE(AG22:AG23))</f>
        <v/>
      </c>
      <c r="AJ23" s="22">
        <f t="array" ref="AJ23">IF(AG23="","", IFERROR(((IF(AG$5&lt;&gt;"", AG$5*Y$5, 0) + SUMPRODUCT(--(AG$6:AG23&lt;&gt;""), AG$6:AG23, (Y$6:Y23-Y$5:Y22)))/1000), ""))</f>
        <v/>
      </c>
      <c r="AK23" s="27">
        <f>AK22+1</f>
        <v/>
      </c>
      <c r="AL23" s="27">
        <f>AM22</f>
        <v/>
      </c>
      <c r="AM23" s="27" t="n"/>
      <c r="AN23" s="27" t="n"/>
      <c r="AO23" s="27" t="inlineStr">
        <is>
          <t>60mL/3s/30s</t>
        </is>
      </c>
      <c r="AP23" s="27" t="n"/>
      <c r="AQ23" s="27" t="n"/>
      <c r="AR23" s="27" t="n"/>
      <c r="AS23" s="27">
        <f>IF(AM23="", "", (AL23-AM23)*1000/(AK23-AK22))</f>
        <v/>
      </c>
      <c r="AT23" s="27">
        <f>IF(AS23="","",AS23/AP$2/3)</f>
        <v/>
      </c>
      <c r="AU23" s="27">
        <f>IF(AS23="","", 100*_xlfn.STDEV.P(AS22:AS23)/AVERAGE(AS22:AS23))</f>
        <v/>
      </c>
      <c r="AV23" s="22">
        <f t="array" ref="AV23">IF(AS23="","", IFERROR(((IF(AS$5&lt;&gt;"", AS$5*AK$5, 0) + SUMPRODUCT(--(AS$6:AS23&lt;&gt;""), AS$6:AS23, (AK$6:AK23-AK$5:AK22)))/1000), ""))</f>
        <v/>
      </c>
      <c r="AW23" s="27">
        <f>AW22+1</f>
        <v/>
      </c>
      <c r="AX23" s="27">
        <f>AY22</f>
        <v/>
      </c>
      <c r="AY23" s="27" t="n"/>
      <c r="AZ23" s="27" t="n"/>
      <c r="BA23" s="27" t="inlineStr">
        <is>
          <t>60mL/3s/30s</t>
        </is>
      </c>
      <c r="BB23" s="27" t="n"/>
      <c r="BC23" s="27" t="n"/>
      <c r="BD23" s="27" t="n"/>
      <c r="BE23" s="27">
        <f>IF(AY23="", "", (AX23-AY23)*1000/(AW23-AW22))</f>
        <v/>
      </c>
      <c r="BF23" s="27">
        <f>IF(BE23="","",BE23/BB$2/3)</f>
        <v/>
      </c>
      <c r="BG23" s="27">
        <f>IF(BE23="","", 100*_xlfn.STDEV.P(BE22:BE23)/AVERAGE(BE22:BE23))</f>
        <v/>
      </c>
      <c r="BH23" s="22">
        <f t="array" ref="BH23">IF(BE23="","", IFERROR(((IF(BE$5&lt;&gt;"", BE$5*AW$5, 0) + SUMPRODUCT(--(BE$6:BE23&lt;&gt;""), BE$6:BE23, (AW$6:AW23-AW$5:AW22)))/1000), ""))</f>
        <v/>
      </c>
      <c r="BI23" s="27">
        <f>BI22+1</f>
        <v/>
      </c>
      <c r="BJ23" s="27">
        <f>BK22</f>
        <v/>
      </c>
      <c r="BK23" s="27" t="n"/>
      <c r="BL23" s="27" t="n"/>
      <c r="BM23" s="27" t="inlineStr">
        <is>
          <t>60mL/3s/30s</t>
        </is>
      </c>
      <c r="BN23" s="27" t="n"/>
      <c r="BO23" s="27" t="n"/>
      <c r="BP23" s="27" t="n"/>
      <c r="BQ23" s="27">
        <f>IF(BK23="", "", (BJ23-BK23)*1000/(BI23-BI22))</f>
        <v/>
      </c>
      <c r="BR23" s="27">
        <f>IF(BQ23="","",BQ23/BN$2/3)</f>
        <v/>
      </c>
      <c r="BS23" s="27">
        <f>IF(BQ23="","", 100*_xlfn.STDEV.P(BQ22:BQ23)/AVERAGE(BQ22:BQ23))</f>
        <v/>
      </c>
      <c r="BT23" s="22">
        <f t="array" ref="BT23">IF(BQ23="","", IFERROR(((IF(BQ$5&lt;&gt;"", BQ$5*BI$5, 0) + SUMPRODUCT(--(BQ$6:BQ23&lt;&gt;""), BQ$6:BQ23, (BI$6:BI23-BI$5:BI22)))/1000), ""))</f>
        <v/>
      </c>
    </row>
    <row r="24">
      <c r="A24" s="28">
        <f>A23+1</f>
        <v/>
      </c>
      <c r="B24" s="29">
        <f>C23</f>
        <v/>
      </c>
      <c r="C24" s="29" t="n"/>
      <c r="D24" s="29" t="n"/>
      <c r="E24" s="29" t="inlineStr">
        <is>
          <t>60mL/3s/30s</t>
        </is>
      </c>
      <c r="F24" s="29" t="n"/>
      <c r="G24" s="29" t="n"/>
      <c r="H24" s="29" t="n"/>
      <c r="I24" s="29">
        <f>IF(C24="", "", (B24-C24)*1000/(A24-A23))</f>
        <v/>
      </c>
      <c r="J24" s="27">
        <f>IF(I24="","",I24/F$2/3)</f>
        <v/>
      </c>
      <c r="K24" s="29">
        <f>IF(I24="","", 100*_xlfn.STDEV.P(I23:I24)/AVERAGE(I23:I24))</f>
        <v/>
      </c>
      <c r="L24" s="30">
        <f t="array" ref="L24">IF(I24="","", IFERROR(((IF(I$5&lt;&gt;"", I$5*A$5, 0) + SUMPRODUCT(--(I$6:I24&lt;&gt;""), I$6:I24, (A$6:A24-A$5:A23)))/1000), ""))</f>
        <v/>
      </c>
      <c r="M24" s="29">
        <f>M23+1</f>
        <v/>
      </c>
      <c r="N24" s="29">
        <f>O23</f>
        <v/>
      </c>
      <c r="O24" s="29" t="n"/>
      <c r="P24" s="29" t="n"/>
      <c r="Q24" s="29" t="inlineStr">
        <is>
          <t>60mL/3s/30s</t>
        </is>
      </c>
      <c r="R24" s="29" t="n"/>
      <c r="S24" s="29" t="n"/>
      <c r="T24" s="29" t="n"/>
      <c r="U24" s="29">
        <f>IF(O24="", "", (N24-O24)*1000/(M24-M23))</f>
        <v/>
      </c>
      <c r="V24" s="27">
        <f>IF(U24="","",U24/R$2/3)</f>
        <v/>
      </c>
      <c r="W24" s="29">
        <f>IF(U24="","", 100*_xlfn.STDEV.P(U23:U24)/AVERAGE(U23:U24))</f>
        <v/>
      </c>
      <c r="X24" s="30">
        <f t="array" ref="X24">IF(U24="","", IFERROR(((IF(U$5&lt;&gt;"", U$5*M$5, 0) + SUMPRODUCT(--(U$6:U24&lt;&gt;""), U$6:U24, (M$6:M24-M$5:M23)))/1000), ""))</f>
        <v/>
      </c>
      <c r="Y24" s="29">
        <f>Y23+1</f>
        <v/>
      </c>
      <c r="Z24" s="29">
        <f>AA23</f>
        <v/>
      </c>
      <c r="AA24" s="29" t="n"/>
      <c r="AB24" s="29" t="n"/>
      <c r="AC24" s="29" t="inlineStr">
        <is>
          <t>60mL/3s/30s</t>
        </is>
      </c>
      <c r="AD24" s="29" t="n"/>
      <c r="AE24" s="29" t="n"/>
      <c r="AF24" s="29" t="n"/>
      <c r="AG24" s="29">
        <f>IF(AA24="", "", (Z24-AA24)*1000/(Y24-Y23))</f>
        <v/>
      </c>
      <c r="AH24" s="27">
        <f>IF(AG24="","",AG24/AD$2/3)</f>
        <v/>
      </c>
      <c r="AI24" s="29">
        <f>IF(AG24="","", 100*_xlfn.STDEV.P(AG23:AG24)/AVERAGE(AG23:AG24))</f>
        <v/>
      </c>
      <c r="AJ24" s="30">
        <f t="array" ref="AJ24">IF(AG24="","", IFERROR(((IF(AG$5&lt;&gt;"", AG$5*Y$5, 0) + SUMPRODUCT(--(AG$6:AG24&lt;&gt;""), AG$6:AG24, (Y$6:Y24-Y$5:Y23)))/1000), ""))</f>
        <v/>
      </c>
      <c r="AK24" s="29">
        <f>AK23+1</f>
        <v/>
      </c>
      <c r="AL24" s="29">
        <f>AM23</f>
        <v/>
      </c>
      <c r="AM24" s="29" t="n"/>
      <c r="AN24" s="29" t="n"/>
      <c r="AO24" s="29" t="inlineStr">
        <is>
          <t>60mL/3s/30s</t>
        </is>
      </c>
      <c r="AP24" s="29" t="n"/>
      <c r="AQ24" s="29" t="n"/>
      <c r="AR24" s="29" t="n"/>
      <c r="AS24" s="29">
        <f>IF(AM24="", "", (AL24-AM24)*1000/(AK24-AK23))</f>
        <v/>
      </c>
      <c r="AT24" s="27">
        <f>IF(AS24="","",AS24/AP$2/3)</f>
        <v/>
      </c>
      <c r="AU24" s="29">
        <f>IF(AS24="","", 100*_xlfn.STDEV.P(AS23:AS24)/AVERAGE(AS23:AS24))</f>
        <v/>
      </c>
      <c r="AV24" s="30">
        <f t="array" ref="AV24">IF(AS24="","", IFERROR(((IF(AS$5&lt;&gt;"", AS$5*AK$5, 0) + SUMPRODUCT(--(AS$6:AS24&lt;&gt;""), AS$6:AS24, (AK$6:AK24-AK$5:AK23)))/1000), ""))</f>
        <v/>
      </c>
      <c r="AW24" s="29">
        <f>AW23+1</f>
        <v/>
      </c>
      <c r="AX24" s="29">
        <f>AY23</f>
        <v/>
      </c>
      <c r="AY24" s="29" t="n"/>
      <c r="AZ24" s="29" t="n"/>
      <c r="BA24" s="29" t="inlineStr">
        <is>
          <t>60mL/3s/30s</t>
        </is>
      </c>
      <c r="BB24" s="29" t="n"/>
      <c r="BC24" s="29" t="n"/>
      <c r="BD24" s="29" t="n"/>
      <c r="BE24" s="29">
        <f>IF(AY24="", "", (AX24-AY24)*1000/(AW24-AW23))</f>
        <v/>
      </c>
      <c r="BF24" s="27">
        <f>IF(BE24="","",BE24/BB$2/3)</f>
        <v/>
      </c>
      <c r="BG24" s="29">
        <f>IF(BE24="","", 100*_xlfn.STDEV.P(BE23:BE24)/AVERAGE(BE23:BE24))</f>
        <v/>
      </c>
      <c r="BH24" s="30">
        <f t="array" ref="BH24">IF(BE24="","", IFERROR(((IF(BE$5&lt;&gt;"", BE$5*AW$5, 0) + SUMPRODUCT(--(BE$6:BE24&lt;&gt;""), BE$6:BE24, (AW$6:AW24-AW$5:AW23)))/1000), ""))</f>
        <v/>
      </c>
      <c r="BI24" s="29">
        <f>BI23+1</f>
        <v/>
      </c>
      <c r="BJ24" s="29">
        <f>BK23</f>
        <v/>
      </c>
      <c r="BK24" s="29" t="n"/>
      <c r="BL24" s="29" t="n"/>
      <c r="BM24" s="29" t="inlineStr">
        <is>
          <t>60mL/3s/30s</t>
        </is>
      </c>
      <c r="BN24" s="29" t="n"/>
      <c r="BO24" s="29" t="n"/>
      <c r="BP24" s="29" t="n"/>
      <c r="BQ24" s="29">
        <f>IF(BK24="", "", (BJ24-BK24)*1000/(BI24-BI23))</f>
        <v/>
      </c>
      <c r="BR24" s="27">
        <f>IF(BQ24="","",BQ24/BN$2/3)</f>
        <v/>
      </c>
      <c r="BS24" s="29">
        <f>IF(BQ24="","", 100*_xlfn.STDEV.P(BQ23:BQ24)/AVERAGE(BQ23:BQ24))</f>
        <v/>
      </c>
      <c r="BT24" s="30">
        <f t="array" ref="BT24">IF(BQ24="","", IFERROR(((IF(BQ$5&lt;&gt;"", BQ$5*BI$5, 0) + SUMPRODUCT(--(BQ$6:BQ24&lt;&gt;""), BQ$6:BQ24, (BI$6:BI24-BI$5:BI23)))/1000), ""))</f>
        <v/>
      </c>
    </row>
    <row r="25" ht="45" customHeight="1">
      <c r="A25" s="23">
        <f>A24+1</f>
        <v/>
      </c>
      <c r="B25" s="24">
        <f>C24</f>
        <v/>
      </c>
      <c r="C25" s="24" t="n"/>
      <c r="D25" s="24" t="n"/>
      <c r="E25" s="24" t="inlineStr">
        <is>
          <t>60mL/3s/30s</t>
        </is>
      </c>
      <c r="F25" s="24" t="n"/>
      <c r="G25" s="24" t="n"/>
      <c r="H25" s="24" t="inlineStr">
        <is>
          <t>AFTER SECOND ROUND</t>
        </is>
      </c>
      <c r="I25" s="24">
        <f>IF(C25="", "", (B25-C25)*1000/(A25-A24))</f>
        <v/>
      </c>
      <c r="J25" s="24">
        <f>IF(I25="","",I25/F$2/3)</f>
        <v/>
      </c>
      <c r="K25" s="24">
        <f>IF(I25="","", 100*_xlfn.STDEV.P(I24:I25)/AVERAGE(I24:I25))</f>
        <v/>
      </c>
      <c r="L25" s="25">
        <f t="array" ref="L25">IF(I25="","", IFERROR(((IF(I$5&lt;&gt;"", I$5*A$5, 0) + SUMPRODUCT(--(I$6:I25&lt;&gt;""), I$6:I25, (A$6:A25-A$5:A24)))/1000), ""))</f>
        <v/>
      </c>
      <c r="M25" s="24">
        <f>M24+1</f>
        <v/>
      </c>
      <c r="N25" s="24">
        <f>O24</f>
        <v/>
      </c>
      <c r="O25" s="24" t="n"/>
      <c r="P25" s="24" t="n"/>
      <c r="Q25" s="24" t="inlineStr">
        <is>
          <t>60mL/3s/30s</t>
        </is>
      </c>
      <c r="R25" s="24" t="n"/>
      <c r="S25" s="24" t="n"/>
      <c r="T25" s="24" t="inlineStr">
        <is>
          <t>AFTER SECOND ROUND</t>
        </is>
      </c>
      <c r="U25" s="24">
        <f>IF(O25="", "", (N25-O25)*1000/(M25-M24))</f>
        <v/>
      </c>
      <c r="V25" s="24">
        <f>IF(U25="","",U25/R$2/3)</f>
        <v/>
      </c>
      <c r="W25" s="24">
        <f>IF(U25="","", 100*_xlfn.STDEV.P(U24:U25)/AVERAGE(U24:U25))</f>
        <v/>
      </c>
      <c r="X25" s="25">
        <f t="array" ref="X25">IF(U25="","", IFERROR(((IF(U$5&lt;&gt;"", U$5*M$5, 0) + SUMPRODUCT(--(U$6:U25&lt;&gt;""), U$6:U25, (M$6:M25-M$5:M24)))/1000), ""))</f>
        <v/>
      </c>
      <c r="Y25" s="24">
        <f>Y24+1</f>
        <v/>
      </c>
      <c r="Z25" s="24">
        <f>AA24</f>
        <v/>
      </c>
      <c r="AA25" s="24" t="n"/>
      <c r="AB25" s="24" t="n"/>
      <c r="AC25" s="24" t="inlineStr">
        <is>
          <t>60mL/3s/30s</t>
        </is>
      </c>
      <c r="AD25" s="24" t="n"/>
      <c r="AE25" s="24" t="n"/>
      <c r="AF25" s="24" t="inlineStr">
        <is>
          <t>AFTER SECOND ROUND</t>
        </is>
      </c>
      <c r="AG25" s="24">
        <f>IF(AA25="", "", (Z25-AA25)*1000/(Y25-Y24))</f>
        <v/>
      </c>
      <c r="AH25" s="24">
        <f>IF(AG25="","",AG25/AD$2/3)</f>
        <v/>
      </c>
      <c r="AI25" s="24">
        <f>IF(AG25="","", 100*_xlfn.STDEV.P(AG24:AG25)/AVERAGE(AG24:AG25))</f>
        <v/>
      </c>
      <c r="AJ25" s="25">
        <f t="array" ref="AJ25">IF(AG25="","", IFERROR(((IF(AG$5&lt;&gt;"", AG$5*Y$5, 0) + SUMPRODUCT(--(AG$6:AG25&lt;&gt;""), AG$6:AG25, (Y$6:Y25-Y$5:Y24)))/1000), ""))</f>
        <v/>
      </c>
      <c r="AK25" s="24">
        <f>AK24+1</f>
        <v/>
      </c>
      <c r="AL25" s="24">
        <f>AM24</f>
        <v/>
      </c>
      <c r="AM25" s="24" t="n"/>
      <c r="AN25" s="24" t="n"/>
      <c r="AO25" s="24" t="inlineStr">
        <is>
          <t>60mL/3s/30s</t>
        </is>
      </c>
      <c r="AP25" s="24" t="n"/>
      <c r="AQ25" s="24" t="n"/>
      <c r="AR25" s="24" t="inlineStr">
        <is>
          <t>AFTER SECOND ROUND</t>
        </is>
      </c>
      <c r="AS25" s="24">
        <f>IF(AM25="", "", (AL25-AM25)*1000/(AK25-AK24))</f>
        <v/>
      </c>
      <c r="AT25" s="24">
        <f>IF(AS25="","",AS25/AP$2/3)</f>
        <v/>
      </c>
      <c r="AU25" s="24">
        <f>IF(AS25="","", 100*_xlfn.STDEV.P(AS24:AS25)/AVERAGE(AS24:AS25))</f>
        <v/>
      </c>
      <c r="AV25" s="25">
        <f t="array" ref="AV25">IF(AS25="","", IFERROR(((IF(AS$5&lt;&gt;"", AS$5*AK$5, 0) + SUMPRODUCT(--(AS$6:AS25&lt;&gt;""), AS$6:AS25, (AK$6:AK25-AK$5:AK24)))/1000), ""))</f>
        <v/>
      </c>
      <c r="AW25" s="24">
        <f>AW24+1</f>
        <v/>
      </c>
      <c r="AX25" s="24">
        <f>AY24</f>
        <v/>
      </c>
      <c r="AY25" s="24" t="n"/>
      <c r="AZ25" s="24" t="n"/>
      <c r="BA25" s="24" t="inlineStr">
        <is>
          <t>60mL/3s/30s</t>
        </is>
      </c>
      <c r="BB25" s="24" t="n"/>
      <c r="BC25" s="24" t="n"/>
      <c r="BD25" s="24" t="inlineStr">
        <is>
          <t>AFTER SECOND ROUND</t>
        </is>
      </c>
      <c r="BE25" s="24">
        <f>IF(AY25="", "", (AX25-AY25)*1000/(AW25-AW24))</f>
        <v/>
      </c>
      <c r="BF25" s="24">
        <f>IF(BE25="","",BE25/BB$2/3)</f>
        <v/>
      </c>
      <c r="BG25" s="24">
        <f>IF(BE25="","", 100*_xlfn.STDEV.P(BE24:BE25)/AVERAGE(BE24:BE25))</f>
        <v/>
      </c>
      <c r="BH25" s="25">
        <f t="array" ref="BH25">IF(BE25="","", IFERROR(((IF(BE$5&lt;&gt;"", BE$5*AW$5, 0) + SUMPRODUCT(--(BE$6:BE25&lt;&gt;""), BE$6:BE25, (AW$6:AW25-AW$5:AW24)))/1000), ""))</f>
        <v/>
      </c>
      <c r="BI25" s="24">
        <f>BI24+1</f>
        <v/>
      </c>
      <c r="BJ25" s="24">
        <f>BK24</f>
        <v/>
      </c>
      <c r="BK25" s="24" t="n"/>
      <c r="BL25" s="24" t="n"/>
      <c r="BM25" s="24" t="inlineStr">
        <is>
          <t>60mL/3s/30s</t>
        </is>
      </c>
      <c r="BN25" s="24" t="n"/>
      <c r="BO25" s="24" t="n"/>
      <c r="BP25" s="24" t="inlineStr">
        <is>
          <t>AFTER SECOND ROUND</t>
        </is>
      </c>
      <c r="BQ25" s="24">
        <f>IF(BK25="", "", (BJ25-BK25)*1000/(BI25-BI24))</f>
        <v/>
      </c>
      <c r="BR25" s="24">
        <f>IF(BQ25="","",BQ25/BN$2/3)</f>
        <v/>
      </c>
      <c r="BS25" s="24">
        <f>IF(BQ25="","", 100*_xlfn.STDEV.P(BQ24:BQ25)/AVERAGE(BQ24:BQ25))</f>
        <v/>
      </c>
      <c r="BT25" s="25">
        <f t="array" ref="BT25">IF(BQ25="","", IFERROR(((IF(BQ$5&lt;&gt;"", BQ$5*BI$5, 0) + SUMPRODUCT(--(BQ$6:BQ25&lt;&gt;""), BQ$6:BQ25, (BI$6:BI25-BI$5:BI24)))/1000), ""))</f>
        <v/>
      </c>
    </row>
    <row r="26">
      <c r="A26" s="26">
        <f>A25+1</f>
        <v/>
      </c>
      <c r="B26" s="27">
        <f>C25</f>
        <v/>
      </c>
      <c r="C26" s="27" t="n"/>
      <c r="D26" s="27" t="n"/>
      <c r="E26" s="27" t="inlineStr">
        <is>
          <t>60mL/3s/30s</t>
        </is>
      </c>
      <c r="F26" s="27" t="n"/>
      <c r="G26" s="27" t="n"/>
      <c r="H26" s="27" t="n"/>
      <c r="I26" s="27">
        <f>IF(C26="", "", (B26-C26)*1000/(A26-A25))</f>
        <v/>
      </c>
      <c r="J26" s="27">
        <f>IF(I26="","",I26/F$2/3)</f>
        <v/>
      </c>
      <c r="K26" s="27">
        <f>IF(I26="","", 100*_xlfn.STDEV.P(I25:I26)/AVERAGE(I25:I26))</f>
        <v/>
      </c>
      <c r="L26" s="22">
        <f t="array" ref="L26">IF(I26="","", IFERROR(((IF(I$5&lt;&gt;"", I$5*A$5, 0) + SUMPRODUCT(--(I$6:I26&lt;&gt;""), I$6:I26, (A$6:A26-A$5:A25)))/1000), ""))</f>
        <v/>
      </c>
      <c r="M26" s="27">
        <f>M25+1</f>
        <v/>
      </c>
      <c r="N26" s="27">
        <f>O25</f>
        <v/>
      </c>
      <c r="O26" s="27" t="n"/>
      <c r="P26" s="27" t="n"/>
      <c r="Q26" s="27" t="inlineStr">
        <is>
          <t>60mL/3s/30s</t>
        </is>
      </c>
      <c r="R26" s="27" t="n"/>
      <c r="S26" s="27" t="n"/>
      <c r="T26" s="27" t="n"/>
      <c r="U26" s="27">
        <f>IF(O26="", "", (N26-O26)*1000/(M26-M25))</f>
        <v/>
      </c>
      <c r="V26" s="27">
        <f>IF(U26="","",U26/R$2/3)</f>
        <v/>
      </c>
      <c r="W26" s="27">
        <f>IF(U26="","", 100*_xlfn.STDEV.P(U25:U26)/AVERAGE(U25:U26))</f>
        <v/>
      </c>
      <c r="X26" s="22">
        <f t="array" ref="X26">IF(U26="","", IFERROR(((IF(U$5&lt;&gt;"", U$5*M$5, 0) + SUMPRODUCT(--(U$6:U26&lt;&gt;""), U$6:U26, (M$6:M26-M$5:M25)))/1000), ""))</f>
        <v/>
      </c>
      <c r="Y26" s="27">
        <f>Y25+1</f>
        <v/>
      </c>
      <c r="Z26" s="27">
        <f>AA25</f>
        <v/>
      </c>
      <c r="AA26" s="27" t="n"/>
      <c r="AB26" s="27" t="n"/>
      <c r="AC26" s="27" t="inlineStr">
        <is>
          <t>60mL/3s/30s</t>
        </is>
      </c>
      <c r="AD26" s="27" t="n"/>
      <c r="AE26" s="27" t="n"/>
      <c r="AF26" s="27" t="n"/>
      <c r="AG26" s="27">
        <f>IF(AA26="", "", (Z26-AA26)*1000/(Y26-Y25))</f>
        <v/>
      </c>
      <c r="AH26" s="27">
        <f>IF(AG26="","",AG26/AD$2/3)</f>
        <v/>
      </c>
      <c r="AI26" s="27">
        <f>IF(AG26="","", 100*_xlfn.STDEV.P(AG25:AG26)/AVERAGE(AG25:AG26))</f>
        <v/>
      </c>
      <c r="AJ26" s="22">
        <f t="array" ref="AJ26">IF(AG26="","", IFERROR(((IF(AG$5&lt;&gt;"", AG$5*Y$5, 0) + SUMPRODUCT(--(AG$6:AG26&lt;&gt;""), AG$6:AG26, (Y$6:Y26-Y$5:Y25)))/1000), ""))</f>
        <v/>
      </c>
      <c r="AK26" s="27">
        <f>AK25+1</f>
        <v/>
      </c>
      <c r="AL26" s="27">
        <f>AM25</f>
        <v/>
      </c>
      <c r="AM26" s="27" t="n"/>
      <c r="AN26" s="27" t="n"/>
      <c r="AO26" s="27" t="inlineStr">
        <is>
          <t>60mL/3s/30s</t>
        </is>
      </c>
      <c r="AP26" s="27" t="n"/>
      <c r="AQ26" s="27" t="n"/>
      <c r="AR26" s="27" t="n"/>
      <c r="AS26" s="27">
        <f>IF(AM26="", "", (AL26-AM26)*1000/(AK26-AK25))</f>
        <v/>
      </c>
      <c r="AT26" s="27">
        <f>IF(AS26="","",AS26/AP$2/3)</f>
        <v/>
      </c>
      <c r="AU26" s="27">
        <f>IF(AS26="","", 100*_xlfn.STDEV.P(AS25:AS26)/AVERAGE(AS25:AS26))</f>
        <v/>
      </c>
      <c r="AV26" s="22">
        <f t="array" ref="AV26">IF(AS26="","", IFERROR(((IF(AS$5&lt;&gt;"", AS$5*AK$5, 0) + SUMPRODUCT(--(AS$6:AS26&lt;&gt;""), AS$6:AS26, (AK$6:AK26-AK$5:AK25)))/1000), ""))</f>
        <v/>
      </c>
      <c r="AW26" s="27">
        <f>AW25+1</f>
        <v/>
      </c>
      <c r="AX26" s="27">
        <f>AY25</f>
        <v/>
      </c>
      <c r="AY26" s="27" t="n"/>
      <c r="AZ26" s="27" t="n"/>
      <c r="BA26" s="27" t="inlineStr">
        <is>
          <t>60mL/3s/30s</t>
        </is>
      </c>
      <c r="BB26" s="27" t="n"/>
      <c r="BC26" s="27" t="n"/>
      <c r="BD26" s="27" t="n"/>
      <c r="BE26" s="27">
        <f>IF(AY26="", "", (AX26-AY26)*1000/(AW26-AW25))</f>
        <v/>
      </c>
      <c r="BF26" s="27">
        <f>IF(BE26="","",BE26/BB$2/3)</f>
        <v/>
      </c>
      <c r="BG26" s="27">
        <f>IF(BE26="","", 100*_xlfn.STDEV.P(BE25:BE26)/AVERAGE(BE25:BE26))</f>
        <v/>
      </c>
      <c r="BH26" s="22">
        <f t="array" ref="BH26">IF(BE26="","", IFERROR(((IF(BE$5&lt;&gt;"", BE$5*AW$5, 0) + SUMPRODUCT(--(BE$6:BE26&lt;&gt;""), BE$6:BE26, (AW$6:AW26-AW$5:AW25)))/1000), ""))</f>
        <v/>
      </c>
      <c r="BI26" s="27">
        <f>BI25+1</f>
        <v/>
      </c>
      <c r="BJ26" s="27">
        <f>BK25</f>
        <v/>
      </c>
      <c r="BK26" s="27" t="n"/>
      <c r="BL26" s="27" t="n"/>
      <c r="BM26" s="27" t="inlineStr">
        <is>
          <t>60mL/3s/30s</t>
        </is>
      </c>
      <c r="BN26" s="27" t="n"/>
      <c r="BO26" s="27" t="n"/>
      <c r="BP26" s="27" t="n"/>
      <c r="BQ26" s="27">
        <f>IF(BK26="", "", (BJ26-BK26)*1000/(BI26-BI25))</f>
        <v/>
      </c>
      <c r="BR26" s="27">
        <f>IF(BQ26="","",BQ26/BN$2/3)</f>
        <v/>
      </c>
      <c r="BS26" s="27">
        <f>IF(BQ26="","", 100*_xlfn.STDEV.P(BQ25:BQ26)/AVERAGE(BQ25:BQ26))</f>
        <v/>
      </c>
      <c r="BT26" s="22">
        <f t="array" ref="BT26">IF(BQ26="","", IFERROR(((IF(BQ$5&lt;&gt;"", BQ$5*BI$5, 0) + SUMPRODUCT(--(BQ$6:BQ26&lt;&gt;""), BQ$6:BQ26, (BI$6:BI26-BI$5:BI25)))/1000), ""))</f>
        <v/>
      </c>
    </row>
    <row r="27">
      <c r="A27" s="26">
        <f>A26+1</f>
        <v/>
      </c>
      <c r="B27" s="27">
        <f>C26</f>
        <v/>
      </c>
      <c r="C27" s="27" t="n"/>
      <c r="D27" s="27" t="n"/>
      <c r="E27" s="27" t="inlineStr">
        <is>
          <t>60mL/3s/30s</t>
        </is>
      </c>
      <c r="F27" s="27" t="n"/>
      <c r="G27" s="27" t="n"/>
      <c r="H27" s="27" t="n"/>
      <c r="I27" s="27">
        <f>IF(C27="", "", (B27-C27)*1000/(A27-A26))</f>
        <v/>
      </c>
      <c r="J27" s="27">
        <f>IF(I27="","",I27/F$2/3)</f>
        <v/>
      </c>
      <c r="K27" s="27">
        <f>IF(I27="","", 100*_xlfn.STDEV.P(I26:I27)/AVERAGE(I26:I27))</f>
        <v/>
      </c>
      <c r="L27" s="22">
        <f t="array" ref="L27">IF(I27="","", IFERROR(((IF(I$5&lt;&gt;"", I$5*A$5, 0) + SUMPRODUCT(--(I$6:I27&lt;&gt;""), I$6:I27, (A$6:A27-A$5:A26)))/1000), ""))</f>
        <v/>
      </c>
      <c r="M27" s="27">
        <f>M26+1</f>
        <v/>
      </c>
      <c r="N27" s="27">
        <f>O26</f>
        <v/>
      </c>
      <c r="O27" s="27" t="n"/>
      <c r="P27" s="27" t="n"/>
      <c r="Q27" s="27" t="inlineStr">
        <is>
          <t>60mL/3s/30s</t>
        </is>
      </c>
      <c r="R27" s="27" t="n"/>
      <c r="S27" s="27" t="n"/>
      <c r="T27" s="27" t="n"/>
      <c r="U27" s="27">
        <f>IF(O27="", "", (N27-O27)*1000/(M27-M26))</f>
        <v/>
      </c>
      <c r="V27" s="27">
        <f>IF(U27="","",U27/R$2/3)</f>
        <v/>
      </c>
      <c r="W27" s="27">
        <f>IF(U27="","", 100*_xlfn.STDEV.P(U26:U27)/AVERAGE(U26:U27))</f>
        <v/>
      </c>
      <c r="X27" s="22">
        <f t="array" ref="X27">IF(U27="","", IFERROR(((IF(U$5&lt;&gt;"", U$5*M$5, 0) + SUMPRODUCT(--(U$6:U27&lt;&gt;""), U$6:U27, (M$6:M27-M$5:M26)))/1000), ""))</f>
        <v/>
      </c>
      <c r="Y27" s="27">
        <f>Y26+1</f>
        <v/>
      </c>
      <c r="Z27" s="27">
        <f>AA26</f>
        <v/>
      </c>
      <c r="AA27" s="27" t="n"/>
      <c r="AB27" s="27" t="n"/>
      <c r="AC27" s="27" t="inlineStr">
        <is>
          <t>60mL/3s/30s</t>
        </is>
      </c>
      <c r="AD27" s="27" t="n"/>
      <c r="AE27" s="27" t="n"/>
      <c r="AF27" s="27" t="n"/>
      <c r="AG27" s="27">
        <f>IF(AA27="", "", (Z27-AA27)*1000/(Y27-Y26))</f>
        <v/>
      </c>
      <c r="AH27" s="27">
        <f>IF(AG27="","",AG27/AD$2/3)</f>
        <v/>
      </c>
      <c r="AI27" s="27">
        <f>IF(AG27="","", 100*_xlfn.STDEV.P(AG26:AG27)/AVERAGE(AG26:AG27))</f>
        <v/>
      </c>
      <c r="AJ27" s="22">
        <f t="array" ref="AJ27">IF(AG27="","", IFERROR(((IF(AG$5&lt;&gt;"", AG$5*Y$5, 0) + SUMPRODUCT(--(AG$6:AG27&lt;&gt;""), AG$6:AG27, (Y$6:Y27-Y$5:Y26)))/1000), ""))</f>
        <v/>
      </c>
      <c r="AK27" s="27">
        <f>AK26+1</f>
        <v/>
      </c>
      <c r="AL27" s="27">
        <f>AM26</f>
        <v/>
      </c>
      <c r="AM27" s="27" t="n"/>
      <c r="AN27" s="27" t="n"/>
      <c r="AO27" s="27" t="inlineStr">
        <is>
          <t>60mL/3s/30s</t>
        </is>
      </c>
      <c r="AP27" s="27" t="n"/>
      <c r="AQ27" s="27" t="n"/>
      <c r="AR27" s="27" t="n"/>
      <c r="AS27" s="27">
        <f>IF(AM27="", "", (AL27-AM27)*1000/(AK27-AK26))</f>
        <v/>
      </c>
      <c r="AT27" s="27">
        <f>IF(AS27="","",AS27/AP$2/3)</f>
        <v/>
      </c>
      <c r="AU27" s="27">
        <f>IF(AS27="","", 100*_xlfn.STDEV.P(AS26:AS27)/AVERAGE(AS26:AS27))</f>
        <v/>
      </c>
      <c r="AV27" s="22">
        <f t="array" ref="AV27">IF(AS27="","", IFERROR(((IF(AS$5&lt;&gt;"", AS$5*AK$5, 0) + SUMPRODUCT(--(AS$6:AS27&lt;&gt;""), AS$6:AS27, (AK$6:AK27-AK$5:AK26)))/1000), ""))</f>
        <v/>
      </c>
      <c r="AW27" s="27">
        <f>AW26+1</f>
        <v/>
      </c>
      <c r="AX27" s="27">
        <f>AY26</f>
        <v/>
      </c>
      <c r="AY27" s="27" t="n"/>
      <c r="AZ27" s="27" t="n"/>
      <c r="BA27" s="27" t="inlineStr">
        <is>
          <t>60mL/3s/30s</t>
        </is>
      </c>
      <c r="BB27" s="27" t="n"/>
      <c r="BC27" s="27" t="n"/>
      <c r="BD27" s="27" t="n"/>
      <c r="BE27" s="27">
        <f>IF(AY27="", "", (AX27-AY27)*1000/(AW27-AW26))</f>
        <v/>
      </c>
      <c r="BF27" s="27">
        <f>IF(BE27="","",BE27/BB$2/3)</f>
        <v/>
      </c>
      <c r="BG27" s="27">
        <f>IF(BE27="","", 100*_xlfn.STDEV.P(BE26:BE27)/AVERAGE(BE26:BE27))</f>
        <v/>
      </c>
      <c r="BH27" s="22">
        <f t="array" ref="BH27">IF(BE27="","", IFERROR(((IF(BE$5&lt;&gt;"", BE$5*AW$5, 0) + SUMPRODUCT(--(BE$6:BE27&lt;&gt;""), BE$6:BE27, (AW$6:AW27-AW$5:AW26)))/1000), ""))</f>
        <v/>
      </c>
      <c r="BI27" s="27">
        <f>BI26+1</f>
        <v/>
      </c>
      <c r="BJ27" s="27">
        <f>BK26</f>
        <v/>
      </c>
      <c r="BK27" s="27" t="n"/>
      <c r="BL27" s="27" t="n"/>
      <c r="BM27" s="27" t="inlineStr">
        <is>
          <t>60mL/3s/30s</t>
        </is>
      </c>
      <c r="BN27" s="27" t="n"/>
      <c r="BO27" s="27" t="n"/>
      <c r="BP27" s="27" t="n"/>
      <c r="BQ27" s="27">
        <f>IF(BK27="", "", (BJ27-BK27)*1000/(BI27-BI26))</f>
        <v/>
      </c>
      <c r="BR27" s="27">
        <f>IF(BQ27="","",BQ27/BN$2/3)</f>
        <v/>
      </c>
      <c r="BS27" s="27">
        <f>IF(BQ27="","", 100*_xlfn.STDEV.P(BQ26:BQ27)/AVERAGE(BQ26:BQ27))</f>
        <v/>
      </c>
      <c r="BT27" s="22">
        <f t="array" ref="BT27">IF(BQ27="","", IFERROR(((IF(BQ$5&lt;&gt;"", BQ$5*BI$5, 0) + SUMPRODUCT(--(BQ$6:BQ27&lt;&gt;""), BQ$6:BQ27, (BI$6:BI27-BI$5:BI26)))/1000), ""))</f>
        <v/>
      </c>
    </row>
    <row r="28">
      <c r="A28" s="26">
        <f>A27+1</f>
        <v/>
      </c>
      <c r="B28" s="27">
        <f>C27</f>
        <v/>
      </c>
      <c r="C28" s="27" t="n"/>
      <c r="D28" s="27" t="n"/>
      <c r="E28" s="27" t="inlineStr">
        <is>
          <t>60mL/3s/30s</t>
        </is>
      </c>
      <c r="F28" s="27" t="n"/>
      <c r="G28" s="27" t="n"/>
      <c r="H28" s="27" t="n"/>
      <c r="I28" s="27">
        <f>IF(C28="", "", (B28-C28)*1000/(A28-A27))</f>
        <v/>
      </c>
      <c r="J28" s="27">
        <f>IF(I28="","",I28/F$2/3)</f>
        <v/>
      </c>
      <c r="K28" s="27">
        <f>IF(I28="","", 100*_xlfn.STDEV.P(I27:I28)/AVERAGE(I27:I28))</f>
        <v/>
      </c>
      <c r="L28" s="22">
        <f t="array" ref="L28">IF(I28="","", IFERROR(((IF(I$5&lt;&gt;"", I$5*A$5, 0) + SUMPRODUCT(--(I$6:I28&lt;&gt;""), I$6:I28, (A$6:A28-A$5:A27)))/1000), ""))</f>
        <v/>
      </c>
      <c r="M28" s="27">
        <f>M27+1</f>
        <v/>
      </c>
      <c r="N28" s="27">
        <f>O27</f>
        <v/>
      </c>
      <c r="O28" s="27" t="n"/>
      <c r="P28" s="27" t="n"/>
      <c r="Q28" s="27" t="inlineStr">
        <is>
          <t>60mL/3s/30s</t>
        </is>
      </c>
      <c r="R28" s="27" t="n"/>
      <c r="S28" s="27" t="n"/>
      <c r="T28" s="27" t="n"/>
      <c r="U28" s="27">
        <f>IF(O28="", "", (N28-O28)*1000/(M28-M27))</f>
        <v/>
      </c>
      <c r="V28" s="27">
        <f>IF(U28="","",U28/R$2/3)</f>
        <v/>
      </c>
      <c r="W28" s="27">
        <f>IF(U28="","", 100*_xlfn.STDEV.P(U27:U28)/AVERAGE(U27:U28))</f>
        <v/>
      </c>
      <c r="X28" s="22">
        <f t="array" ref="X28">IF(U28="","", IFERROR(((IF(U$5&lt;&gt;"", U$5*M$5, 0) + SUMPRODUCT(--(U$6:U28&lt;&gt;""), U$6:U28, (M$6:M28-M$5:M27)))/1000), ""))</f>
        <v/>
      </c>
      <c r="Y28" s="27">
        <f>Y27+1</f>
        <v/>
      </c>
      <c r="Z28" s="27">
        <f>AA27</f>
        <v/>
      </c>
      <c r="AA28" s="27" t="n"/>
      <c r="AB28" s="27" t="n"/>
      <c r="AC28" s="27" t="inlineStr">
        <is>
          <t>60mL/3s/30s</t>
        </is>
      </c>
      <c r="AD28" s="27" t="n"/>
      <c r="AE28" s="27" t="n"/>
      <c r="AF28" s="27" t="n"/>
      <c r="AG28" s="27">
        <f>IF(AA28="", "", (Z28-AA28)*1000/(Y28-Y27))</f>
        <v/>
      </c>
      <c r="AH28" s="27">
        <f>IF(AG28="","",AG28/AD$2/3)</f>
        <v/>
      </c>
      <c r="AI28" s="27">
        <f>IF(AG28="","", 100*_xlfn.STDEV.P(AG27:AG28)/AVERAGE(AG27:AG28))</f>
        <v/>
      </c>
      <c r="AJ28" s="22">
        <f t="array" ref="AJ28">IF(AG28="","", IFERROR(((IF(AG$5&lt;&gt;"", AG$5*Y$5, 0) + SUMPRODUCT(--(AG$6:AG28&lt;&gt;""), AG$6:AG28, (Y$6:Y28-Y$5:Y27)))/1000), ""))</f>
        <v/>
      </c>
      <c r="AK28" s="27">
        <f>AK27+1</f>
        <v/>
      </c>
      <c r="AL28" s="27">
        <f>AM27</f>
        <v/>
      </c>
      <c r="AM28" s="27" t="n"/>
      <c r="AN28" s="27" t="n"/>
      <c r="AO28" s="27" t="inlineStr">
        <is>
          <t>60mL/3s/30s</t>
        </is>
      </c>
      <c r="AP28" s="27" t="n"/>
      <c r="AQ28" s="27" t="n"/>
      <c r="AR28" s="27" t="n"/>
      <c r="AS28" s="27">
        <f>IF(AM28="", "", (AL28-AM28)*1000/(AK28-AK27))</f>
        <v/>
      </c>
      <c r="AT28" s="27">
        <f>IF(AS28="","",AS28/AP$2/3)</f>
        <v/>
      </c>
      <c r="AU28" s="27">
        <f>IF(AS28="","", 100*_xlfn.STDEV.P(AS27:AS28)/AVERAGE(AS27:AS28))</f>
        <v/>
      </c>
      <c r="AV28" s="22">
        <f t="array" ref="AV28">IF(AS28="","", IFERROR(((IF(AS$5&lt;&gt;"", AS$5*AK$5, 0) + SUMPRODUCT(--(AS$6:AS28&lt;&gt;""), AS$6:AS28, (AK$6:AK28-AK$5:AK27)))/1000), ""))</f>
        <v/>
      </c>
      <c r="AW28" s="27">
        <f>AW27+1</f>
        <v/>
      </c>
      <c r="AX28" s="27">
        <f>AY27</f>
        <v/>
      </c>
      <c r="AY28" s="27" t="n"/>
      <c r="AZ28" s="27" t="n"/>
      <c r="BA28" s="27" t="inlineStr">
        <is>
          <t>60mL/3s/30s</t>
        </is>
      </c>
      <c r="BB28" s="27" t="n"/>
      <c r="BC28" s="27" t="n"/>
      <c r="BD28" s="27" t="n"/>
      <c r="BE28" s="27">
        <f>IF(AY28="", "", (AX28-AY28)*1000/(AW28-AW27))</f>
        <v/>
      </c>
      <c r="BF28" s="27">
        <f>IF(BE28="","",BE28/BB$2/3)</f>
        <v/>
      </c>
      <c r="BG28" s="27">
        <f>IF(BE28="","", 100*_xlfn.STDEV.P(BE27:BE28)/AVERAGE(BE27:BE28))</f>
        <v/>
      </c>
      <c r="BH28" s="22">
        <f t="array" ref="BH28">IF(BE28="","", IFERROR(((IF(BE$5&lt;&gt;"", BE$5*AW$5, 0) + SUMPRODUCT(--(BE$6:BE28&lt;&gt;""), BE$6:BE28, (AW$6:AW28-AW$5:AW27)))/1000), ""))</f>
        <v/>
      </c>
      <c r="BI28" s="27">
        <f>BI27+1</f>
        <v/>
      </c>
      <c r="BJ28" s="27">
        <f>BK27</f>
        <v/>
      </c>
      <c r="BK28" s="27" t="n"/>
      <c r="BL28" s="27" t="n"/>
      <c r="BM28" s="27" t="inlineStr">
        <is>
          <t>60mL/3s/30s</t>
        </is>
      </c>
      <c r="BN28" s="27" t="n"/>
      <c r="BO28" s="27" t="n"/>
      <c r="BP28" s="27" t="n"/>
      <c r="BQ28" s="27">
        <f>IF(BK28="", "", (BJ28-BK28)*1000/(BI28-BI27))</f>
        <v/>
      </c>
      <c r="BR28" s="27">
        <f>IF(BQ28="","",BQ28/BN$2/3)</f>
        <v/>
      </c>
      <c r="BS28" s="27">
        <f>IF(BQ28="","", 100*_xlfn.STDEV.P(BQ27:BQ28)/AVERAGE(BQ27:BQ28))</f>
        <v/>
      </c>
      <c r="BT28" s="22">
        <f t="array" ref="BT28">IF(BQ28="","", IFERROR(((IF(BQ$5&lt;&gt;"", BQ$5*BI$5, 0) + SUMPRODUCT(--(BQ$6:BQ28&lt;&gt;""), BQ$6:BQ28, (BI$6:BI28-BI$5:BI27)))/1000), ""))</f>
        <v/>
      </c>
    </row>
    <row r="29">
      <c r="A29" s="26">
        <f>A28+1</f>
        <v/>
      </c>
      <c r="B29" s="27">
        <f>C28</f>
        <v/>
      </c>
      <c r="C29" s="27" t="n"/>
      <c r="D29" s="27" t="n"/>
      <c r="E29" s="27" t="inlineStr">
        <is>
          <t>60mL/3s/30s</t>
        </is>
      </c>
      <c r="F29" s="31" t="n"/>
      <c r="G29" s="31" t="n"/>
      <c r="H29" s="31" t="n"/>
      <c r="I29" s="27">
        <f>IF(C29="", "", (B29-C29)*1000/(A29-A28))</f>
        <v/>
      </c>
      <c r="J29" s="27">
        <f>IF(I29="","",I29/F$2/3)</f>
        <v/>
      </c>
      <c r="K29" s="27">
        <f>IF(I29="","", 100*_xlfn.STDEV.P(I28:I29)/AVERAGE(I28:I29))</f>
        <v/>
      </c>
      <c r="L29" s="22">
        <f t="array" ref="L29">IF(I29="","", IFERROR(((IF(I$5&lt;&gt;"", I$5*A$5, 0) + SUMPRODUCT(--(I$6:I29&lt;&gt;""), I$6:I29, (A$6:A29-A$5:A28)))/1000), ""))</f>
        <v/>
      </c>
      <c r="M29" s="27">
        <f>M28+1</f>
        <v/>
      </c>
      <c r="N29" s="27">
        <f>O28</f>
        <v/>
      </c>
      <c r="O29" s="27" t="n"/>
      <c r="P29" s="27" t="n"/>
      <c r="Q29" s="27" t="inlineStr">
        <is>
          <t>60mL/3s/30s</t>
        </is>
      </c>
      <c r="R29" s="31" t="n"/>
      <c r="S29" s="31" t="n"/>
      <c r="T29" s="31" t="n"/>
      <c r="U29" s="27">
        <f>IF(O29="", "", (N29-O29)*1000/(M29-M28))</f>
        <v/>
      </c>
      <c r="V29" s="27">
        <f>IF(U29="","",U29/R$2/3)</f>
        <v/>
      </c>
      <c r="W29" s="27">
        <f>IF(U29="","", 100*_xlfn.STDEV.P(U28:U29)/AVERAGE(U28:U29))</f>
        <v/>
      </c>
      <c r="X29" s="22">
        <f t="array" ref="X29">IF(U29="","", IFERROR(((IF(U$5&lt;&gt;"", U$5*M$5, 0) + SUMPRODUCT(--(U$6:U29&lt;&gt;""), U$6:U29, (M$6:M29-M$5:M28)))/1000), ""))</f>
        <v/>
      </c>
      <c r="Y29" s="27">
        <f>Y28+1</f>
        <v/>
      </c>
      <c r="Z29" s="27">
        <f>AA28</f>
        <v/>
      </c>
      <c r="AA29" s="27" t="n"/>
      <c r="AB29" s="27" t="n"/>
      <c r="AC29" s="27" t="inlineStr">
        <is>
          <t>60mL/3s/30s</t>
        </is>
      </c>
      <c r="AD29" s="31" t="n"/>
      <c r="AE29" s="31" t="n"/>
      <c r="AF29" s="31" t="n"/>
      <c r="AG29" s="27">
        <f>IF(AA29="", "", (Z29-AA29)*1000/(Y29-Y28))</f>
        <v/>
      </c>
      <c r="AH29" s="27">
        <f>IF(AG29="","",AG29/AD$2/3)</f>
        <v/>
      </c>
      <c r="AI29" s="27">
        <f>IF(AG29="","", 100*_xlfn.STDEV.P(AG28:AG29)/AVERAGE(AG28:AG29))</f>
        <v/>
      </c>
      <c r="AJ29" s="22">
        <f t="array" ref="AJ29">IF(AG29="","", IFERROR(((IF(AG$5&lt;&gt;"", AG$5*Y$5, 0) + SUMPRODUCT(--(AG$6:AG29&lt;&gt;""), AG$6:AG29, (Y$6:Y29-Y$5:Y28)))/1000), ""))</f>
        <v/>
      </c>
      <c r="AK29" s="27">
        <f>AK28+1</f>
        <v/>
      </c>
      <c r="AL29" s="27">
        <f>AM28</f>
        <v/>
      </c>
      <c r="AM29" s="27" t="n"/>
      <c r="AN29" s="27" t="n"/>
      <c r="AO29" s="27" t="inlineStr">
        <is>
          <t>60mL/3s/30s</t>
        </is>
      </c>
      <c r="AP29" s="31" t="n"/>
      <c r="AQ29" s="31" t="n"/>
      <c r="AR29" s="31" t="n"/>
      <c r="AS29" s="27">
        <f>IF(AM29="", "", (AL29-AM29)*1000/(AK29-AK28))</f>
        <v/>
      </c>
      <c r="AT29" s="27">
        <f>IF(AS29="","",AS29/AP$2/3)</f>
        <v/>
      </c>
      <c r="AU29" s="27">
        <f>IF(AS29="","", 100*_xlfn.STDEV.P(AS28:AS29)/AVERAGE(AS28:AS29))</f>
        <v/>
      </c>
      <c r="AV29" s="22">
        <f t="array" ref="AV29">IF(AS29="","", IFERROR(((IF(AS$5&lt;&gt;"", AS$5*AK$5, 0) + SUMPRODUCT(--(AS$6:AS29&lt;&gt;""), AS$6:AS29, (AK$6:AK29-AK$5:AK28)))/1000), ""))</f>
        <v/>
      </c>
      <c r="AW29" s="27">
        <f>AW28+1</f>
        <v/>
      </c>
      <c r="AX29" s="27">
        <f>AY28</f>
        <v/>
      </c>
      <c r="AY29" s="27" t="n"/>
      <c r="AZ29" s="27" t="n"/>
      <c r="BA29" s="27" t="inlineStr">
        <is>
          <t>60mL/3s/30s</t>
        </is>
      </c>
      <c r="BB29" s="31" t="n"/>
      <c r="BC29" s="31" t="n"/>
      <c r="BD29" s="31" t="n"/>
      <c r="BE29" s="27">
        <f>IF(AY29="", "", (AX29-AY29)*1000/(AW29-AW28))</f>
        <v/>
      </c>
      <c r="BF29" s="27">
        <f>IF(BE29="","",BE29/BB$2/3)</f>
        <v/>
      </c>
      <c r="BG29" s="27">
        <f>IF(BE29="","", 100*_xlfn.STDEV.P(BE28:BE29)/AVERAGE(BE28:BE29))</f>
        <v/>
      </c>
      <c r="BH29" s="22">
        <f t="array" ref="BH29">IF(BE29="","", IFERROR(((IF(BE$5&lt;&gt;"", BE$5*AW$5, 0) + SUMPRODUCT(--(BE$6:BE29&lt;&gt;""), BE$6:BE29, (AW$6:AW29-AW$5:AW28)))/1000), ""))</f>
        <v/>
      </c>
      <c r="BI29" s="27">
        <f>BI28+1</f>
        <v/>
      </c>
      <c r="BJ29" s="27">
        <f>BK28</f>
        <v/>
      </c>
      <c r="BK29" s="27" t="n"/>
      <c r="BL29" s="27" t="n"/>
      <c r="BM29" s="27" t="inlineStr">
        <is>
          <t>60mL/3s/30s</t>
        </is>
      </c>
      <c r="BN29" s="31" t="n"/>
      <c r="BO29" s="31" t="n"/>
      <c r="BP29" s="31" t="n"/>
      <c r="BQ29" s="27">
        <f>IF(BK29="", "", (BJ29-BK29)*1000/(BI29-BI28))</f>
        <v/>
      </c>
      <c r="BR29" s="27">
        <f>IF(BQ29="","",BQ29/BN$2/3)</f>
        <v/>
      </c>
      <c r="BS29" s="27">
        <f>IF(BQ29="","", 100*_xlfn.STDEV.P(BQ28:BQ29)/AVERAGE(BQ28:BQ29))</f>
        <v/>
      </c>
      <c r="BT29" s="22">
        <f t="array" ref="BT29">IF(BQ29="","", IFERROR(((IF(BQ$5&lt;&gt;"", BQ$5*BI$5, 0) + SUMPRODUCT(--(BQ$6:BQ29&lt;&gt;""), BQ$6:BQ29, (BI$6:BI29-BI$5:BI28)))/1000), ""))</f>
        <v/>
      </c>
    </row>
    <row r="30">
      <c r="A30" s="26">
        <f>A29+1</f>
        <v/>
      </c>
      <c r="B30" s="27">
        <f>C29</f>
        <v/>
      </c>
      <c r="C30" s="27" t="n"/>
      <c r="D30" s="27" t="n"/>
      <c r="E30" s="27" t="inlineStr">
        <is>
          <t>60mL/3s/30s</t>
        </is>
      </c>
      <c r="F30" s="27" t="n"/>
      <c r="G30" s="27" t="n"/>
      <c r="H30" s="27" t="n"/>
      <c r="I30" s="27">
        <f>IF(C30="", "", (B30-C30)*1000/(A30-A29))</f>
        <v/>
      </c>
      <c r="J30" s="27">
        <f>IF(I30="","",I30/F$2/3)</f>
        <v/>
      </c>
      <c r="K30" s="27">
        <f>IF(I30="","", 100*_xlfn.STDEV.P(I29:I30)/AVERAGE(I29:I30))</f>
        <v/>
      </c>
      <c r="L30" s="22">
        <f t="array" ref="L30">IF(I30="","", IFERROR(((IF(I$5&lt;&gt;"", I$5*A$5, 0) + SUMPRODUCT(--(I$6:I30&lt;&gt;""), I$6:I30, (A$6:A30-A$5:A29)))/1000), ""))</f>
        <v/>
      </c>
      <c r="M30" s="27">
        <f>M29+1</f>
        <v/>
      </c>
      <c r="N30" s="27">
        <f>O29</f>
        <v/>
      </c>
      <c r="O30" s="27" t="n"/>
      <c r="P30" s="27" t="n"/>
      <c r="Q30" s="27" t="inlineStr">
        <is>
          <t>60mL/3s/30s</t>
        </is>
      </c>
      <c r="R30" s="27" t="n"/>
      <c r="S30" s="27" t="n"/>
      <c r="T30" s="27" t="n"/>
      <c r="U30" s="27">
        <f>IF(O30="", "", (N30-O30)*1000/(M30-M29))</f>
        <v/>
      </c>
      <c r="V30" s="27">
        <f>IF(U30="","",U30/R$2/3)</f>
        <v/>
      </c>
      <c r="W30" s="27">
        <f>IF(U30="","", 100*_xlfn.STDEV.P(U29:U30)/AVERAGE(U29:U30))</f>
        <v/>
      </c>
      <c r="X30" s="22">
        <f t="array" ref="X30">IF(U30="","", IFERROR(((IF(U$5&lt;&gt;"", U$5*M$5, 0) + SUMPRODUCT(--(U$6:U30&lt;&gt;""), U$6:U30, (M$6:M30-M$5:M29)))/1000), ""))</f>
        <v/>
      </c>
      <c r="Y30" s="27">
        <f>Y29+1</f>
        <v/>
      </c>
      <c r="Z30" s="27">
        <f>AA29</f>
        <v/>
      </c>
      <c r="AA30" s="27" t="n"/>
      <c r="AB30" s="27" t="n"/>
      <c r="AC30" s="27" t="inlineStr">
        <is>
          <t>60mL/3s/30s</t>
        </is>
      </c>
      <c r="AD30" s="27" t="n"/>
      <c r="AE30" s="27" t="n"/>
      <c r="AF30" s="27" t="n"/>
      <c r="AG30" s="27">
        <f>IF(AA30="", "", (Z30-AA30)*1000/(Y30-Y29))</f>
        <v/>
      </c>
      <c r="AH30" s="27">
        <f>IF(AG30="","",AG30/AD$2/3)</f>
        <v/>
      </c>
      <c r="AI30" s="27">
        <f>IF(AG30="","", 100*_xlfn.STDEV.P(AG29:AG30)/AVERAGE(AG29:AG30))</f>
        <v/>
      </c>
      <c r="AJ30" s="22">
        <f t="array" ref="AJ30">IF(AG30="","", IFERROR(((IF(AG$5&lt;&gt;"", AG$5*Y$5, 0) + SUMPRODUCT(--(AG$6:AG30&lt;&gt;""), AG$6:AG30, (Y$6:Y30-Y$5:Y29)))/1000), ""))</f>
        <v/>
      </c>
      <c r="AK30" s="27">
        <f>AK29+1</f>
        <v/>
      </c>
      <c r="AL30" s="27">
        <f>AM29</f>
        <v/>
      </c>
      <c r="AM30" s="27" t="n"/>
      <c r="AN30" s="27" t="n"/>
      <c r="AO30" s="27" t="inlineStr">
        <is>
          <t>60mL/3s/30s</t>
        </is>
      </c>
      <c r="AP30" s="27" t="n"/>
      <c r="AQ30" s="27" t="n"/>
      <c r="AR30" s="27" t="n"/>
      <c r="AS30" s="27">
        <f>IF(AM30="", "", (AL30-AM30)*1000/(AK30-AK29))</f>
        <v/>
      </c>
      <c r="AT30" s="27">
        <f>IF(AS30="","",AS30/AP$2/3)</f>
        <v/>
      </c>
      <c r="AU30" s="27">
        <f>IF(AS30="","", 100*_xlfn.STDEV.P(AS29:AS30)/AVERAGE(AS29:AS30))</f>
        <v/>
      </c>
      <c r="AV30" s="22">
        <f t="array" ref="AV30">IF(AS30="","", IFERROR(((IF(AS$5&lt;&gt;"", AS$5*AK$5, 0) + SUMPRODUCT(--(AS$6:AS30&lt;&gt;""), AS$6:AS30, (AK$6:AK30-AK$5:AK29)))/1000), ""))</f>
        <v/>
      </c>
      <c r="AW30" s="27">
        <f>AW29+1</f>
        <v/>
      </c>
      <c r="AX30" s="27">
        <f>AY29</f>
        <v/>
      </c>
      <c r="AY30" s="27" t="n"/>
      <c r="AZ30" s="27" t="n"/>
      <c r="BA30" s="27" t="inlineStr">
        <is>
          <t>60mL/3s/30s</t>
        </is>
      </c>
      <c r="BB30" s="27" t="n"/>
      <c r="BC30" s="27" t="n"/>
      <c r="BD30" s="27" t="n"/>
      <c r="BE30" s="27">
        <f>IF(AY30="", "", (AX30-AY30)*1000/(AW30-AW29))</f>
        <v/>
      </c>
      <c r="BF30" s="27">
        <f>IF(BE30="","",BE30/BB$2/3)</f>
        <v/>
      </c>
      <c r="BG30" s="27">
        <f>IF(BE30="","", 100*_xlfn.STDEV.P(BE29:BE30)/AVERAGE(BE29:BE30))</f>
        <v/>
      </c>
      <c r="BH30" s="22">
        <f t="array" ref="BH30">IF(BE30="","", IFERROR(((IF(BE$5&lt;&gt;"", BE$5*AW$5, 0) + SUMPRODUCT(--(BE$6:BE30&lt;&gt;""), BE$6:BE30, (AW$6:AW30-AW$5:AW29)))/1000), ""))</f>
        <v/>
      </c>
      <c r="BI30" s="27">
        <f>BI29+1</f>
        <v/>
      </c>
      <c r="BJ30" s="27">
        <f>BK29</f>
        <v/>
      </c>
      <c r="BK30" s="27" t="n"/>
      <c r="BL30" s="27" t="n"/>
      <c r="BM30" s="27" t="inlineStr">
        <is>
          <t>60mL/3s/30s</t>
        </is>
      </c>
      <c r="BN30" s="27" t="n"/>
      <c r="BO30" s="27" t="n"/>
      <c r="BP30" s="27" t="n"/>
      <c r="BQ30" s="27">
        <f>IF(BK30="", "", (BJ30-BK30)*1000/(BI30-BI29))</f>
        <v/>
      </c>
      <c r="BR30" s="27">
        <f>IF(BQ30="","",BQ30/BN$2/3)</f>
        <v/>
      </c>
      <c r="BS30" s="27">
        <f>IF(BQ30="","", 100*_xlfn.STDEV.P(BQ29:BQ30)/AVERAGE(BQ29:BQ30))</f>
        <v/>
      </c>
      <c r="BT30" s="22">
        <f t="array" ref="BT30">IF(BQ30="","", IFERROR(((IF(BQ$5&lt;&gt;"", BQ$5*BI$5, 0) + SUMPRODUCT(--(BQ$6:BQ30&lt;&gt;""), BQ$6:BQ30, (BI$6:BI30-BI$5:BI29)))/1000), ""))</f>
        <v/>
      </c>
    </row>
    <row r="31">
      <c r="A31" s="26">
        <f>A30+1</f>
        <v/>
      </c>
      <c r="B31" s="27">
        <f>C30</f>
        <v/>
      </c>
      <c r="C31" s="27" t="n"/>
      <c r="D31" s="27" t="n"/>
      <c r="E31" s="27" t="inlineStr">
        <is>
          <t>60mL/3s/30s</t>
        </is>
      </c>
      <c r="F31" s="27" t="n"/>
      <c r="G31" s="27" t="n"/>
      <c r="H31" s="27" t="n"/>
      <c r="I31" s="27">
        <f>IF(C31="", "", (B31-C31)*1000/(A31-A30))</f>
        <v/>
      </c>
      <c r="J31" s="27">
        <f>IF(I31="","",I31/F$2/3)</f>
        <v/>
      </c>
      <c r="K31" s="27">
        <f>IF(I31="","", 100*_xlfn.STDEV.P(I30:I31)/AVERAGE(I30:I31))</f>
        <v/>
      </c>
      <c r="L31" s="22">
        <f t="array" ref="L31">IF(I31="","", IFERROR(((IF(I$5&lt;&gt;"", I$5*A$5, 0) + SUMPRODUCT(--(I$6:I31&lt;&gt;""), I$6:I31, (A$6:A31-A$5:A30)))/1000), ""))</f>
        <v/>
      </c>
      <c r="M31" s="27">
        <f>M30+1</f>
        <v/>
      </c>
      <c r="N31" s="27">
        <f>O30</f>
        <v/>
      </c>
      <c r="O31" s="27" t="n"/>
      <c r="P31" s="27" t="n"/>
      <c r="Q31" s="27" t="inlineStr">
        <is>
          <t>60mL/3s/30s</t>
        </is>
      </c>
      <c r="R31" s="27" t="n"/>
      <c r="S31" s="27" t="n"/>
      <c r="T31" s="27" t="n"/>
      <c r="U31" s="27">
        <f>IF(O31="", "", (N31-O31)*1000/(M31-M30))</f>
        <v/>
      </c>
      <c r="V31" s="27">
        <f>IF(U31="","",U31/R$2/3)</f>
        <v/>
      </c>
      <c r="W31" s="27">
        <f>IF(U31="","", 100*_xlfn.STDEV.P(U30:U31)/AVERAGE(U30:U31))</f>
        <v/>
      </c>
      <c r="X31" s="22">
        <f t="array" ref="X31">IF(U31="","", IFERROR(((IF(U$5&lt;&gt;"", U$5*M$5, 0) + SUMPRODUCT(--(U$6:U31&lt;&gt;""), U$6:U31, (M$6:M31-M$5:M30)))/1000), ""))</f>
        <v/>
      </c>
      <c r="Y31" s="27">
        <f>Y30+1</f>
        <v/>
      </c>
      <c r="Z31" s="27">
        <f>AA30</f>
        <v/>
      </c>
      <c r="AA31" s="27" t="n"/>
      <c r="AB31" s="27" t="n"/>
      <c r="AC31" s="27" t="inlineStr">
        <is>
          <t>60mL/3s/30s</t>
        </is>
      </c>
      <c r="AD31" s="27" t="n"/>
      <c r="AE31" s="27" t="n"/>
      <c r="AF31" s="27" t="n"/>
      <c r="AG31" s="27">
        <f>IF(AA31="", "", (Z31-AA31)*1000/(Y31-Y30))</f>
        <v/>
      </c>
      <c r="AH31" s="27">
        <f>IF(AG31="","",AG31/AD$2/3)</f>
        <v/>
      </c>
      <c r="AI31" s="27">
        <f>IF(AG31="","", 100*_xlfn.STDEV.P(AG30:AG31)/AVERAGE(AG30:AG31))</f>
        <v/>
      </c>
      <c r="AJ31" s="22">
        <f t="array" ref="AJ31">IF(AG31="","", IFERROR(((IF(AG$5&lt;&gt;"", AG$5*Y$5, 0) + SUMPRODUCT(--(AG$6:AG31&lt;&gt;""), AG$6:AG31, (Y$6:Y31-Y$5:Y30)))/1000), ""))</f>
        <v/>
      </c>
      <c r="AK31" s="27">
        <f>AK30+1</f>
        <v/>
      </c>
      <c r="AL31" s="27">
        <f>AM30</f>
        <v/>
      </c>
      <c r="AM31" s="27" t="n"/>
      <c r="AN31" s="27" t="n"/>
      <c r="AO31" s="27" t="inlineStr">
        <is>
          <t>60mL/3s/30s</t>
        </is>
      </c>
      <c r="AP31" s="27" t="n"/>
      <c r="AQ31" s="27" t="n"/>
      <c r="AR31" s="27" t="n"/>
      <c r="AS31" s="27">
        <f>IF(AM31="", "", (AL31-AM31)*1000/(AK31-AK30))</f>
        <v/>
      </c>
      <c r="AT31" s="27">
        <f>IF(AS31="","",AS31/AP$2/3)</f>
        <v/>
      </c>
      <c r="AU31" s="27">
        <f>IF(AS31="","", 100*_xlfn.STDEV.P(AS30:AS31)/AVERAGE(AS30:AS31))</f>
        <v/>
      </c>
      <c r="AV31" s="22">
        <f t="array" ref="AV31">IF(AS31="","", IFERROR(((IF(AS$5&lt;&gt;"", AS$5*AK$5, 0) + SUMPRODUCT(--(AS$6:AS31&lt;&gt;""), AS$6:AS31, (AK$6:AK31-AK$5:AK30)))/1000), ""))</f>
        <v/>
      </c>
      <c r="AW31" s="27">
        <f>AW30+1</f>
        <v/>
      </c>
      <c r="AX31" s="27">
        <f>AY30</f>
        <v/>
      </c>
      <c r="AY31" s="27" t="n"/>
      <c r="AZ31" s="27" t="n"/>
      <c r="BA31" s="27" t="inlineStr">
        <is>
          <t>60mL/3s/30s</t>
        </is>
      </c>
      <c r="BB31" s="27" t="n"/>
      <c r="BC31" s="27" t="n"/>
      <c r="BD31" s="27" t="n"/>
      <c r="BE31" s="27">
        <f>IF(AY31="", "", (AX31-AY31)*1000/(AW31-AW30))</f>
        <v/>
      </c>
      <c r="BF31" s="27">
        <f>IF(BE31="","",BE31/BB$2/3)</f>
        <v/>
      </c>
      <c r="BG31" s="27">
        <f>IF(BE31="","", 100*_xlfn.STDEV.P(BE30:BE31)/AVERAGE(BE30:BE31))</f>
        <v/>
      </c>
      <c r="BH31" s="22">
        <f t="array" ref="BH31">IF(BE31="","", IFERROR(((IF(BE$5&lt;&gt;"", BE$5*AW$5, 0) + SUMPRODUCT(--(BE$6:BE31&lt;&gt;""), BE$6:BE31, (AW$6:AW31-AW$5:AW30)))/1000), ""))</f>
        <v/>
      </c>
      <c r="BI31" s="27">
        <f>BI30+1</f>
        <v/>
      </c>
      <c r="BJ31" s="27">
        <f>BK30</f>
        <v/>
      </c>
      <c r="BK31" s="27" t="n"/>
      <c r="BL31" s="27" t="n"/>
      <c r="BM31" s="27" t="inlineStr">
        <is>
          <t>60mL/3s/30s</t>
        </is>
      </c>
      <c r="BN31" s="27" t="n"/>
      <c r="BO31" s="27" t="n"/>
      <c r="BP31" s="27" t="n"/>
      <c r="BQ31" s="27">
        <f>IF(BK31="", "", (BJ31-BK31)*1000/(BI31-BI30))</f>
        <v/>
      </c>
      <c r="BR31" s="27">
        <f>IF(BQ31="","",BQ31/BN$2/3)</f>
        <v/>
      </c>
      <c r="BS31" s="27">
        <f>IF(BQ31="","", 100*_xlfn.STDEV.P(BQ30:BQ31)/AVERAGE(BQ30:BQ31))</f>
        <v/>
      </c>
      <c r="BT31" s="22">
        <f t="array" ref="BT31">IF(BQ31="","", IFERROR(((IF(BQ$5&lt;&gt;"", BQ$5*BI$5, 0) + SUMPRODUCT(--(BQ$6:BQ31&lt;&gt;""), BQ$6:BQ31, (BI$6:BI31-BI$5:BI30)))/1000), ""))</f>
        <v/>
      </c>
    </row>
    <row r="32">
      <c r="A32" s="26">
        <f>A31+1</f>
        <v/>
      </c>
      <c r="B32" s="27">
        <f>C31</f>
        <v/>
      </c>
      <c r="C32" s="27" t="n"/>
      <c r="D32" s="27" t="n"/>
      <c r="E32" s="27" t="inlineStr">
        <is>
          <t>60mL/3s/30s</t>
        </is>
      </c>
      <c r="F32" s="27" t="n"/>
      <c r="G32" s="27" t="n"/>
      <c r="H32" s="27" t="n"/>
      <c r="I32" s="27">
        <f>IF(C32="", "", (B32-C32)*1000/(A32-A31))</f>
        <v/>
      </c>
      <c r="J32" s="27">
        <f>IF(I32="","",I32/F$2/3)</f>
        <v/>
      </c>
      <c r="K32" s="27">
        <f>IF(I32="","", 100*_xlfn.STDEV.P(I31:I32)/AVERAGE(I31:I32))</f>
        <v/>
      </c>
      <c r="L32" s="22">
        <f t="array" ref="L32">IF(I32="","", IFERROR(((IF(I$5&lt;&gt;"", I$5*A$5, 0) + SUMPRODUCT(--(I$6:I32&lt;&gt;""), I$6:I32, (A$6:A32-A$5:A31)))/1000), ""))</f>
        <v/>
      </c>
      <c r="M32" s="27">
        <f>M31+1</f>
        <v/>
      </c>
      <c r="N32" s="27">
        <f>O31</f>
        <v/>
      </c>
      <c r="O32" s="27" t="n"/>
      <c r="P32" s="27" t="n"/>
      <c r="Q32" s="27" t="inlineStr">
        <is>
          <t>60mL/3s/30s</t>
        </is>
      </c>
      <c r="R32" s="27" t="n"/>
      <c r="S32" s="27" t="n"/>
      <c r="T32" s="27" t="n"/>
      <c r="U32" s="27">
        <f>IF(O32="", "", (N32-O32)*1000/(M32-M31))</f>
        <v/>
      </c>
      <c r="V32" s="27">
        <f>IF(U32="","",U32/R$2/3)</f>
        <v/>
      </c>
      <c r="W32" s="27">
        <f>IF(U32="","", 100*_xlfn.STDEV.P(U31:U32)/AVERAGE(U31:U32))</f>
        <v/>
      </c>
      <c r="X32" s="22">
        <f t="array" ref="X32">IF(U32="","", IFERROR(((IF(U$5&lt;&gt;"", U$5*M$5, 0) + SUMPRODUCT(--(U$6:U32&lt;&gt;""), U$6:U32, (M$6:M32-M$5:M31)))/1000), ""))</f>
        <v/>
      </c>
      <c r="Y32" s="27">
        <f>Y31+1</f>
        <v/>
      </c>
      <c r="Z32" s="27">
        <f>AA31</f>
        <v/>
      </c>
      <c r="AA32" s="27" t="n"/>
      <c r="AB32" s="27" t="n"/>
      <c r="AC32" s="27" t="inlineStr">
        <is>
          <t>60mL/3s/30s</t>
        </is>
      </c>
      <c r="AD32" s="27" t="n"/>
      <c r="AE32" s="27" t="n"/>
      <c r="AF32" s="27" t="n"/>
      <c r="AG32" s="27">
        <f>IF(AA32="", "", (Z32-AA32)*1000/(Y32-Y31))</f>
        <v/>
      </c>
      <c r="AH32" s="27">
        <f>IF(AG32="","",AG32/AD$2/3)</f>
        <v/>
      </c>
      <c r="AI32" s="27">
        <f>IF(AG32="","", 100*_xlfn.STDEV.P(AG31:AG32)/AVERAGE(AG31:AG32))</f>
        <v/>
      </c>
      <c r="AJ32" s="22">
        <f t="array" ref="AJ32">IF(AG32="","", IFERROR(((IF(AG$5&lt;&gt;"", AG$5*Y$5, 0) + SUMPRODUCT(--(AG$6:AG32&lt;&gt;""), AG$6:AG32, (Y$6:Y32-Y$5:Y31)))/1000), ""))</f>
        <v/>
      </c>
      <c r="AK32" s="27">
        <f>AK31+1</f>
        <v/>
      </c>
      <c r="AL32" s="27">
        <f>AM31</f>
        <v/>
      </c>
      <c r="AM32" s="27" t="n"/>
      <c r="AN32" s="27" t="n"/>
      <c r="AO32" s="27" t="inlineStr">
        <is>
          <t>60mL/3s/30s</t>
        </is>
      </c>
      <c r="AP32" s="27" t="n"/>
      <c r="AQ32" s="27" t="n"/>
      <c r="AR32" s="27" t="n"/>
      <c r="AS32" s="27">
        <f>IF(AM32="", "", (AL32-AM32)*1000/(AK32-AK31))</f>
        <v/>
      </c>
      <c r="AT32" s="27">
        <f>IF(AS32="","",AS32/AP$2/3)</f>
        <v/>
      </c>
      <c r="AU32" s="27">
        <f>IF(AS32="","", 100*_xlfn.STDEV.P(AS31:AS32)/AVERAGE(AS31:AS32))</f>
        <v/>
      </c>
      <c r="AV32" s="22">
        <f t="array" ref="AV32">IF(AS32="","", IFERROR(((IF(AS$5&lt;&gt;"", AS$5*AK$5, 0) + SUMPRODUCT(--(AS$6:AS32&lt;&gt;""), AS$6:AS32, (AK$6:AK32-AK$5:AK31)))/1000), ""))</f>
        <v/>
      </c>
      <c r="AW32" s="27">
        <f>AW31+1</f>
        <v/>
      </c>
      <c r="AX32" s="27">
        <f>AY31</f>
        <v/>
      </c>
      <c r="AY32" s="27" t="n"/>
      <c r="AZ32" s="27" t="n"/>
      <c r="BA32" s="27" t="inlineStr">
        <is>
          <t>60mL/3s/30s</t>
        </is>
      </c>
      <c r="BB32" s="27" t="n"/>
      <c r="BC32" s="27" t="n"/>
      <c r="BD32" s="27" t="n"/>
      <c r="BE32" s="27">
        <f>IF(AY32="", "", (AX32-AY32)*1000/(AW32-AW31))</f>
        <v/>
      </c>
      <c r="BF32" s="27">
        <f>IF(BE32="","",BE32/BB$2/3)</f>
        <v/>
      </c>
      <c r="BG32" s="27">
        <f>IF(BE32="","", 100*_xlfn.STDEV.P(BE31:BE32)/AVERAGE(BE31:BE32))</f>
        <v/>
      </c>
      <c r="BH32" s="22">
        <f t="array" ref="BH32">IF(BE32="","", IFERROR(((IF(BE$5&lt;&gt;"", BE$5*AW$5, 0) + SUMPRODUCT(--(BE$6:BE32&lt;&gt;""), BE$6:BE32, (AW$6:AW32-AW$5:AW31)))/1000), ""))</f>
        <v/>
      </c>
      <c r="BI32" s="27">
        <f>BI31+1</f>
        <v/>
      </c>
      <c r="BJ32" s="27">
        <f>BK31</f>
        <v/>
      </c>
      <c r="BK32" s="27" t="n"/>
      <c r="BL32" s="27" t="n"/>
      <c r="BM32" s="27" t="inlineStr">
        <is>
          <t>60mL/3s/30s</t>
        </is>
      </c>
      <c r="BN32" s="27" t="n"/>
      <c r="BO32" s="27" t="n"/>
      <c r="BP32" s="27" t="n"/>
      <c r="BQ32" s="27">
        <f>IF(BK32="", "", (BJ32-BK32)*1000/(BI32-BI31))</f>
        <v/>
      </c>
      <c r="BR32" s="27">
        <f>IF(BQ32="","",BQ32/BN$2/3)</f>
        <v/>
      </c>
      <c r="BS32" s="27">
        <f>IF(BQ32="","", 100*_xlfn.STDEV.P(BQ31:BQ32)/AVERAGE(BQ31:BQ32))</f>
        <v/>
      </c>
      <c r="BT32" s="22">
        <f t="array" ref="BT32">IF(BQ32="","", IFERROR(((IF(BQ$5&lt;&gt;"", BQ$5*BI$5, 0) + SUMPRODUCT(--(BQ$6:BQ32&lt;&gt;""), BQ$6:BQ32, (BI$6:BI32-BI$5:BI31)))/1000), ""))</f>
        <v/>
      </c>
    </row>
    <row r="33">
      <c r="A33" s="26">
        <f>A32+1</f>
        <v/>
      </c>
      <c r="B33" s="27">
        <f>C32</f>
        <v/>
      </c>
      <c r="C33" s="27" t="n"/>
      <c r="D33" s="27" t="n"/>
      <c r="E33" s="27" t="inlineStr">
        <is>
          <t>60mL/3s/30s</t>
        </is>
      </c>
      <c r="F33" s="27" t="n"/>
      <c r="G33" s="27" t="n"/>
      <c r="H33" s="27" t="n"/>
      <c r="I33" s="27">
        <f>IF(C33="", "", (B33-C33)*1000/(A33-A32))</f>
        <v/>
      </c>
      <c r="J33" s="27">
        <f>IF(I33="","",I33/F$2/3)</f>
        <v/>
      </c>
      <c r="K33" s="27">
        <f>IF(I33="","", 100*_xlfn.STDEV.P(I32:I33)/AVERAGE(I32:I33))</f>
        <v/>
      </c>
      <c r="L33" s="22">
        <f t="array" ref="L33">IF(I33="","", IFERROR(((IF(I$5&lt;&gt;"", I$5*A$5, 0) + SUMPRODUCT(--(I$6:I33&lt;&gt;""), I$6:I33, (A$6:A33-A$5:A32)))/1000), ""))</f>
        <v/>
      </c>
      <c r="M33" s="27">
        <f>M32+1</f>
        <v/>
      </c>
      <c r="N33" s="27">
        <f>O32</f>
        <v/>
      </c>
      <c r="O33" s="27" t="n"/>
      <c r="P33" s="27" t="n"/>
      <c r="Q33" s="27" t="inlineStr">
        <is>
          <t>60mL/3s/30s</t>
        </is>
      </c>
      <c r="R33" s="27" t="n"/>
      <c r="S33" s="27" t="n"/>
      <c r="T33" s="27" t="n"/>
      <c r="U33" s="27">
        <f>IF(O33="", "", (N33-O33)*1000/(M33-M32))</f>
        <v/>
      </c>
      <c r="V33" s="27">
        <f>IF(U33="","",U33/R$2/3)</f>
        <v/>
      </c>
      <c r="W33" s="27">
        <f>IF(U33="","", 100*_xlfn.STDEV.P(U32:U33)/AVERAGE(U32:U33))</f>
        <v/>
      </c>
      <c r="X33" s="22">
        <f t="array" ref="X33">IF(U33="","", IFERROR(((IF(U$5&lt;&gt;"", U$5*M$5, 0) + SUMPRODUCT(--(U$6:U33&lt;&gt;""), U$6:U33, (M$6:M33-M$5:M32)))/1000), ""))</f>
        <v/>
      </c>
      <c r="Y33" s="27">
        <f>Y32+1</f>
        <v/>
      </c>
      <c r="Z33" s="27">
        <f>AA32</f>
        <v/>
      </c>
      <c r="AA33" s="27" t="n"/>
      <c r="AB33" s="27" t="n"/>
      <c r="AC33" s="27" t="inlineStr">
        <is>
          <t>60mL/3s/30s</t>
        </is>
      </c>
      <c r="AD33" s="27" t="n"/>
      <c r="AE33" s="27" t="n"/>
      <c r="AF33" s="27" t="n"/>
      <c r="AG33" s="27">
        <f>IF(AA33="", "", (Z33-AA33)*1000/(Y33-Y32))</f>
        <v/>
      </c>
      <c r="AH33" s="27">
        <f>IF(AG33="","",AG33/AD$2/3)</f>
        <v/>
      </c>
      <c r="AI33" s="27">
        <f>IF(AG33="","", 100*_xlfn.STDEV.P(AG32:AG33)/AVERAGE(AG32:AG33))</f>
        <v/>
      </c>
      <c r="AJ33" s="22">
        <f t="array" ref="AJ33">IF(AG33="","", IFERROR(((IF(AG$5&lt;&gt;"", AG$5*Y$5, 0) + SUMPRODUCT(--(AG$6:AG33&lt;&gt;""), AG$6:AG33, (Y$6:Y33-Y$5:Y32)))/1000), ""))</f>
        <v/>
      </c>
      <c r="AK33" s="27">
        <f>AK32+1</f>
        <v/>
      </c>
      <c r="AL33" s="27">
        <f>AM32</f>
        <v/>
      </c>
      <c r="AM33" s="27" t="n"/>
      <c r="AN33" s="27" t="n"/>
      <c r="AO33" s="27" t="inlineStr">
        <is>
          <t>60mL/3s/30s</t>
        </is>
      </c>
      <c r="AP33" s="27" t="n"/>
      <c r="AQ33" s="27" t="n"/>
      <c r="AR33" s="27" t="n"/>
      <c r="AS33" s="27">
        <f>IF(AM33="", "", (AL33-AM33)*1000/(AK33-AK32))</f>
        <v/>
      </c>
      <c r="AT33" s="27">
        <f>IF(AS33="","",AS33/AP$2/3)</f>
        <v/>
      </c>
      <c r="AU33" s="27">
        <f>IF(AS33="","", 100*_xlfn.STDEV.P(AS32:AS33)/AVERAGE(AS32:AS33))</f>
        <v/>
      </c>
      <c r="AV33" s="22">
        <f t="array" ref="AV33">IF(AS33="","", IFERROR(((IF(AS$5&lt;&gt;"", AS$5*AK$5, 0) + SUMPRODUCT(--(AS$6:AS33&lt;&gt;""), AS$6:AS33, (AK$6:AK33-AK$5:AK32)))/1000), ""))</f>
        <v/>
      </c>
      <c r="AW33" s="27">
        <f>AW32+1</f>
        <v/>
      </c>
      <c r="AX33" s="27">
        <f>AY32</f>
        <v/>
      </c>
      <c r="AY33" s="27" t="n"/>
      <c r="AZ33" s="27" t="n"/>
      <c r="BA33" s="27" t="inlineStr">
        <is>
          <t>60mL/3s/30s</t>
        </is>
      </c>
      <c r="BB33" s="27" t="n"/>
      <c r="BC33" s="27" t="n"/>
      <c r="BD33" s="27" t="n"/>
      <c r="BE33" s="27">
        <f>IF(AY33="", "", (AX33-AY33)*1000/(AW33-AW32))</f>
        <v/>
      </c>
      <c r="BF33" s="27">
        <f>IF(BE33="","",BE33/BB$2/3)</f>
        <v/>
      </c>
      <c r="BG33" s="27">
        <f>IF(BE33="","", 100*_xlfn.STDEV.P(BE32:BE33)/AVERAGE(BE32:BE33))</f>
        <v/>
      </c>
      <c r="BH33" s="22">
        <f t="array" ref="BH33">IF(BE33="","", IFERROR(((IF(BE$5&lt;&gt;"", BE$5*AW$5, 0) + SUMPRODUCT(--(BE$6:BE33&lt;&gt;""), BE$6:BE33, (AW$6:AW33-AW$5:AW32)))/1000), ""))</f>
        <v/>
      </c>
      <c r="BI33" s="27">
        <f>BI32+1</f>
        <v/>
      </c>
      <c r="BJ33" s="27">
        <f>BK32</f>
        <v/>
      </c>
      <c r="BK33" s="27" t="n"/>
      <c r="BL33" s="27" t="n"/>
      <c r="BM33" s="27" t="inlineStr">
        <is>
          <t>60mL/3s/30s</t>
        </is>
      </c>
      <c r="BN33" s="27" t="n"/>
      <c r="BO33" s="27" t="n"/>
      <c r="BP33" s="27" t="n"/>
      <c r="BQ33" s="27">
        <f>IF(BK33="", "", (BJ33-BK33)*1000/(BI33-BI32))</f>
        <v/>
      </c>
      <c r="BR33" s="27">
        <f>IF(BQ33="","",BQ33/BN$2/3)</f>
        <v/>
      </c>
      <c r="BS33" s="27">
        <f>IF(BQ33="","", 100*_xlfn.STDEV.P(BQ32:BQ33)/AVERAGE(BQ32:BQ33))</f>
        <v/>
      </c>
      <c r="BT33" s="22">
        <f t="array" ref="BT33">IF(BQ33="","", IFERROR(((IF(BQ$5&lt;&gt;"", BQ$5*BI$5, 0) + SUMPRODUCT(--(BQ$6:BQ33&lt;&gt;""), BQ$6:BQ33, (BI$6:BI33-BI$5:BI32)))/1000), ""))</f>
        <v/>
      </c>
    </row>
    <row r="34">
      <c r="A34" s="28">
        <f>A33+1</f>
        <v/>
      </c>
      <c r="B34" s="29">
        <f>C33</f>
        <v/>
      </c>
      <c r="C34" s="29" t="n"/>
      <c r="D34" s="29" t="n"/>
      <c r="E34" s="29" t="inlineStr">
        <is>
          <t>60mL/3s/30s</t>
        </is>
      </c>
      <c r="F34" s="29" t="n"/>
      <c r="G34" s="29" t="n"/>
      <c r="H34" s="29" t="n"/>
      <c r="I34" s="29">
        <f>IF(C34="", "", (B34-C34)*1000/(A34-A33))</f>
        <v/>
      </c>
      <c r="J34" s="27">
        <f>IF(I34="","",I34/F$2/3)</f>
        <v/>
      </c>
      <c r="K34" s="29">
        <f>IF(I34="","", 100*_xlfn.STDEV.P(I33:I34)/AVERAGE(I33:I34))</f>
        <v/>
      </c>
      <c r="L34" s="30">
        <f t="array" ref="L34">IF(I34="","", IFERROR(((IF(I$5&lt;&gt;"", I$5*A$5, 0) + SUMPRODUCT(--(I$6:I34&lt;&gt;""), I$6:I34, (A$6:A34-A$5:A33)))/1000), ""))</f>
        <v/>
      </c>
      <c r="M34" s="29">
        <f>M33+1</f>
        <v/>
      </c>
      <c r="N34" s="29">
        <f>O33</f>
        <v/>
      </c>
      <c r="O34" s="29" t="n"/>
      <c r="P34" s="29" t="n"/>
      <c r="Q34" s="29" t="inlineStr">
        <is>
          <t>60mL/3s/30s</t>
        </is>
      </c>
      <c r="R34" s="29" t="n"/>
      <c r="S34" s="29" t="n"/>
      <c r="T34" s="29" t="n"/>
      <c r="U34" s="29">
        <f>IF(O34="", "", (N34-O34)*1000/(M34-M33))</f>
        <v/>
      </c>
      <c r="V34" s="27">
        <f>IF(U34="","",U34/R$2/3)</f>
        <v/>
      </c>
      <c r="W34" s="29">
        <f>IF(U34="","", 100*_xlfn.STDEV.P(U33:U34)/AVERAGE(U33:U34))</f>
        <v/>
      </c>
      <c r="X34" s="30">
        <f t="array" ref="X34">IF(U34="","", IFERROR(((IF(U$5&lt;&gt;"", U$5*M$5, 0) + SUMPRODUCT(--(U$6:U34&lt;&gt;""), U$6:U34, (M$6:M34-M$5:M33)))/1000), ""))</f>
        <v/>
      </c>
      <c r="Y34" s="29">
        <f>Y33+1</f>
        <v/>
      </c>
      <c r="Z34" s="29">
        <f>AA33</f>
        <v/>
      </c>
      <c r="AA34" s="29" t="n"/>
      <c r="AB34" s="29" t="n"/>
      <c r="AC34" s="29" t="inlineStr">
        <is>
          <t>60mL/3s/30s</t>
        </is>
      </c>
      <c r="AD34" s="29" t="n"/>
      <c r="AE34" s="29" t="n"/>
      <c r="AF34" s="29" t="n"/>
      <c r="AG34" s="29">
        <f>IF(AA34="", "", (Z34-AA34)*1000/(Y34-Y33))</f>
        <v/>
      </c>
      <c r="AH34" s="27">
        <f>IF(AG34="","",AG34/AD$2/3)</f>
        <v/>
      </c>
      <c r="AI34" s="29">
        <f>IF(AG34="","", 100*_xlfn.STDEV.P(AG33:AG34)/AVERAGE(AG33:AG34))</f>
        <v/>
      </c>
      <c r="AJ34" s="30">
        <f t="array" ref="AJ34">IF(AG34="","", IFERROR(((IF(AG$5&lt;&gt;"", AG$5*Y$5, 0) + SUMPRODUCT(--(AG$6:AG34&lt;&gt;""), AG$6:AG34, (Y$6:Y34-Y$5:Y33)))/1000), ""))</f>
        <v/>
      </c>
      <c r="AK34" s="29">
        <f>AK33+1</f>
        <v/>
      </c>
      <c r="AL34" s="29">
        <f>AM33</f>
        <v/>
      </c>
      <c r="AM34" s="29" t="n"/>
      <c r="AN34" s="29" t="n"/>
      <c r="AO34" s="29" t="inlineStr">
        <is>
          <t>60mL/3s/30s</t>
        </is>
      </c>
      <c r="AP34" s="29" t="n"/>
      <c r="AQ34" s="29" t="n"/>
      <c r="AR34" s="29" t="n"/>
      <c r="AS34" s="29">
        <f>IF(AM34="", "", (AL34-AM34)*1000/(AK34-AK33))</f>
        <v/>
      </c>
      <c r="AT34" s="27">
        <f>IF(AS34="","",AS34/AP$2/3)</f>
        <v/>
      </c>
      <c r="AU34" s="29">
        <f>IF(AS34="","", 100*_xlfn.STDEV.P(AS33:AS34)/AVERAGE(AS33:AS34))</f>
        <v/>
      </c>
      <c r="AV34" s="30">
        <f t="array" ref="AV34">IF(AS34="","", IFERROR(((IF(AS$5&lt;&gt;"", AS$5*AK$5, 0) + SUMPRODUCT(--(AS$6:AS34&lt;&gt;""), AS$6:AS34, (AK$6:AK34-AK$5:AK33)))/1000), ""))</f>
        <v/>
      </c>
      <c r="AW34" s="29">
        <f>AW33+1</f>
        <v/>
      </c>
      <c r="AX34" s="29">
        <f>AY33</f>
        <v/>
      </c>
      <c r="AY34" s="29" t="n"/>
      <c r="AZ34" s="29" t="n"/>
      <c r="BA34" s="29" t="inlineStr">
        <is>
          <t>60mL/3s/30s</t>
        </is>
      </c>
      <c r="BB34" s="29" t="n"/>
      <c r="BC34" s="29" t="n"/>
      <c r="BD34" s="29" t="n"/>
      <c r="BE34" s="29">
        <f>IF(AY34="", "", (AX34-AY34)*1000/(AW34-AW33))</f>
        <v/>
      </c>
      <c r="BF34" s="27">
        <f>IF(BE34="","",BE34/BB$2/3)</f>
        <v/>
      </c>
      <c r="BG34" s="29">
        <f>IF(BE34="","", 100*_xlfn.STDEV.P(BE33:BE34)/AVERAGE(BE33:BE34))</f>
        <v/>
      </c>
      <c r="BH34" s="30">
        <f t="array" ref="BH34">IF(BE34="","", IFERROR(((IF(BE$5&lt;&gt;"", BE$5*AW$5, 0) + SUMPRODUCT(--(BE$6:BE34&lt;&gt;""), BE$6:BE34, (AW$6:AW34-AW$5:AW33)))/1000), ""))</f>
        <v/>
      </c>
      <c r="BI34" s="29">
        <f>BI33+1</f>
        <v/>
      </c>
      <c r="BJ34" s="29">
        <f>BK33</f>
        <v/>
      </c>
      <c r="BK34" s="29" t="n"/>
      <c r="BL34" s="29" t="n"/>
      <c r="BM34" s="29" t="inlineStr">
        <is>
          <t>60mL/3s/30s</t>
        </is>
      </c>
      <c r="BN34" s="29" t="n"/>
      <c r="BO34" s="29" t="n"/>
      <c r="BP34" s="29" t="n"/>
      <c r="BQ34" s="29">
        <f>IF(BK34="", "", (BJ34-BK34)*1000/(BI34-BI33))</f>
        <v/>
      </c>
      <c r="BR34" s="27">
        <f>IF(BQ34="","",BQ34/BN$2/3)</f>
        <v/>
      </c>
      <c r="BS34" s="29">
        <f>IF(BQ34="","", 100*_xlfn.STDEV.P(BQ33:BQ34)/AVERAGE(BQ33:BQ34))</f>
        <v/>
      </c>
      <c r="BT34" s="30">
        <f t="array" ref="BT34">IF(BQ34="","", IFERROR(((IF(BQ$5&lt;&gt;"", BQ$5*BI$5, 0) + SUMPRODUCT(--(BQ$6:BQ34&lt;&gt;""), BQ$6:BQ34, (BI$6:BI34-BI$5:BI33)))/1000), ""))</f>
        <v/>
      </c>
    </row>
    <row r="35" ht="45" customHeight="1">
      <c r="A35" s="23">
        <f>A34+1</f>
        <v/>
      </c>
      <c r="B35" s="24">
        <f>C34</f>
        <v/>
      </c>
      <c r="C35" s="24" t="n"/>
      <c r="D35" s="24" t="n"/>
      <c r="E35" s="24" t="inlineStr">
        <is>
          <t>60mL/3s/30s</t>
        </is>
      </c>
      <c r="F35" s="24" t="n"/>
      <c r="G35" s="24" t="n"/>
      <c r="H35" s="24" t="inlineStr">
        <is>
          <t>AFTER THIRD ROUND</t>
        </is>
      </c>
      <c r="I35" s="24">
        <f>IF(C35="", "", (B35-C35)*1000/(A35-A34))</f>
        <v/>
      </c>
      <c r="J35" s="24">
        <f>IF(I35="","",I35/F$2/3)</f>
        <v/>
      </c>
      <c r="K35" s="24">
        <f>IF(I35="","", 100*_xlfn.STDEV.P(I34:I35)/AVERAGE(I34:I35))</f>
        <v/>
      </c>
      <c r="L35" s="25">
        <f t="array" ref="L35">IF(I35="","", IFERROR(((IF(I$5&lt;&gt;"", I$5*A$5, 0) + SUMPRODUCT(--(I$6:I35&lt;&gt;""), I$6:I35, (A$6:A35-A$5:A34)))/1000), ""))</f>
        <v/>
      </c>
      <c r="M35" s="24">
        <f>M34+1</f>
        <v/>
      </c>
      <c r="N35" s="24">
        <f>O34</f>
        <v/>
      </c>
      <c r="O35" s="24" t="n"/>
      <c r="P35" s="24" t="n"/>
      <c r="Q35" s="24" t="inlineStr">
        <is>
          <t>60mL/3s/30s</t>
        </is>
      </c>
      <c r="R35" s="24" t="n"/>
      <c r="S35" s="24" t="n"/>
      <c r="T35" s="24" t="inlineStr">
        <is>
          <t>AFTER THIRD ROUND</t>
        </is>
      </c>
      <c r="U35" s="24">
        <f>IF(O35="", "", (N35-O35)*1000/(M35-M34))</f>
        <v/>
      </c>
      <c r="V35" s="24">
        <f>IF(U35="","",U35/R$2/3)</f>
        <v/>
      </c>
      <c r="W35" s="24">
        <f>IF(U35="","", 100*_xlfn.STDEV.P(U34:U35)/AVERAGE(U34:U35))</f>
        <v/>
      </c>
      <c r="X35" s="25">
        <f t="array" ref="X35">IF(U35="","", IFERROR(((IF(U$5&lt;&gt;"", U$5*M$5, 0) + SUMPRODUCT(--(U$6:U35&lt;&gt;""), U$6:U35, (M$6:M35-M$5:M34)))/1000), ""))</f>
        <v/>
      </c>
      <c r="Y35" s="24">
        <f>Y34+1</f>
        <v/>
      </c>
      <c r="Z35" s="24">
        <f>AA34</f>
        <v/>
      </c>
      <c r="AA35" s="24" t="n"/>
      <c r="AB35" s="24" t="n"/>
      <c r="AC35" s="24" t="inlineStr">
        <is>
          <t>60mL/3s/30s</t>
        </is>
      </c>
      <c r="AD35" s="24" t="n"/>
      <c r="AE35" s="24" t="n"/>
      <c r="AF35" s="24" t="inlineStr">
        <is>
          <t>AFTER THIRD ROUND</t>
        </is>
      </c>
      <c r="AG35" s="24">
        <f>IF(AA35="", "", (Z35-AA35)*1000/(Y35-Y34))</f>
        <v/>
      </c>
      <c r="AH35" s="24">
        <f>IF(AG35="","",AG35/AD$2/3)</f>
        <v/>
      </c>
      <c r="AI35" s="24">
        <f>IF(AG35="","", 100*_xlfn.STDEV.P(AG34:AG35)/AVERAGE(AG34:AG35))</f>
        <v/>
      </c>
      <c r="AJ35" s="25">
        <f t="array" ref="AJ35">IF(AG35="","", IFERROR(((IF(AG$5&lt;&gt;"", AG$5*Y$5, 0) + SUMPRODUCT(--(AG$6:AG35&lt;&gt;""), AG$6:AG35, (Y$6:Y35-Y$5:Y34)))/1000), ""))</f>
        <v/>
      </c>
      <c r="AK35" s="24">
        <f>AK34+1</f>
        <v/>
      </c>
      <c r="AL35" s="24">
        <f>AM34</f>
        <v/>
      </c>
      <c r="AM35" s="24" t="n"/>
      <c r="AN35" s="24" t="n"/>
      <c r="AO35" s="24" t="inlineStr">
        <is>
          <t>60mL/3s/30s</t>
        </is>
      </c>
      <c r="AP35" s="24" t="n"/>
      <c r="AQ35" s="24" t="n"/>
      <c r="AR35" s="24" t="inlineStr">
        <is>
          <t>AFTER THIRD ROUND</t>
        </is>
      </c>
      <c r="AS35" s="24">
        <f>IF(AM35="", "", (AL35-AM35)*1000/(AK35-AK34))</f>
        <v/>
      </c>
      <c r="AT35" s="24">
        <f>IF(AS35="","",AS35/AP$2/3)</f>
        <v/>
      </c>
      <c r="AU35" s="24">
        <f>IF(AS35="","", 100*_xlfn.STDEV.P(AS34:AS35)/AVERAGE(AS34:AS35))</f>
        <v/>
      </c>
      <c r="AV35" s="25">
        <f t="array" ref="AV35">IF(AS35="","", IFERROR(((IF(AS$5&lt;&gt;"", AS$5*AK$5, 0) + SUMPRODUCT(--(AS$6:AS35&lt;&gt;""), AS$6:AS35, (AK$6:AK35-AK$5:AK34)))/1000), ""))</f>
        <v/>
      </c>
      <c r="AW35" s="24">
        <f>AW34+1</f>
        <v/>
      </c>
      <c r="AX35" s="24">
        <f>AY34</f>
        <v/>
      </c>
      <c r="AY35" s="24" t="n"/>
      <c r="AZ35" s="24" t="n"/>
      <c r="BA35" s="24" t="inlineStr">
        <is>
          <t>60mL/3s/30s</t>
        </is>
      </c>
      <c r="BB35" s="24" t="n"/>
      <c r="BC35" s="24" t="n"/>
      <c r="BD35" s="24" t="inlineStr">
        <is>
          <t>AFTER THIRD ROUND</t>
        </is>
      </c>
      <c r="BE35" s="24">
        <f>IF(AY35="", "", (AX35-AY35)*1000/(AW35-AW34))</f>
        <v/>
      </c>
      <c r="BF35" s="24">
        <f>IF(BE35="","",BE35/BB$2/3)</f>
        <v/>
      </c>
      <c r="BG35" s="24">
        <f>IF(BE35="","", 100*_xlfn.STDEV.P(BE34:BE35)/AVERAGE(BE34:BE35))</f>
        <v/>
      </c>
      <c r="BH35" s="25">
        <f t="array" ref="BH35">IF(BE35="","", IFERROR(((IF(BE$5&lt;&gt;"", BE$5*AW$5, 0) + SUMPRODUCT(--(BE$6:BE35&lt;&gt;""), BE$6:BE35, (AW$6:AW35-AW$5:AW34)))/1000), ""))</f>
        <v/>
      </c>
      <c r="BI35" s="24">
        <f>BI34+1</f>
        <v/>
      </c>
      <c r="BJ35" s="24">
        <f>BK34</f>
        <v/>
      </c>
      <c r="BK35" s="24" t="n"/>
      <c r="BL35" s="24" t="n"/>
      <c r="BM35" s="24" t="inlineStr">
        <is>
          <t>60mL/3s/30s</t>
        </is>
      </c>
      <c r="BN35" s="24" t="n"/>
      <c r="BO35" s="24" t="n"/>
      <c r="BP35" s="24" t="inlineStr">
        <is>
          <t>AFTER THIRD ROUND</t>
        </is>
      </c>
      <c r="BQ35" s="24">
        <f>IF(BK35="", "", (BJ35-BK35)*1000/(BI35-BI34))</f>
        <v/>
      </c>
      <c r="BR35" s="24">
        <f>IF(BQ35="","",BQ35/BN$2/3)</f>
        <v/>
      </c>
      <c r="BS35" s="24">
        <f>IF(BQ35="","", 100*_xlfn.STDEV.P(BQ34:BQ35)/AVERAGE(BQ34:BQ35))</f>
        <v/>
      </c>
      <c r="BT35" s="25">
        <f t="array" ref="BT35">IF(BQ35="","", IFERROR(((IF(BQ$5&lt;&gt;"", BQ$5*BI$5, 0) + SUMPRODUCT(--(BQ$6:BQ35&lt;&gt;""), BQ$6:BQ35, (BI$6:BI35-BI$5:BI34)))/1000), ""))</f>
        <v/>
      </c>
    </row>
    <row r="36">
      <c r="A36" s="26">
        <f>A35+1</f>
        <v/>
      </c>
      <c r="B36" s="27">
        <f>C35</f>
        <v/>
      </c>
      <c r="C36" s="27" t="n"/>
      <c r="D36" s="27" t="n"/>
      <c r="E36" s="27" t="inlineStr">
        <is>
          <t>60mL/3s/30s</t>
        </is>
      </c>
      <c r="F36" s="27" t="n"/>
      <c r="G36" s="27" t="n"/>
      <c r="H36" s="27" t="n"/>
      <c r="I36" s="27">
        <f>IF(C36="", "", (B36-C36)*1000/(A36-A35))</f>
        <v/>
      </c>
      <c r="J36" s="27">
        <f>IF(I36="","",I36/F$2/3)</f>
        <v/>
      </c>
      <c r="K36" s="27">
        <f>IF(I36="","", 100*_xlfn.STDEV.P(I35:I36)/AVERAGE(I35:I36))</f>
        <v/>
      </c>
      <c r="L36" s="22">
        <f t="array" ref="L36">IF(I36="","", IFERROR(((IF(I$5&lt;&gt;"", I$5*A$5, 0) + SUMPRODUCT(--(I$6:I36&lt;&gt;""), I$6:I36, (A$6:A36-A$5:A35)))/1000), ""))</f>
        <v/>
      </c>
      <c r="M36" s="27">
        <f>M35+1</f>
        <v/>
      </c>
      <c r="N36" s="27">
        <f>O35</f>
        <v/>
      </c>
      <c r="O36" s="27" t="n"/>
      <c r="P36" s="27" t="n"/>
      <c r="Q36" s="27" t="inlineStr">
        <is>
          <t>60mL/3s/30s</t>
        </is>
      </c>
      <c r="R36" s="27" t="n"/>
      <c r="S36" s="27" t="n"/>
      <c r="T36" s="27" t="n"/>
      <c r="U36" s="27">
        <f>IF(O36="", "", (N36-O36)*1000/(M36-M35))</f>
        <v/>
      </c>
      <c r="V36" s="27">
        <f>IF(U36="","",U36/R$2/3)</f>
        <v/>
      </c>
      <c r="W36" s="27">
        <f>IF(U36="","", 100*_xlfn.STDEV.P(U35:U36)/AVERAGE(U35:U36))</f>
        <v/>
      </c>
      <c r="X36" s="22">
        <f t="array" ref="X36">IF(U36="","", IFERROR(((IF(U$5&lt;&gt;"", U$5*M$5, 0) + SUMPRODUCT(--(U$6:U36&lt;&gt;""), U$6:U36, (M$6:M36-M$5:M35)))/1000), ""))</f>
        <v/>
      </c>
      <c r="Y36" s="27">
        <f>Y35+1</f>
        <v/>
      </c>
      <c r="Z36" s="27">
        <f>AA35</f>
        <v/>
      </c>
      <c r="AA36" s="27" t="n"/>
      <c r="AB36" s="27" t="n"/>
      <c r="AC36" s="27" t="inlineStr">
        <is>
          <t>60mL/3s/30s</t>
        </is>
      </c>
      <c r="AD36" s="27" t="n"/>
      <c r="AE36" s="27" t="n"/>
      <c r="AF36" s="27" t="n"/>
      <c r="AG36" s="27">
        <f>IF(AA36="", "", (Z36-AA36)*1000/(Y36-Y35))</f>
        <v/>
      </c>
      <c r="AH36" s="27">
        <f>IF(AG36="","",AG36/AD$2/3)</f>
        <v/>
      </c>
      <c r="AI36" s="27">
        <f>IF(AG36="","", 100*_xlfn.STDEV.P(AG35:AG36)/AVERAGE(AG35:AG36))</f>
        <v/>
      </c>
      <c r="AJ36" s="22">
        <f t="array" ref="AJ36">IF(AG36="","", IFERROR(((IF(AG$5&lt;&gt;"", AG$5*Y$5, 0) + SUMPRODUCT(--(AG$6:AG36&lt;&gt;""), AG$6:AG36, (Y$6:Y36-Y$5:Y35)))/1000), ""))</f>
        <v/>
      </c>
      <c r="AK36" s="27">
        <f>AK35+1</f>
        <v/>
      </c>
      <c r="AL36" s="27">
        <f>AM35</f>
        <v/>
      </c>
      <c r="AM36" s="27" t="n"/>
      <c r="AN36" s="27" t="n"/>
      <c r="AO36" s="27" t="inlineStr">
        <is>
          <t>60mL/3s/30s</t>
        </is>
      </c>
      <c r="AP36" s="27" t="n"/>
      <c r="AQ36" s="27" t="n"/>
      <c r="AR36" s="27" t="n"/>
      <c r="AS36" s="27">
        <f>IF(AM36="", "", (AL36-AM36)*1000/(AK36-AK35))</f>
        <v/>
      </c>
      <c r="AT36" s="27">
        <f>IF(AS36="","",AS36/AP$2/3)</f>
        <v/>
      </c>
      <c r="AU36" s="27">
        <f>IF(AS36="","", 100*_xlfn.STDEV.P(AS35:AS36)/AVERAGE(AS35:AS36))</f>
        <v/>
      </c>
      <c r="AV36" s="22">
        <f t="array" ref="AV36">IF(AS36="","", IFERROR(((IF(AS$5&lt;&gt;"", AS$5*AK$5, 0) + SUMPRODUCT(--(AS$6:AS36&lt;&gt;""), AS$6:AS36, (AK$6:AK36-AK$5:AK35)))/1000), ""))</f>
        <v/>
      </c>
      <c r="AW36" s="27">
        <f>AW35+1</f>
        <v/>
      </c>
      <c r="AX36" s="27">
        <f>AY35</f>
        <v/>
      </c>
      <c r="AY36" s="27" t="n"/>
      <c r="AZ36" s="27" t="n"/>
      <c r="BA36" s="27" t="inlineStr">
        <is>
          <t>60mL/3s/30s</t>
        </is>
      </c>
      <c r="BB36" s="27" t="n"/>
      <c r="BC36" s="27" t="n"/>
      <c r="BD36" s="27" t="n"/>
      <c r="BE36" s="27">
        <f>IF(AY36="", "", (AX36-AY36)*1000/(AW36-AW35))</f>
        <v/>
      </c>
      <c r="BF36" s="27">
        <f>IF(BE36="","",BE36/BB$2/3)</f>
        <v/>
      </c>
      <c r="BG36" s="27">
        <f>IF(BE36="","", 100*_xlfn.STDEV.P(BE35:BE36)/AVERAGE(BE35:BE36))</f>
        <v/>
      </c>
      <c r="BH36" s="22">
        <f t="array" ref="BH36">IF(BE36="","", IFERROR(((IF(BE$5&lt;&gt;"", BE$5*AW$5, 0) + SUMPRODUCT(--(BE$6:BE36&lt;&gt;""), BE$6:BE36, (AW$6:AW36-AW$5:AW35)))/1000), ""))</f>
        <v/>
      </c>
      <c r="BI36" s="27">
        <f>BI35+1</f>
        <v/>
      </c>
      <c r="BJ36" s="27">
        <f>BK35</f>
        <v/>
      </c>
      <c r="BK36" s="27" t="n"/>
      <c r="BL36" s="27" t="n"/>
      <c r="BM36" s="27" t="inlineStr">
        <is>
          <t>60mL/3s/30s</t>
        </is>
      </c>
      <c r="BN36" s="27" t="n"/>
      <c r="BO36" s="27" t="n"/>
      <c r="BP36" s="27" t="n"/>
      <c r="BQ36" s="27">
        <f>IF(BK36="", "", (BJ36-BK36)*1000/(BI36-BI35))</f>
        <v/>
      </c>
      <c r="BR36" s="27">
        <f>IF(BQ36="","",BQ36/BN$2/3)</f>
        <v/>
      </c>
      <c r="BS36" s="27">
        <f>IF(BQ36="","", 100*_xlfn.STDEV.P(BQ35:BQ36)/AVERAGE(BQ35:BQ36))</f>
        <v/>
      </c>
      <c r="BT36" s="22">
        <f t="array" ref="BT36">IF(BQ36="","", IFERROR(((IF(BQ$5&lt;&gt;"", BQ$5*BI$5, 0) + SUMPRODUCT(--(BQ$6:BQ36&lt;&gt;""), BQ$6:BQ36, (BI$6:BI36-BI$5:BI35)))/1000), ""))</f>
        <v/>
      </c>
    </row>
    <row r="37">
      <c r="A37" s="26">
        <f>A36+1</f>
        <v/>
      </c>
      <c r="B37" s="27">
        <f>C36</f>
        <v/>
      </c>
      <c r="C37" s="27" t="n"/>
      <c r="D37" s="27" t="n"/>
      <c r="E37" s="27" t="inlineStr">
        <is>
          <t>60mL/3s/30s</t>
        </is>
      </c>
      <c r="F37" s="27" t="n"/>
      <c r="G37" s="27" t="n"/>
      <c r="H37" s="27" t="n"/>
      <c r="I37" s="27">
        <f>IF(C37="", "", (B37-C37)*1000/(A37-A36))</f>
        <v/>
      </c>
      <c r="J37" s="27">
        <f>IF(I37="","",I37/F$2/3)</f>
        <v/>
      </c>
      <c r="K37" s="27">
        <f>IF(I37="","", 100*_xlfn.STDEV.P(I36:I37)/AVERAGE(I36:I37))</f>
        <v/>
      </c>
      <c r="L37" s="22">
        <f t="array" ref="L37">IF(I37="","", IFERROR(((IF(I$5&lt;&gt;"", I$5*A$5, 0) + SUMPRODUCT(--(I$6:I37&lt;&gt;""), I$6:I37, (A$6:A37-A$5:A36)))/1000), ""))</f>
        <v/>
      </c>
      <c r="M37" s="27">
        <f>M36+1</f>
        <v/>
      </c>
      <c r="N37" s="27">
        <f>O36</f>
        <v/>
      </c>
      <c r="O37" s="27" t="n"/>
      <c r="P37" s="27" t="n"/>
      <c r="Q37" s="27" t="inlineStr">
        <is>
          <t>60mL/3s/30s</t>
        </is>
      </c>
      <c r="R37" s="27" t="n"/>
      <c r="S37" s="27" t="n"/>
      <c r="T37" s="27" t="n"/>
      <c r="U37" s="27">
        <f>IF(O37="", "", (N37-O37)*1000/(M37-M36))</f>
        <v/>
      </c>
      <c r="V37" s="27">
        <f>IF(U37="","",U37/R$2/3)</f>
        <v/>
      </c>
      <c r="W37" s="27">
        <f>IF(U37="","", 100*_xlfn.STDEV.P(U36:U37)/AVERAGE(U36:U37))</f>
        <v/>
      </c>
      <c r="X37" s="22">
        <f t="array" ref="X37">IF(U37="","", IFERROR(((IF(U$5&lt;&gt;"", U$5*M$5, 0) + SUMPRODUCT(--(U$6:U37&lt;&gt;""), U$6:U37, (M$6:M37-M$5:M36)))/1000), ""))</f>
        <v/>
      </c>
      <c r="Y37" s="27">
        <f>Y36+1</f>
        <v/>
      </c>
      <c r="Z37" s="27">
        <f>AA36</f>
        <v/>
      </c>
      <c r="AA37" s="27" t="n"/>
      <c r="AB37" s="27" t="n"/>
      <c r="AC37" s="27" t="inlineStr">
        <is>
          <t>60mL/3s/30s</t>
        </is>
      </c>
      <c r="AD37" s="27" t="n"/>
      <c r="AE37" s="27" t="n"/>
      <c r="AF37" s="27" t="n"/>
      <c r="AG37" s="27">
        <f>IF(AA37="", "", (Z37-AA37)*1000/(Y37-Y36))</f>
        <v/>
      </c>
      <c r="AH37" s="27">
        <f>IF(AG37="","",AG37/AD$2/3)</f>
        <v/>
      </c>
      <c r="AI37" s="27">
        <f>IF(AG37="","", 100*_xlfn.STDEV.P(AG36:AG37)/AVERAGE(AG36:AG37))</f>
        <v/>
      </c>
      <c r="AJ37" s="22">
        <f t="array" ref="AJ37">IF(AG37="","", IFERROR(((IF(AG$5&lt;&gt;"", AG$5*Y$5, 0) + SUMPRODUCT(--(AG$6:AG37&lt;&gt;""), AG$6:AG37, (Y$6:Y37-Y$5:Y36)))/1000), ""))</f>
        <v/>
      </c>
      <c r="AK37" s="27">
        <f>AK36+1</f>
        <v/>
      </c>
      <c r="AL37" s="27">
        <f>AM36</f>
        <v/>
      </c>
      <c r="AM37" s="27" t="n"/>
      <c r="AN37" s="27" t="n"/>
      <c r="AO37" s="27" t="inlineStr">
        <is>
          <t>60mL/3s/30s</t>
        </is>
      </c>
      <c r="AP37" s="27" t="n"/>
      <c r="AQ37" s="27" t="n"/>
      <c r="AR37" s="27" t="n"/>
      <c r="AS37" s="27">
        <f>IF(AM37="", "", (AL37-AM37)*1000/(AK37-AK36))</f>
        <v/>
      </c>
      <c r="AT37" s="27">
        <f>IF(AS37="","",AS37/AP$2/3)</f>
        <v/>
      </c>
      <c r="AU37" s="27">
        <f>IF(AS37="","", 100*_xlfn.STDEV.P(AS36:AS37)/AVERAGE(AS36:AS37))</f>
        <v/>
      </c>
      <c r="AV37" s="22">
        <f t="array" ref="AV37">IF(AS37="","", IFERROR(((IF(AS$5&lt;&gt;"", AS$5*AK$5, 0) + SUMPRODUCT(--(AS$6:AS37&lt;&gt;""), AS$6:AS37, (AK$6:AK37-AK$5:AK36)))/1000), ""))</f>
        <v/>
      </c>
      <c r="AW37" s="27">
        <f>AW36+1</f>
        <v/>
      </c>
      <c r="AX37" s="27">
        <f>AY36</f>
        <v/>
      </c>
      <c r="AY37" s="27" t="n"/>
      <c r="AZ37" s="27" t="n"/>
      <c r="BA37" s="27" t="inlineStr">
        <is>
          <t>60mL/3s/30s</t>
        </is>
      </c>
      <c r="BB37" s="27" t="n"/>
      <c r="BC37" s="27" t="n"/>
      <c r="BD37" s="27" t="n"/>
      <c r="BE37" s="27">
        <f>IF(AY37="", "", (AX37-AY37)*1000/(AW37-AW36))</f>
        <v/>
      </c>
      <c r="BF37" s="27">
        <f>IF(BE37="","",BE37/BB$2/3)</f>
        <v/>
      </c>
      <c r="BG37" s="27">
        <f>IF(BE37="","", 100*_xlfn.STDEV.P(BE36:BE37)/AVERAGE(BE36:BE37))</f>
        <v/>
      </c>
      <c r="BH37" s="22">
        <f t="array" ref="BH37">IF(BE37="","", IFERROR(((IF(BE$5&lt;&gt;"", BE$5*AW$5, 0) + SUMPRODUCT(--(BE$6:BE37&lt;&gt;""), BE$6:BE37, (AW$6:AW37-AW$5:AW36)))/1000), ""))</f>
        <v/>
      </c>
      <c r="BI37" s="27">
        <f>BI36+1</f>
        <v/>
      </c>
      <c r="BJ37" s="27">
        <f>BK36</f>
        <v/>
      </c>
      <c r="BK37" s="27" t="n"/>
      <c r="BL37" s="27" t="n"/>
      <c r="BM37" s="27" t="inlineStr">
        <is>
          <t>60mL/3s/30s</t>
        </is>
      </c>
      <c r="BN37" s="27" t="n"/>
      <c r="BO37" s="27" t="n"/>
      <c r="BP37" s="27" t="n"/>
      <c r="BQ37" s="27">
        <f>IF(BK37="", "", (BJ37-BK37)*1000/(BI37-BI36))</f>
        <v/>
      </c>
      <c r="BR37" s="27">
        <f>IF(BQ37="","",BQ37/BN$2/3)</f>
        <v/>
      </c>
      <c r="BS37" s="27">
        <f>IF(BQ37="","", 100*_xlfn.STDEV.P(BQ36:BQ37)/AVERAGE(BQ36:BQ37))</f>
        <v/>
      </c>
      <c r="BT37" s="22">
        <f t="array" ref="BT37">IF(BQ37="","", IFERROR(((IF(BQ$5&lt;&gt;"", BQ$5*BI$5, 0) + SUMPRODUCT(--(BQ$6:BQ37&lt;&gt;""), BQ$6:BQ37, (BI$6:BI37-BI$5:BI36)))/1000), ""))</f>
        <v/>
      </c>
    </row>
    <row r="38">
      <c r="A38" s="26">
        <f>A37+1</f>
        <v/>
      </c>
      <c r="B38" s="27">
        <f>C37</f>
        <v/>
      </c>
      <c r="C38" s="27" t="n"/>
      <c r="D38" s="27" t="n"/>
      <c r="E38" s="27" t="inlineStr">
        <is>
          <t>60mL/3s/30s</t>
        </is>
      </c>
      <c r="F38" s="27" t="n"/>
      <c r="G38" s="27" t="n"/>
      <c r="H38" s="27" t="n"/>
      <c r="I38" s="27">
        <f>IF(C38="", "", (B38-C38)*1000/(A38-A37))</f>
        <v/>
      </c>
      <c r="J38" s="27">
        <f>IF(I38="","",I38/F$2/3)</f>
        <v/>
      </c>
      <c r="K38" s="27">
        <f>IF(I38="","", 100*_xlfn.STDEV.P(I37:I38)/AVERAGE(I37:I38))</f>
        <v/>
      </c>
      <c r="L38" s="22">
        <f t="array" ref="L38">IF(I38="","", IFERROR(((IF(I$5&lt;&gt;"", I$5*A$5, 0) + SUMPRODUCT(--(I$6:I38&lt;&gt;""), I$6:I38, (A$6:A38-A$5:A37)))/1000), ""))</f>
        <v/>
      </c>
      <c r="M38" s="27">
        <f>M37+1</f>
        <v/>
      </c>
      <c r="N38" s="27">
        <f>O37</f>
        <v/>
      </c>
      <c r="O38" s="27" t="n"/>
      <c r="P38" s="27" t="n"/>
      <c r="Q38" s="27" t="inlineStr">
        <is>
          <t>60mL/3s/30s</t>
        </is>
      </c>
      <c r="R38" s="27" t="n"/>
      <c r="S38" s="27" t="n"/>
      <c r="T38" s="27" t="n"/>
      <c r="U38" s="27">
        <f>IF(O38="", "", (N38-O38)*1000/(M38-M37))</f>
        <v/>
      </c>
      <c r="V38" s="27">
        <f>IF(U38="","",U38/R$2/3)</f>
        <v/>
      </c>
      <c r="W38" s="27">
        <f>IF(U38="","", 100*_xlfn.STDEV.P(U37:U38)/AVERAGE(U37:U38))</f>
        <v/>
      </c>
      <c r="X38" s="22">
        <f t="array" ref="X38">IF(U38="","", IFERROR(((IF(U$5&lt;&gt;"", U$5*M$5, 0) + SUMPRODUCT(--(U$6:U38&lt;&gt;""), U$6:U38, (M$6:M38-M$5:M37)))/1000), ""))</f>
        <v/>
      </c>
      <c r="Y38" s="27">
        <f>Y37+1</f>
        <v/>
      </c>
      <c r="Z38" s="27">
        <f>AA37</f>
        <v/>
      </c>
      <c r="AA38" s="27" t="n"/>
      <c r="AB38" s="27" t="n"/>
      <c r="AC38" s="27" t="inlineStr">
        <is>
          <t>60mL/3s/30s</t>
        </is>
      </c>
      <c r="AD38" s="27" t="n"/>
      <c r="AE38" s="27" t="n"/>
      <c r="AF38" s="27" t="n"/>
      <c r="AG38" s="27">
        <f>IF(AA38="", "", (Z38-AA38)*1000/(Y38-Y37))</f>
        <v/>
      </c>
      <c r="AH38" s="27">
        <f>IF(AG38="","",AG38/AD$2/3)</f>
        <v/>
      </c>
      <c r="AI38" s="27">
        <f>IF(AG38="","", 100*_xlfn.STDEV.P(AG37:AG38)/AVERAGE(AG37:AG38))</f>
        <v/>
      </c>
      <c r="AJ38" s="22">
        <f t="array" ref="AJ38">IF(AG38="","", IFERROR(((IF(AG$5&lt;&gt;"", AG$5*Y$5, 0) + SUMPRODUCT(--(AG$6:AG38&lt;&gt;""), AG$6:AG38, (Y$6:Y38-Y$5:Y37)))/1000), ""))</f>
        <v/>
      </c>
      <c r="AK38" s="27">
        <f>AK37+1</f>
        <v/>
      </c>
      <c r="AL38" s="27">
        <f>AM37</f>
        <v/>
      </c>
      <c r="AM38" s="27" t="n"/>
      <c r="AN38" s="27" t="n"/>
      <c r="AO38" s="27" t="inlineStr">
        <is>
          <t>60mL/3s/30s</t>
        </is>
      </c>
      <c r="AP38" s="27" t="n"/>
      <c r="AQ38" s="27" t="n"/>
      <c r="AR38" s="27" t="n"/>
      <c r="AS38" s="27">
        <f>IF(AM38="", "", (AL38-AM38)*1000/(AK38-AK37))</f>
        <v/>
      </c>
      <c r="AT38" s="27">
        <f>IF(AS38="","",AS38/AP$2/3)</f>
        <v/>
      </c>
      <c r="AU38" s="27">
        <f>IF(AS38="","", 100*_xlfn.STDEV.P(AS37:AS38)/AVERAGE(AS37:AS38))</f>
        <v/>
      </c>
      <c r="AV38" s="22">
        <f t="array" ref="AV38">IF(AS38="","", IFERROR(((IF(AS$5&lt;&gt;"", AS$5*AK$5, 0) + SUMPRODUCT(--(AS$6:AS38&lt;&gt;""), AS$6:AS38, (AK$6:AK38-AK$5:AK37)))/1000), ""))</f>
        <v/>
      </c>
      <c r="AW38" s="27">
        <f>AW37+1</f>
        <v/>
      </c>
      <c r="AX38" s="27">
        <f>AY37</f>
        <v/>
      </c>
      <c r="AY38" s="27" t="n"/>
      <c r="AZ38" s="27" t="n"/>
      <c r="BA38" s="27" t="inlineStr">
        <is>
          <t>60mL/3s/30s</t>
        </is>
      </c>
      <c r="BB38" s="27" t="n"/>
      <c r="BC38" s="27" t="n"/>
      <c r="BD38" s="27" t="n"/>
      <c r="BE38" s="27">
        <f>IF(AY38="", "", (AX38-AY38)*1000/(AW38-AW37))</f>
        <v/>
      </c>
      <c r="BF38" s="27">
        <f>IF(BE38="","",BE38/BB$2/3)</f>
        <v/>
      </c>
      <c r="BG38" s="27">
        <f>IF(BE38="","", 100*_xlfn.STDEV.P(BE37:BE38)/AVERAGE(BE37:BE38))</f>
        <v/>
      </c>
      <c r="BH38" s="22">
        <f t="array" ref="BH38">IF(BE38="","", IFERROR(((IF(BE$5&lt;&gt;"", BE$5*AW$5, 0) + SUMPRODUCT(--(BE$6:BE38&lt;&gt;""), BE$6:BE38, (AW$6:AW38-AW$5:AW37)))/1000), ""))</f>
        <v/>
      </c>
      <c r="BI38" s="27">
        <f>BI37+1</f>
        <v/>
      </c>
      <c r="BJ38" s="27">
        <f>BK37</f>
        <v/>
      </c>
      <c r="BK38" s="27" t="n"/>
      <c r="BL38" s="27" t="n"/>
      <c r="BM38" s="27" t="inlineStr">
        <is>
          <t>60mL/3s/30s</t>
        </is>
      </c>
      <c r="BN38" s="27" t="n"/>
      <c r="BO38" s="27" t="n"/>
      <c r="BP38" s="27" t="n"/>
      <c r="BQ38" s="27">
        <f>IF(BK38="", "", (BJ38-BK38)*1000/(BI38-BI37))</f>
        <v/>
      </c>
      <c r="BR38" s="27">
        <f>IF(BQ38="","",BQ38/BN$2/3)</f>
        <v/>
      </c>
      <c r="BS38" s="27">
        <f>IF(BQ38="","", 100*_xlfn.STDEV.P(BQ37:BQ38)/AVERAGE(BQ37:BQ38))</f>
        <v/>
      </c>
      <c r="BT38" s="22">
        <f t="array" ref="BT38">IF(BQ38="","", IFERROR(((IF(BQ$5&lt;&gt;"", BQ$5*BI$5, 0) + SUMPRODUCT(--(BQ$6:BQ38&lt;&gt;""), BQ$6:BQ38, (BI$6:BI38-BI$5:BI37)))/1000), ""))</f>
        <v/>
      </c>
    </row>
    <row r="39">
      <c r="A39" s="26">
        <f>A38+1</f>
        <v/>
      </c>
      <c r="B39" s="27">
        <f>C38</f>
        <v/>
      </c>
      <c r="C39" s="27" t="n"/>
      <c r="D39" s="27" t="n"/>
      <c r="E39" s="27" t="inlineStr">
        <is>
          <t>60mL/3s/30s</t>
        </is>
      </c>
      <c r="F39" s="27" t="n"/>
      <c r="G39" s="27" t="n"/>
      <c r="H39" s="27" t="n"/>
      <c r="I39" s="27">
        <f>IF(C39="", "", (B39-C39)*1000/(A39-A38))</f>
        <v/>
      </c>
      <c r="J39" s="27">
        <f>IF(I39="","",I39/F$2/3)</f>
        <v/>
      </c>
      <c r="K39" s="27">
        <f>IF(I39="","", 100*_xlfn.STDEV.P(I38:I39)/AVERAGE(I38:I39))</f>
        <v/>
      </c>
      <c r="L39" s="22">
        <f t="array" ref="L39">IF(I39="","", IFERROR(((IF(I$5&lt;&gt;"", I$5*A$5, 0) + SUMPRODUCT(--(I$6:I39&lt;&gt;""), I$6:I39, (A$6:A39-A$5:A38)))/1000), ""))</f>
        <v/>
      </c>
      <c r="M39" s="27">
        <f>M38+1</f>
        <v/>
      </c>
      <c r="N39" s="27">
        <f>O38</f>
        <v/>
      </c>
      <c r="O39" s="27" t="n"/>
      <c r="P39" s="27" t="n"/>
      <c r="Q39" s="27" t="inlineStr">
        <is>
          <t>60mL/3s/30s</t>
        </is>
      </c>
      <c r="R39" s="27" t="n"/>
      <c r="S39" s="27" t="n"/>
      <c r="T39" s="27" t="n"/>
      <c r="U39" s="27">
        <f>IF(O39="", "", (N39-O39)*1000/(M39-M38))</f>
        <v/>
      </c>
      <c r="V39" s="27">
        <f>IF(U39="","",U39/R$2/3)</f>
        <v/>
      </c>
      <c r="W39" s="27">
        <f>IF(U39="","", 100*_xlfn.STDEV.P(U38:U39)/AVERAGE(U38:U39))</f>
        <v/>
      </c>
      <c r="X39" s="22">
        <f t="array" ref="X39">IF(U39="","", IFERROR(((IF(U$5&lt;&gt;"", U$5*M$5, 0) + SUMPRODUCT(--(U$6:U39&lt;&gt;""), U$6:U39, (M$6:M39-M$5:M38)))/1000), ""))</f>
        <v/>
      </c>
      <c r="Y39" s="27">
        <f>Y38+1</f>
        <v/>
      </c>
      <c r="Z39" s="27">
        <f>AA38</f>
        <v/>
      </c>
      <c r="AA39" s="27" t="n"/>
      <c r="AB39" s="27" t="n"/>
      <c r="AC39" s="27" t="inlineStr">
        <is>
          <t>60mL/3s/30s</t>
        </is>
      </c>
      <c r="AD39" s="27" t="n"/>
      <c r="AE39" s="27" t="n"/>
      <c r="AF39" s="27" t="n"/>
      <c r="AG39" s="27">
        <f>IF(AA39="", "", (Z39-AA39)*1000/(Y39-Y38))</f>
        <v/>
      </c>
      <c r="AH39" s="27">
        <f>IF(AG39="","",AG39/AD$2/3)</f>
        <v/>
      </c>
      <c r="AI39" s="27">
        <f>IF(AG39="","", 100*_xlfn.STDEV.P(AG38:AG39)/AVERAGE(AG38:AG39))</f>
        <v/>
      </c>
      <c r="AJ39" s="22">
        <f t="array" ref="AJ39">IF(AG39="","", IFERROR(((IF(AG$5&lt;&gt;"", AG$5*Y$5, 0) + SUMPRODUCT(--(AG$6:AG39&lt;&gt;""), AG$6:AG39, (Y$6:Y39-Y$5:Y38)))/1000), ""))</f>
        <v/>
      </c>
      <c r="AK39" s="27">
        <f>AK38+1</f>
        <v/>
      </c>
      <c r="AL39" s="27">
        <f>AM38</f>
        <v/>
      </c>
      <c r="AM39" s="27" t="n"/>
      <c r="AN39" s="27" t="n"/>
      <c r="AO39" s="27" t="inlineStr">
        <is>
          <t>60mL/3s/30s</t>
        </is>
      </c>
      <c r="AP39" s="27" t="n"/>
      <c r="AQ39" s="27" t="n"/>
      <c r="AR39" s="27" t="n"/>
      <c r="AS39" s="27">
        <f>IF(AM39="", "", (AL39-AM39)*1000/(AK39-AK38))</f>
        <v/>
      </c>
      <c r="AT39" s="27">
        <f>IF(AS39="","",AS39/AP$2/3)</f>
        <v/>
      </c>
      <c r="AU39" s="27">
        <f>IF(AS39="","", 100*_xlfn.STDEV.P(AS38:AS39)/AVERAGE(AS38:AS39))</f>
        <v/>
      </c>
      <c r="AV39" s="22">
        <f t="array" ref="AV39">IF(AS39="","", IFERROR(((IF(AS$5&lt;&gt;"", AS$5*AK$5, 0) + SUMPRODUCT(--(AS$6:AS39&lt;&gt;""), AS$6:AS39, (AK$6:AK39-AK$5:AK38)))/1000), ""))</f>
        <v/>
      </c>
      <c r="AW39" s="27">
        <f>AW38+1</f>
        <v/>
      </c>
      <c r="AX39" s="27">
        <f>AY38</f>
        <v/>
      </c>
      <c r="AY39" s="27" t="n"/>
      <c r="AZ39" s="27" t="n"/>
      <c r="BA39" s="27" t="inlineStr">
        <is>
          <t>60mL/3s/30s</t>
        </is>
      </c>
      <c r="BB39" s="27" t="n"/>
      <c r="BC39" s="27" t="n"/>
      <c r="BD39" s="27" t="n"/>
      <c r="BE39" s="27">
        <f>IF(AY39="", "", (AX39-AY39)*1000/(AW39-AW38))</f>
        <v/>
      </c>
      <c r="BF39" s="27">
        <f>IF(BE39="","",BE39/BB$2/3)</f>
        <v/>
      </c>
      <c r="BG39" s="27">
        <f>IF(BE39="","", 100*_xlfn.STDEV.P(BE38:BE39)/AVERAGE(BE38:BE39))</f>
        <v/>
      </c>
      <c r="BH39" s="22">
        <f t="array" ref="BH39">IF(BE39="","", IFERROR(((IF(BE$5&lt;&gt;"", BE$5*AW$5, 0) + SUMPRODUCT(--(BE$6:BE39&lt;&gt;""), BE$6:BE39, (AW$6:AW39-AW$5:AW38)))/1000), ""))</f>
        <v/>
      </c>
      <c r="BI39" s="27">
        <f>BI38+1</f>
        <v/>
      </c>
      <c r="BJ39" s="27">
        <f>BK38</f>
        <v/>
      </c>
      <c r="BK39" s="27" t="n"/>
      <c r="BL39" s="27" t="n"/>
      <c r="BM39" s="27" t="inlineStr">
        <is>
          <t>60mL/3s/30s</t>
        </is>
      </c>
      <c r="BN39" s="27" t="n"/>
      <c r="BO39" s="27" t="n"/>
      <c r="BP39" s="27" t="n"/>
      <c r="BQ39" s="27">
        <f>IF(BK39="", "", (BJ39-BK39)*1000/(BI39-BI38))</f>
        <v/>
      </c>
      <c r="BR39" s="27">
        <f>IF(BQ39="","",BQ39/BN$2/3)</f>
        <v/>
      </c>
      <c r="BS39" s="27">
        <f>IF(BQ39="","", 100*_xlfn.STDEV.P(BQ38:BQ39)/AVERAGE(BQ38:BQ39))</f>
        <v/>
      </c>
      <c r="BT39" s="22">
        <f t="array" ref="BT39">IF(BQ39="","", IFERROR(((IF(BQ$5&lt;&gt;"", BQ$5*BI$5, 0) + SUMPRODUCT(--(BQ$6:BQ39&lt;&gt;""), BQ$6:BQ39, (BI$6:BI39-BI$5:BI38)))/1000), ""))</f>
        <v/>
      </c>
    </row>
    <row r="40">
      <c r="A40" s="26">
        <f>A39+1</f>
        <v/>
      </c>
      <c r="B40" s="27">
        <f>C39</f>
        <v/>
      </c>
      <c r="C40" s="27" t="n"/>
      <c r="D40" s="27" t="n"/>
      <c r="E40" s="27" t="inlineStr">
        <is>
          <t>60mL/3s/30s</t>
        </is>
      </c>
      <c r="F40" s="27" t="n"/>
      <c r="G40" s="27" t="n"/>
      <c r="H40" s="27" t="n"/>
      <c r="I40" s="27">
        <f>IF(C40="", "", (B40-C40)*1000/(A40-A39))</f>
        <v/>
      </c>
      <c r="J40" s="27">
        <f>IF(I40="","",I40/F$2/3)</f>
        <v/>
      </c>
      <c r="K40" s="27">
        <f>IF(I40="","", 100*_xlfn.STDEV.P(I39:I40)/AVERAGE(I39:I40))</f>
        <v/>
      </c>
      <c r="L40" s="22">
        <f t="array" ref="L40">IF(I40="","", IFERROR(((IF(I$5&lt;&gt;"", I$5*A$5, 0) + SUMPRODUCT(--(I$6:I40&lt;&gt;""), I$6:I40, (A$6:A40-A$5:A39)))/1000), ""))</f>
        <v/>
      </c>
      <c r="M40" s="27">
        <f>M39+1</f>
        <v/>
      </c>
      <c r="N40" s="27">
        <f>O39</f>
        <v/>
      </c>
      <c r="O40" s="27" t="n"/>
      <c r="P40" s="27" t="n"/>
      <c r="Q40" s="27" t="inlineStr">
        <is>
          <t>60mL/3s/30s</t>
        </is>
      </c>
      <c r="R40" s="27" t="n"/>
      <c r="S40" s="27" t="n"/>
      <c r="T40" s="27" t="n"/>
      <c r="U40" s="27">
        <f>IF(O40="", "", (N40-O40)*1000/(M40-M39))</f>
        <v/>
      </c>
      <c r="V40" s="27">
        <f>IF(U40="","",U40/R$2/3)</f>
        <v/>
      </c>
      <c r="W40" s="27">
        <f>IF(U40="","", 100*_xlfn.STDEV.P(U39:U40)/AVERAGE(U39:U40))</f>
        <v/>
      </c>
      <c r="X40" s="22">
        <f t="array" ref="X40">IF(U40="","", IFERROR(((IF(U$5&lt;&gt;"", U$5*M$5, 0) + SUMPRODUCT(--(U$6:U40&lt;&gt;""), U$6:U40, (M$6:M40-M$5:M39)))/1000), ""))</f>
        <v/>
      </c>
      <c r="Y40" s="27">
        <f>Y39+1</f>
        <v/>
      </c>
      <c r="Z40" s="27">
        <f>AA39</f>
        <v/>
      </c>
      <c r="AA40" s="27" t="n"/>
      <c r="AB40" s="27" t="n"/>
      <c r="AC40" s="27" t="inlineStr">
        <is>
          <t>60mL/3s/30s</t>
        </is>
      </c>
      <c r="AD40" s="27" t="n"/>
      <c r="AE40" s="27" t="n"/>
      <c r="AF40" s="27" t="n"/>
      <c r="AG40" s="27">
        <f>IF(AA40="", "", (Z40-AA40)*1000/(Y40-Y39))</f>
        <v/>
      </c>
      <c r="AH40" s="27">
        <f>IF(AG40="","",AG40/AD$2/3)</f>
        <v/>
      </c>
      <c r="AI40" s="27">
        <f>IF(AG40="","", 100*_xlfn.STDEV.P(AG39:AG40)/AVERAGE(AG39:AG40))</f>
        <v/>
      </c>
      <c r="AJ40" s="22">
        <f t="array" ref="AJ40">IF(AG40="","", IFERROR(((IF(AG$5&lt;&gt;"", AG$5*Y$5, 0) + SUMPRODUCT(--(AG$6:AG40&lt;&gt;""), AG$6:AG40, (Y$6:Y40-Y$5:Y39)))/1000), ""))</f>
        <v/>
      </c>
      <c r="AK40" s="27">
        <f>AK39+1</f>
        <v/>
      </c>
      <c r="AL40" s="27">
        <f>AM39</f>
        <v/>
      </c>
      <c r="AM40" s="27" t="n"/>
      <c r="AN40" s="27" t="n"/>
      <c r="AO40" s="27" t="inlineStr">
        <is>
          <t>60mL/3s/30s</t>
        </is>
      </c>
      <c r="AP40" s="27" t="n"/>
      <c r="AQ40" s="27" t="n"/>
      <c r="AR40" s="27" t="n"/>
      <c r="AS40" s="27">
        <f>IF(AM40="", "", (AL40-AM40)*1000/(AK40-AK39))</f>
        <v/>
      </c>
      <c r="AT40" s="27">
        <f>IF(AS40="","",AS40/AP$2/3)</f>
        <v/>
      </c>
      <c r="AU40" s="27">
        <f>IF(AS40="","", 100*_xlfn.STDEV.P(AS39:AS40)/AVERAGE(AS39:AS40))</f>
        <v/>
      </c>
      <c r="AV40" s="22">
        <f t="array" ref="AV40">IF(AS40="","", IFERROR(((IF(AS$5&lt;&gt;"", AS$5*AK$5, 0) + SUMPRODUCT(--(AS$6:AS40&lt;&gt;""), AS$6:AS40, (AK$6:AK40-AK$5:AK39)))/1000), ""))</f>
        <v/>
      </c>
      <c r="AW40" s="27">
        <f>AW39+1</f>
        <v/>
      </c>
      <c r="AX40" s="27">
        <f>AY39</f>
        <v/>
      </c>
      <c r="AY40" s="27" t="n"/>
      <c r="AZ40" s="27" t="n"/>
      <c r="BA40" s="27" t="inlineStr">
        <is>
          <t>60mL/3s/30s</t>
        </is>
      </c>
      <c r="BB40" s="27" t="n"/>
      <c r="BC40" s="27" t="n"/>
      <c r="BD40" s="27" t="n"/>
      <c r="BE40" s="27">
        <f>IF(AY40="", "", (AX40-AY40)*1000/(AW40-AW39))</f>
        <v/>
      </c>
      <c r="BF40" s="27">
        <f>IF(BE40="","",BE40/BB$2/3)</f>
        <v/>
      </c>
      <c r="BG40" s="27">
        <f>IF(BE40="","", 100*_xlfn.STDEV.P(BE39:BE40)/AVERAGE(BE39:BE40))</f>
        <v/>
      </c>
      <c r="BH40" s="22">
        <f t="array" ref="BH40">IF(BE40="","", IFERROR(((IF(BE$5&lt;&gt;"", BE$5*AW$5, 0) + SUMPRODUCT(--(BE$6:BE40&lt;&gt;""), BE$6:BE40, (AW$6:AW40-AW$5:AW39)))/1000), ""))</f>
        <v/>
      </c>
      <c r="BI40" s="27">
        <f>BI39+1</f>
        <v/>
      </c>
      <c r="BJ40" s="27">
        <f>BK39</f>
        <v/>
      </c>
      <c r="BK40" s="27" t="n"/>
      <c r="BL40" s="27" t="n"/>
      <c r="BM40" s="27" t="inlineStr">
        <is>
          <t>60mL/3s/30s</t>
        </is>
      </c>
      <c r="BN40" s="27" t="n"/>
      <c r="BO40" s="27" t="n"/>
      <c r="BP40" s="27" t="n"/>
      <c r="BQ40" s="27">
        <f>IF(BK40="", "", (BJ40-BK40)*1000/(BI40-BI39))</f>
        <v/>
      </c>
      <c r="BR40" s="27">
        <f>IF(BQ40="","",BQ40/BN$2/3)</f>
        <v/>
      </c>
      <c r="BS40" s="27">
        <f>IF(BQ40="","", 100*_xlfn.STDEV.P(BQ39:BQ40)/AVERAGE(BQ39:BQ40))</f>
        <v/>
      </c>
      <c r="BT40" s="22">
        <f t="array" ref="BT40">IF(BQ40="","", IFERROR(((IF(BQ$5&lt;&gt;"", BQ$5*BI$5, 0) + SUMPRODUCT(--(BQ$6:BQ40&lt;&gt;""), BQ$6:BQ40, (BI$6:BI40-BI$5:BI39)))/1000), ""))</f>
        <v/>
      </c>
    </row>
    <row r="41">
      <c r="A41" s="26">
        <f>A40+1</f>
        <v/>
      </c>
      <c r="B41" s="27">
        <f>C40</f>
        <v/>
      </c>
      <c r="C41" s="27" t="n"/>
      <c r="D41" s="27" t="n"/>
      <c r="E41" s="27" t="inlineStr">
        <is>
          <t>60mL/3s/30s</t>
        </is>
      </c>
      <c r="F41" s="27" t="n"/>
      <c r="G41" s="27" t="n"/>
      <c r="H41" s="27" t="n"/>
      <c r="I41" s="27">
        <f>IF(C41="", "", (B41-C41)*1000/(A41-A40))</f>
        <v/>
      </c>
      <c r="J41" s="27">
        <f>IF(I41="","",I41/F$2/3)</f>
        <v/>
      </c>
      <c r="K41" s="27">
        <f>IF(I41="","", 100*_xlfn.STDEV.P(I40:I41)/AVERAGE(I40:I41))</f>
        <v/>
      </c>
      <c r="L41" s="22">
        <f t="array" ref="L41">IF(I41="","", IFERROR(((IF(I$5&lt;&gt;"", I$5*A$5, 0) + SUMPRODUCT(--(I$6:I41&lt;&gt;""), I$6:I41, (A$6:A41-A$5:A40)))/1000), ""))</f>
        <v/>
      </c>
      <c r="M41" s="27">
        <f>M40+1</f>
        <v/>
      </c>
      <c r="N41" s="27">
        <f>O40</f>
        <v/>
      </c>
      <c r="O41" s="27" t="n"/>
      <c r="P41" s="27" t="n"/>
      <c r="Q41" s="27" t="inlineStr">
        <is>
          <t>60mL/3s/30s</t>
        </is>
      </c>
      <c r="R41" s="27" t="n"/>
      <c r="S41" s="27" t="n"/>
      <c r="T41" s="27" t="n"/>
      <c r="U41" s="27">
        <f>IF(O41="", "", (N41-O41)*1000/(M41-M40))</f>
        <v/>
      </c>
      <c r="V41" s="27">
        <f>IF(U41="","",U41/R$2/3)</f>
        <v/>
      </c>
      <c r="W41" s="27">
        <f>IF(U41="","", 100*_xlfn.STDEV.P(U40:U41)/AVERAGE(U40:U41))</f>
        <v/>
      </c>
      <c r="X41" s="22">
        <f t="array" ref="X41">IF(U41="","", IFERROR(((IF(U$5&lt;&gt;"", U$5*M$5, 0) + SUMPRODUCT(--(U$6:U41&lt;&gt;""), U$6:U41, (M$6:M41-M$5:M40)))/1000), ""))</f>
        <v/>
      </c>
      <c r="Y41" s="27">
        <f>Y40+1</f>
        <v/>
      </c>
      <c r="Z41" s="27">
        <f>AA40</f>
        <v/>
      </c>
      <c r="AA41" s="27" t="n"/>
      <c r="AB41" s="27" t="n"/>
      <c r="AC41" s="27" t="inlineStr">
        <is>
          <t>60mL/3s/30s</t>
        </is>
      </c>
      <c r="AD41" s="27" t="n"/>
      <c r="AE41" s="27" t="n"/>
      <c r="AF41" s="27" t="n"/>
      <c r="AG41" s="27">
        <f>IF(AA41="", "", (Z41-AA41)*1000/(Y41-Y40))</f>
        <v/>
      </c>
      <c r="AH41" s="27">
        <f>IF(AG41="","",AG41/AD$2/3)</f>
        <v/>
      </c>
      <c r="AI41" s="27">
        <f>IF(AG41="","", 100*_xlfn.STDEV.P(AG40:AG41)/AVERAGE(AG40:AG41))</f>
        <v/>
      </c>
      <c r="AJ41" s="22">
        <f t="array" ref="AJ41">IF(AG41="","", IFERROR(((IF(AG$5&lt;&gt;"", AG$5*Y$5, 0) + SUMPRODUCT(--(AG$6:AG41&lt;&gt;""), AG$6:AG41, (Y$6:Y41-Y$5:Y40)))/1000), ""))</f>
        <v/>
      </c>
      <c r="AK41" s="27">
        <f>AK40+1</f>
        <v/>
      </c>
      <c r="AL41" s="27">
        <f>AM40</f>
        <v/>
      </c>
      <c r="AM41" s="27" t="n"/>
      <c r="AN41" s="27" t="n"/>
      <c r="AO41" s="27" t="inlineStr">
        <is>
          <t>60mL/3s/30s</t>
        </is>
      </c>
      <c r="AP41" s="27" t="n"/>
      <c r="AQ41" s="27" t="n"/>
      <c r="AR41" s="27" t="n"/>
      <c r="AS41" s="27">
        <f>IF(AM41="", "", (AL41-AM41)*1000/(AK41-AK40))</f>
        <v/>
      </c>
      <c r="AT41" s="27">
        <f>IF(AS41="","",AS41/AP$2/3)</f>
        <v/>
      </c>
      <c r="AU41" s="27">
        <f>IF(AS41="","", 100*_xlfn.STDEV.P(AS40:AS41)/AVERAGE(AS40:AS41))</f>
        <v/>
      </c>
      <c r="AV41" s="22">
        <f t="array" ref="AV41">IF(AS41="","", IFERROR(((IF(AS$5&lt;&gt;"", AS$5*AK$5, 0) + SUMPRODUCT(--(AS$6:AS41&lt;&gt;""), AS$6:AS41, (AK$6:AK41-AK$5:AK40)))/1000), ""))</f>
        <v/>
      </c>
      <c r="AW41" s="27">
        <f>AW40+1</f>
        <v/>
      </c>
      <c r="AX41" s="27">
        <f>AY40</f>
        <v/>
      </c>
      <c r="AY41" s="27" t="n"/>
      <c r="AZ41" s="27" t="n"/>
      <c r="BA41" s="27" t="inlineStr">
        <is>
          <t>60mL/3s/30s</t>
        </is>
      </c>
      <c r="BB41" s="27" t="n"/>
      <c r="BC41" s="27" t="n"/>
      <c r="BD41" s="27" t="n"/>
      <c r="BE41" s="27">
        <f>IF(AY41="", "", (AX41-AY41)*1000/(AW41-AW40))</f>
        <v/>
      </c>
      <c r="BF41" s="27">
        <f>IF(BE41="","",BE41/BB$2/3)</f>
        <v/>
      </c>
      <c r="BG41" s="27">
        <f>IF(BE41="","", 100*_xlfn.STDEV.P(BE40:BE41)/AVERAGE(BE40:BE41))</f>
        <v/>
      </c>
      <c r="BH41" s="22">
        <f t="array" ref="BH41">IF(BE41="","", IFERROR(((IF(BE$5&lt;&gt;"", BE$5*AW$5, 0) + SUMPRODUCT(--(BE$6:BE41&lt;&gt;""), BE$6:BE41, (AW$6:AW41-AW$5:AW40)))/1000), ""))</f>
        <v/>
      </c>
      <c r="BI41" s="27">
        <f>BI40+1</f>
        <v/>
      </c>
      <c r="BJ41" s="27">
        <f>BK40</f>
        <v/>
      </c>
      <c r="BK41" s="27" t="n"/>
      <c r="BL41" s="27" t="n"/>
      <c r="BM41" s="27" t="inlineStr">
        <is>
          <t>60mL/3s/30s</t>
        </is>
      </c>
      <c r="BN41" s="27" t="n"/>
      <c r="BO41" s="27" t="n"/>
      <c r="BP41" s="27" t="n"/>
      <c r="BQ41" s="27">
        <f>IF(BK41="", "", (BJ41-BK41)*1000/(BI41-BI40))</f>
        <v/>
      </c>
      <c r="BR41" s="27">
        <f>IF(BQ41="","",BQ41/BN$2/3)</f>
        <v/>
      </c>
      <c r="BS41" s="27">
        <f>IF(BQ41="","", 100*_xlfn.STDEV.P(BQ40:BQ41)/AVERAGE(BQ40:BQ41))</f>
        <v/>
      </c>
      <c r="BT41" s="22">
        <f t="array" ref="BT41">IF(BQ41="","", IFERROR(((IF(BQ$5&lt;&gt;"", BQ$5*BI$5, 0) + SUMPRODUCT(--(BQ$6:BQ41&lt;&gt;""), BQ$6:BQ41, (BI$6:BI41-BI$5:BI40)))/1000), ""))</f>
        <v/>
      </c>
    </row>
    <row r="42">
      <c r="A42" s="26">
        <f>A41+1</f>
        <v/>
      </c>
      <c r="B42" s="27">
        <f>C41</f>
        <v/>
      </c>
      <c r="C42" s="27" t="n"/>
      <c r="D42" s="27" t="n"/>
      <c r="E42" s="27" t="inlineStr">
        <is>
          <t>60mL/3s/30s</t>
        </is>
      </c>
      <c r="F42" s="27" t="n"/>
      <c r="G42" s="27" t="n"/>
      <c r="H42" s="27" t="n"/>
      <c r="I42" s="27">
        <f>IF(C42="", "", (B42-C42)*1000/(A42-A41))</f>
        <v/>
      </c>
      <c r="J42" s="27">
        <f>IF(I42="","",I42/F$2/3)</f>
        <v/>
      </c>
      <c r="K42" s="27">
        <f>IF(I42="","", 100*_xlfn.STDEV.P(I41:I42)/AVERAGE(I41:I42))</f>
        <v/>
      </c>
      <c r="L42" s="22">
        <f t="array" ref="L42">IF(I42="","", IFERROR(((IF(I$5&lt;&gt;"", I$5*A$5, 0) + SUMPRODUCT(--(I$6:I42&lt;&gt;""), I$6:I42, (A$6:A42-A$5:A41)))/1000), ""))</f>
        <v/>
      </c>
      <c r="M42" s="27">
        <f>M41+1</f>
        <v/>
      </c>
      <c r="N42" s="27">
        <f>O41</f>
        <v/>
      </c>
      <c r="O42" s="27" t="n"/>
      <c r="P42" s="27" t="n"/>
      <c r="Q42" s="27" t="inlineStr">
        <is>
          <t>60mL/3s/30s</t>
        </is>
      </c>
      <c r="R42" s="27" t="n"/>
      <c r="S42" s="27" t="n"/>
      <c r="T42" s="27" t="n"/>
      <c r="U42" s="27">
        <f>IF(O42="", "", (N42-O42)*1000/(M42-M41))</f>
        <v/>
      </c>
      <c r="V42" s="27">
        <f>IF(U42="","",U42/R$2/3)</f>
        <v/>
      </c>
      <c r="W42" s="27">
        <f>IF(U42="","", 100*_xlfn.STDEV.P(U41:U42)/AVERAGE(U41:U42))</f>
        <v/>
      </c>
      <c r="X42" s="22">
        <f t="array" ref="X42">IF(U42="","", IFERROR(((IF(U$5&lt;&gt;"", U$5*M$5, 0) + SUMPRODUCT(--(U$6:U42&lt;&gt;""), U$6:U42, (M$6:M42-M$5:M41)))/1000), ""))</f>
        <v/>
      </c>
      <c r="Y42" s="27">
        <f>Y41+1</f>
        <v/>
      </c>
      <c r="Z42" s="27">
        <f>AA41</f>
        <v/>
      </c>
      <c r="AA42" s="27" t="n"/>
      <c r="AB42" s="27" t="n"/>
      <c r="AC42" s="27" t="inlineStr">
        <is>
          <t>60mL/3s/30s</t>
        </is>
      </c>
      <c r="AD42" s="27" t="n"/>
      <c r="AE42" s="27" t="n"/>
      <c r="AF42" s="27" t="n"/>
      <c r="AG42" s="27">
        <f>IF(AA42="", "", (Z42-AA42)*1000/(Y42-Y41))</f>
        <v/>
      </c>
      <c r="AH42" s="27">
        <f>IF(AG42="","",AG42/AD$2/3)</f>
        <v/>
      </c>
      <c r="AI42" s="27">
        <f>IF(AG42="","", 100*_xlfn.STDEV.P(AG41:AG42)/AVERAGE(AG41:AG42))</f>
        <v/>
      </c>
      <c r="AJ42" s="22">
        <f t="array" ref="AJ42">IF(AG42="","", IFERROR(((IF(AG$5&lt;&gt;"", AG$5*Y$5, 0) + SUMPRODUCT(--(AG$6:AG42&lt;&gt;""), AG$6:AG42, (Y$6:Y42-Y$5:Y41)))/1000), ""))</f>
        <v/>
      </c>
      <c r="AK42" s="27">
        <f>AK41+1</f>
        <v/>
      </c>
      <c r="AL42" s="27">
        <f>AM41</f>
        <v/>
      </c>
      <c r="AM42" s="27" t="n"/>
      <c r="AN42" s="27" t="n"/>
      <c r="AO42" s="27" t="inlineStr">
        <is>
          <t>60mL/3s/30s</t>
        </is>
      </c>
      <c r="AP42" s="27" t="n"/>
      <c r="AQ42" s="27" t="n"/>
      <c r="AR42" s="27" t="n"/>
      <c r="AS42" s="27">
        <f>IF(AM42="", "", (AL42-AM42)*1000/(AK42-AK41))</f>
        <v/>
      </c>
      <c r="AT42" s="27">
        <f>IF(AS42="","",AS42/AP$2/3)</f>
        <v/>
      </c>
      <c r="AU42" s="27">
        <f>IF(AS42="","", 100*_xlfn.STDEV.P(AS41:AS42)/AVERAGE(AS41:AS42))</f>
        <v/>
      </c>
      <c r="AV42" s="22">
        <f t="array" ref="AV42">IF(AS42="","", IFERROR(((IF(AS$5&lt;&gt;"", AS$5*AK$5, 0) + SUMPRODUCT(--(AS$6:AS42&lt;&gt;""), AS$6:AS42, (AK$6:AK42-AK$5:AK41)))/1000), ""))</f>
        <v/>
      </c>
      <c r="AW42" s="27">
        <f>AW41+1</f>
        <v/>
      </c>
      <c r="AX42" s="27">
        <f>AY41</f>
        <v/>
      </c>
      <c r="AY42" s="27" t="n"/>
      <c r="AZ42" s="27" t="n"/>
      <c r="BA42" s="27" t="inlineStr">
        <is>
          <t>60mL/3s/30s</t>
        </is>
      </c>
      <c r="BB42" s="27" t="n"/>
      <c r="BC42" s="27" t="n"/>
      <c r="BD42" s="27" t="n"/>
      <c r="BE42" s="27">
        <f>IF(AY42="", "", (AX42-AY42)*1000/(AW42-AW41))</f>
        <v/>
      </c>
      <c r="BF42" s="27">
        <f>IF(BE42="","",BE42/BB$2/3)</f>
        <v/>
      </c>
      <c r="BG42" s="27">
        <f>IF(BE42="","", 100*_xlfn.STDEV.P(BE41:BE42)/AVERAGE(BE41:BE42))</f>
        <v/>
      </c>
      <c r="BH42" s="22">
        <f t="array" ref="BH42">IF(BE42="","", IFERROR(((IF(BE$5&lt;&gt;"", BE$5*AW$5, 0) + SUMPRODUCT(--(BE$6:BE42&lt;&gt;""), BE$6:BE42, (AW$6:AW42-AW$5:AW41)))/1000), ""))</f>
        <v/>
      </c>
      <c r="BI42" s="27">
        <f>BI41+1</f>
        <v/>
      </c>
      <c r="BJ42" s="27">
        <f>BK41</f>
        <v/>
      </c>
      <c r="BK42" s="27" t="n"/>
      <c r="BL42" s="27" t="n"/>
      <c r="BM42" s="27" t="inlineStr">
        <is>
          <t>60mL/3s/30s</t>
        </is>
      </c>
      <c r="BN42" s="27" t="n"/>
      <c r="BO42" s="27" t="n"/>
      <c r="BP42" s="27" t="n"/>
      <c r="BQ42" s="27">
        <f>IF(BK42="", "", (BJ42-BK42)*1000/(BI42-BI41))</f>
        <v/>
      </c>
      <c r="BR42" s="27">
        <f>IF(BQ42="","",BQ42/BN$2/3)</f>
        <v/>
      </c>
      <c r="BS42" s="27">
        <f>IF(BQ42="","", 100*_xlfn.STDEV.P(BQ41:BQ42)/AVERAGE(BQ41:BQ42))</f>
        <v/>
      </c>
      <c r="BT42" s="22">
        <f t="array" ref="BT42">IF(BQ42="","", IFERROR(((IF(BQ$5&lt;&gt;"", BQ$5*BI$5, 0) + SUMPRODUCT(--(BQ$6:BQ42&lt;&gt;""), BQ$6:BQ42, (BI$6:BI42-BI$5:BI41)))/1000), ""))</f>
        <v/>
      </c>
    </row>
    <row r="43">
      <c r="A43" s="26">
        <f>A42+1</f>
        <v/>
      </c>
      <c r="B43" s="27">
        <f>C42</f>
        <v/>
      </c>
      <c r="C43" s="27" t="n"/>
      <c r="D43" s="27" t="n"/>
      <c r="E43" s="27" t="inlineStr">
        <is>
          <t>60mL/3s/30s</t>
        </is>
      </c>
      <c r="F43" s="27" t="n"/>
      <c r="G43" s="27" t="n"/>
      <c r="H43" s="27" t="n"/>
      <c r="I43" s="27">
        <f>IF(C43="", "", (B43-C43)*1000/(A43-A42))</f>
        <v/>
      </c>
      <c r="J43" s="27">
        <f>IF(I43="","",I43/F$2/3)</f>
        <v/>
      </c>
      <c r="K43" s="27">
        <f>IF(I43="","", 100*_xlfn.STDEV.P(I42:I43)/AVERAGE(I42:I43))</f>
        <v/>
      </c>
      <c r="L43" s="22">
        <f t="array" ref="L43">IF(I43="","", IFERROR(((IF(I$5&lt;&gt;"", I$5*A$5, 0) + SUMPRODUCT(--(I$6:I43&lt;&gt;""), I$6:I43, (A$6:A43-A$5:A42)))/1000), ""))</f>
        <v/>
      </c>
      <c r="M43" s="27">
        <f>M42+1</f>
        <v/>
      </c>
      <c r="N43" s="27">
        <f>O42</f>
        <v/>
      </c>
      <c r="O43" s="27" t="n"/>
      <c r="P43" s="27" t="n"/>
      <c r="Q43" s="27" t="inlineStr">
        <is>
          <t>60mL/3s/30s</t>
        </is>
      </c>
      <c r="R43" s="27" t="n"/>
      <c r="S43" s="27" t="n"/>
      <c r="T43" s="27" t="n"/>
      <c r="U43" s="27">
        <f>IF(O43="", "", (N43-O43)*1000/(M43-M42))</f>
        <v/>
      </c>
      <c r="V43" s="27">
        <f>IF(U43="","",U43/R$2/3)</f>
        <v/>
      </c>
      <c r="W43" s="27">
        <f>IF(U43="","", 100*_xlfn.STDEV.P(U42:U43)/AVERAGE(U42:U43))</f>
        <v/>
      </c>
      <c r="X43" s="22">
        <f t="array" ref="X43">IF(U43="","", IFERROR(((IF(U$5&lt;&gt;"", U$5*M$5, 0) + SUMPRODUCT(--(U$6:U43&lt;&gt;""), U$6:U43, (M$6:M43-M$5:M42)))/1000), ""))</f>
        <v/>
      </c>
      <c r="Y43" s="27">
        <f>Y42+1</f>
        <v/>
      </c>
      <c r="Z43" s="27">
        <f>AA42</f>
        <v/>
      </c>
      <c r="AA43" s="27" t="n"/>
      <c r="AB43" s="27" t="n"/>
      <c r="AC43" s="27" t="inlineStr">
        <is>
          <t>60mL/3s/30s</t>
        </is>
      </c>
      <c r="AD43" s="27" t="n"/>
      <c r="AE43" s="27" t="n"/>
      <c r="AF43" s="27" t="n"/>
      <c r="AG43" s="27">
        <f>IF(AA43="", "", (Z43-AA43)*1000/(Y43-Y42))</f>
        <v/>
      </c>
      <c r="AH43" s="27">
        <f>IF(AG43="","",AG43/AD$2/3)</f>
        <v/>
      </c>
      <c r="AI43" s="27">
        <f>IF(AG43="","", 100*_xlfn.STDEV.P(AG42:AG43)/AVERAGE(AG42:AG43))</f>
        <v/>
      </c>
      <c r="AJ43" s="22">
        <f t="array" ref="AJ43">IF(AG43="","", IFERROR(((IF(AG$5&lt;&gt;"", AG$5*Y$5, 0) + SUMPRODUCT(--(AG$6:AG43&lt;&gt;""), AG$6:AG43, (Y$6:Y43-Y$5:Y42)))/1000), ""))</f>
        <v/>
      </c>
      <c r="AK43" s="27">
        <f>AK42+1</f>
        <v/>
      </c>
      <c r="AL43" s="27">
        <f>AM42</f>
        <v/>
      </c>
      <c r="AM43" s="27" t="n"/>
      <c r="AN43" s="27" t="n"/>
      <c r="AO43" s="27" t="inlineStr">
        <is>
          <t>60mL/3s/30s</t>
        </is>
      </c>
      <c r="AP43" s="27" t="n"/>
      <c r="AQ43" s="27" t="n"/>
      <c r="AR43" s="27" t="n"/>
      <c r="AS43" s="27">
        <f>IF(AM43="", "", (AL43-AM43)*1000/(AK43-AK42))</f>
        <v/>
      </c>
      <c r="AT43" s="27">
        <f>IF(AS43="","",AS43/AP$2/3)</f>
        <v/>
      </c>
      <c r="AU43" s="27">
        <f>IF(AS43="","", 100*_xlfn.STDEV.P(AS42:AS43)/AVERAGE(AS42:AS43))</f>
        <v/>
      </c>
      <c r="AV43" s="22">
        <f t="array" ref="AV43">IF(AS43="","", IFERROR(((IF(AS$5&lt;&gt;"", AS$5*AK$5, 0) + SUMPRODUCT(--(AS$6:AS43&lt;&gt;""), AS$6:AS43, (AK$6:AK43-AK$5:AK42)))/1000), ""))</f>
        <v/>
      </c>
      <c r="AW43" s="27">
        <f>AW42+1</f>
        <v/>
      </c>
      <c r="AX43" s="27">
        <f>AY42</f>
        <v/>
      </c>
      <c r="AY43" s="27" t="n"/>
      <c r="AZ43" s="27" t="n"/>
      <c r="BA43" s="27" t="inlineStr">
        <is>
          <t>60mL/3s/30s</t>
        </is>
      </c>
      <c r="BB43" s="27" t="n"/>
      <c r="BC43" s="27" t="n"/>
      <c r="BD43" s="27" t="n"/>
      <c r="BE43" s="27">
        <f>IF(AY43="", "", (AX43-AY43)*1000/(AW43-AW42))</f>
        <v/>
      </c>
      <c r="BF43" s="27">
        <f>IF(BE43="","",BE43/BB$2/3)</f>
        <v/>
      </c>
      <c r="BG43" s="27">
        <f>IF(BE43="","", 100*_xlfn.STDEV.P(BE42:BE43)/AVERAGE(BE42:BE43))</f>
        <v/>
      </c>
      <c r="BH43" s="22">
        <f t="array" ref="BH43">IF(BE43="","", IFERROR(((IF(BE$5&lt;&gt;"", BE$5*AW$5, 0) + SUMPRODUCT(--(BE$6:BE43&lt;&gt;""), BE$6:BE43, (AW$6:AW43-AW$5:AW42)))/1000), ""))</f>
        <v/>
      </c>
      <c r="BI43" s="27">
        <f>BI42+1</f>
        <v/>
      </c>
      <c r="BJ43" s="27">
        <f>BK42</f>
        <v/>
      </c>
      <c r="BK43" s="27" t="n"/>
      <c r="BL43" s="27" t="n"/>
      <c r="BM43" s="27" t="inlineStr">
        <is>
          <t>60mL/3s/30s</t>
        </is>
      </c>
      <c r="BN43" s="27" t="n"/>
      <c r="BO43" s="27" t="n"/>
      <c r="BP43" s="27" t="n"/>
      <c r="BQ43" s="27">
        <f>IF(BK43="", "", (BJ43-BK43)*1000/(BI43-BI42))</f>
        <v/>
      </c>
      <c r="BR43" s="27">
        <f>IF(BQ43="","",BQ43/BN$2/3)</f>
        <v/>
      </c>
      <c r="BS43" s="27">
        <f>IF(BQ43="","", 100*_xlfn.STDEV.P(BQ42:BQ43)/AVERAGE(BQ42:BQ43))</f>
        <v/>
      </c>
      <c r="BT43" s="22">
        <f t="array" ref="BT43">IF(BQ43="","", IFERROR(((IF(BQ$5&lt;&gt;"", BQ$5*BI$5, 0) + SUMPRODUCT(--(BQ$6:BQ43&lt;&gt;""), BQ$6:BQ43, (BI$6:BI43-BI$5:BI42)))/1000), ""))</f>
        <v/>
      </c>
    </row>
    <row r="44">
      <c r="A44" s="28">
        <f>A43+1</f>
        <v/>
      </c>
      <c r="B44" s="29">
        <f>C43</f>
        <v/>
      </c>
      <c r="C44" s="29" t="n"/>
      <c r="D44" s="29" t="n"/>
      <c r="E44" s="29" t="inlineStr">
        <is>
          <t>60mL/3s/30s</t>
        </is>
      </c>
      <c r="F44" s="29" t="n"/>
      <c r="G44" s="29" t="n"/>
      <c r="H44" s="29" t="n"/>
      <c r="I44" s="29">
        <f>IF(C44="", "", (B44-C44)*1000/(A44-A43))</f>
        <v/>
      </c>
      <c r="J44" s="29">
        <f>IF(I44="","",I44/F$2/3)</f>
        <v/>
      </c>
      <c r="K44" s="29">
        <f>IF(I44="","", 100*_xlfn.STDEV.P(I43:I44)/AVERAGE(I43:I44))</f>
        <v/>
      </c>
      <c r="L44" s="30">
        <f t="array" ref="L44">IF(I44="","", IFERROR(((IF(I$5&lt;&gt;"", I$5*A$5, 0) + SUMPRODUCT(--(I$6:I44&lt;&gt;""), I$6:I44, (A$6:A44-A$5:A43)))/1000), ""))</f>
        <v/>
      </c>
      <c r="M44" s="29">
        <f>M43+1</f>
        <v/>
      </c>
      <c r="N44" s="29">
        <f>O43</f>
        <v/>
      </c>
      <c r="O44" s="29" t="n"/>
      <c r="P44" s="29" t="n"/>
      <c r="Q44" s="29" t="inlineStr">
        <is>
          <t>60mL/3s/30s</t>
        </is>
      </c>
      <c r="R44" s="29" t="n"/>
      <c r="S44" s="29" t="n"/>
      <c r="T44" s="29" t="n"/>
      <c r="U44" s="29">
        <f>IF(O44="", "", (N44-O44)*1000/(M44-M43))</f>
        <v/>
      </c>
      <c r="V44" s="29">
        <f>IF(U44="","",U44/R$2/3)</f>
        <v/>
      </c>
      <c r="W44" s="29">
        <f>IF(U44="","", 100*_xlfn.STDEV.P(U43:U44)/AVERAGE(U43:U44))</f>
        <v/>
      </c>
      <c r="X44" s="30">
        <f t="array" ref="X44">IF(U44="","", IFERROR(((IF(U$5&lt;&gt;"", U$5*M$5, 0) + SUMPRODUCT(--(U$6:U44&lt;&gt;""), U$6:U44, (M$6:M44-M$5:M43)))/1000), ""))</f>
        <v/>
      </c>
      <c r="Y44" s="29">
        <f>Y43+1</f>
        <v/>
      </c>
      <c r="Z44" s="29">
        <f>AA43</f>
        <v/>
      </c>
      <c r="AA44" s="29" t="n"/>
      <c r="AB44" s="29" t="n"/>
      <c r="AC44" s="29" t="inlineStr">
        <is>
          <t>60mL/3s/30s</t>
        </is>
      </c>
      <c r="AD44" s="29" t="n"/>
      <c r="AE44" s="29" t="n"/>
      <c r="AF44" s="29" t="n"/>
      <c r="AG44" s="29">
        <f>IF(AA44="", "", (Z44-AA44)*1000/(Y44-Y43))</f>
        <v/>
      </c>
      <c r="AH44" s="29">
        <f>IF(AG44="","",AG44/AD$2/3)</f>
        <v/>
      </c>
      <c r="AI44" s="29">
        <f>IF(AG44="","", 100*_xlfn.STDEV.P(AG43:AG44)/AVERAGE(AG43:AG44))</f>
        <v/>
      </c>
      <c r="AJ44" s="30">
        <f t="array" ref="AJ44">IF(AG44="","", IFERROR(((IF(AG$5&lt;&gt;"", AG$5*Y$5, 0) + SUMPRODUCT(--(AG$6:AG44&lt;&gt;""), AG$6:AG44, (Y$6:Y44-Y$5:Y43)))/1000), ""))</f>
        <v/>
      </c>
      <c r="AK44" s="29">
        <f>AK43+1</f>
        <v/>
      </c>
      <c r="AL44" s="29">
        <f>AM43</f>
        <v/>
      </c>
      <c r="AM44" s="29" t="n"/>
      <c r="AN44" s="29" t="n"/>
      <c r="AO44" s="29" t="inlineStr">
        <is>
          <t>60mL/3s/30s</t>
        </is>
      </c>
      <c r="AP44" s="29" t="n"/>
      <c r="AQ44" s="29" t="n"/>
      <c r="AR44" s="29" t="n"/>
      <c r="AS44" s="29">
        <f>IF(AM44="", "", (AL44-AM44)*1000/(AK44-AK43))</f>
        <v/>
      </c>
      <c r="AT44" s="29">
        <f>IF(AS44="","",AS44/AP$2/3)</f>
        <v/>
      </c>
      <c r="AU44" s="29">
        <f>IF(AS44="","", 100*_xlfn.STDEV.P(AS43:AS44)/AVERAGE(AS43:AS44))</f>
        <v/>
      </c>
      <c r="AV44" s="30">
        <f t="array" ref="AV44">IF(AS44="","", IFERROR(((IF(AS$5&lt;&gt;"", AS$5*AK$5, 0) + SUMPRODUCT(--(AS$6:AS44&lt;&gt;""), AS$6:AS44, (AK$6:AK44-AK$5:AK43)))/1000), ""))</f>
        <v/>
      </c>
      <c r="AW44" s="29">
        <f>AW43+1</f>
        <v/>
      </c>
      <c r="AX44" s="29">
        <f>AY43</f>
        <v/>
      </c>
      <c r="AY44" s="29" t="n"/>
      <c r="AZ44" s="29" t="n"/>
      <c r="BA44" s="29" t="inlineStr">
        <is>
          <t>60mL/3s/30s</t>
        </is>
      </c>
      <c r="BB44" s="29" t="n"/>
      <c r="BC44" s="29" t="n"/>
      <c r="BD44" s="29" t="n"/>
      <c r="BE44" s="29">
        <f>IF(AY44="", "", (AX44-AY44)*1000/(AW44-AW43))</f>
        <v/>
      </c>
      <c r="BF44" s="29">
        <f>IF(BE44="","",BE44/BB$2/3)</f>
        <v/>
      </c>
      <c r="BG44" s="29">
        <f>IF(BE44="","", 100*_xlfn.STDEV.P(BE43:BE44)/AVERAGE(BE43:BE44))</f>
        <v/>
      </c>
      <c r="BH44" s="30">
        <f t="array" ref="BH44">IF(BE44="","", IFERROR(((IF(BE$5&lt;&gt;"", BE$5*AW$5, 0) + SUMPRODUCT(--(BE$6:BE44&lt;&gt;""), BE$6:BE44, (AW$6:AW44-AW$5:AW43)))/1000), ""))</f>
        <v/>
      </c>
      <c r="BI44" s="29">
        <f>BI43+1</f>
        <v/>
      </c>
      <c r="BJ44" s="29">
        <f>BK43</f>
        <v/>
      </c>
      <c r="BK44" s="29" t="n"/>
      <c r="BL44" s="29" t="n"/>
      <c r="BM44" s="29" t="inlineStr">
        <is>
          <t>60mL/3s/30s</t>
        </is>
      </c>
      <c r="BN44" s="29" t="n"/>
      <c r="BO44" s="29" t="n"/>
      <c r="BP44" s="29" t="n"/>
      <c r="BQ44" s="29">
        <f>IF(BK44="", "", (BJ44-BK44)*1000/(BI44-BI43))</f>
        <v/>
      </c>
      <c r="BR44" s="29">
        <f>IF(BQ44="","",BQ44/BN$2/3)</f>
        <v/>
      </c>
      <c r="BS44" s="29">
        <f>IF(BQ44="","", 100*_xlfn.STDEV.P(BQ43:BQ44)/AVERAGE(BQ43:BQ44))</f>
        <v/>
      </c>
      <c r="BT44" s="30">
        <f t="array" ref="BT44">IF(BQ44="","", IFERROR(((IF(BQ$5&lt;&gt;"", BQ$5*BI$5, 0) + SUMPRODUCT(--(BQ$6:BQ44&lt;&gt;""), BQ$6:BQ44, (BI$6:BI44-BI$5:BI43)))/1000), ""))</f>
        <v/>
      </c>
    </row>
    <row r="45">
      <c r="L45" s="22" t="n"/>
      <c r="X45" s="22" t="n"/>
      <c r="AJ45" s="22" t="n"/>
      <c r="AV45" s="22" t="n"/>
      <c r="BH45" s="22" t="n"/>
      <c r="BT45" s="22" t="n"/>
    </row>
    <row r="46">
      <c r="L46" s="22" t="n"/>
      <c r="X46" s="22" t="n"/>
      <c r="AJ46" s="22" t="n"/>
      <c r="AV46" s="22" t="n"/>
      <c r="BH46" s="22" t="n"/>
      <c r="BT46" s="22" t="n"/>
    </row>
    <row r="47">
      <c r="L47" s="22" t="n"/>
      <c r="X47" s="22" t="n"/>
      <c r="AJ47" s="22" t="n"/>
      <c r="AV47" s="22" t="n"/>
      <c r="BH47" s="22" t="n"/>
      <c r="BT47" s="22" t="n"/>
    </row>
    <row r="48">
      <c r="L48" s="22" t="n"/>
      <c r="X48" s="22" t="n"/>
      <c r="AJ48" s="22" t="n"/>
      <c r="AV48" s="22" t="n"/>
      <c r="BH48" s="22" t="n"/>
      <c r="BT48" s="22" t="n"/>
    </row>
    <row r="49">
      <c r="L49" s="22" t="n"/>
      <c r="X49" s="22" t="n"/>
      <c r="AJ49" s="22" t="n"/>
      <c r="AV49" s="22" t="n"/>
      <c r="BH49" s="22" t="n"/>
      <c r="BT49" s="22" t="n"/>
    </row>
    <row r="50">
      <c r="L50" s="22" t="n"/>
      <c r="X50" s="22" t="n"/>
      <c r="AJ50" s="22" t="n"/>
      <c r="AV50" s="22" t="n"/>
      <c r="BH50" s="22" t="n"/>
      <c r="BT50" s="22" t="n"/>
    </row>
    <row r="51">
      <c r="L51" s="22" t="n"/>
      <c r="X51" s="22" t="n"/>
      <c r="AJ51" s="22" t="n"/>
      <c r="AV51" s="22" t="n"/>
      <c r="BH51" s="22" t="n"/>
      <c r="BT51" s="22" t="n"/>
    </row>
    <row r="52">
      <c r="L52" s="22" t="n"/>
      <c r="X52" s="22" t="n"/>
      <c r="AJ52" s="22" t="n"/>
      <c r="AV52" s="22" t="n"/>
      <c r="BH52" s="22" t="n"/>
      <c r="BT52" s="22" t="n"/>
    </row>
    <row r="53">
      <c r="L53" s="22" t="n"/>
      <c r="X53" s="22" t="n"/>
      <c r="AJ53" s="22" t="n"/>
      <c r="AV53" s="22" t="n"/>
      <c r="BH53" s="22" t="n"/>
      <c r="BT53" s="22" t="n"/>
    </row>
    <row r="54">
      <c r="L54" s="22" t="n"/>
      <c r="X54" s="22" t="n"/>
      <c r="AJ54" s="22" t="n"/>
      <c r="AV54" s="22" t="n"/>
      <c r="BH54" s="22" t="n"/>
      <c r="BT54" s="22" t="n"/>
    </row>
    <row r="55">
      <c r="L55" s="22" t="n"/>
      <c r="X55" s="22" t="n"/>
      <c r="AJ55" s="22" t="n"/>
      <c r="AV55" s="22" t="n"/>
      <c r="BH55" s="22" t="n"/>
      <c r="BT55" s="22" t="n"/>
    </row>
    <row r="56">
      <c r="L56" s="22" t="n"/>
      <c r="X56" s="22" t="n"/>
      <c r="AJ56" s="22" t="n"/>
      <c r="AV56" s="22" t="n"/>
      <c r="BH56" s="22" t="n"/>
      <c r="BT56" s="22" t="n"/>
    </row>
    <row r="57">
      <c r="L57" s="22" t="n"/>
      <c r="X57" s="22" t="n"/>
      <c r="AJ57" s="22" t="n"/>
      <c r="AV57" s="22" t="n"/>
      <c r="BH57" s="22" t="n"/>
      <c r="BT57" s="22" t="n"/>
    </row>
    <row r="58">
      <c r="L58" s="22" t="n"/>
      <c r="X58" s="22" t="n"/>
      <c r="AJ58" s="22" t="n"/>
      <c r="AV58" s="22" t="n"/>
      <c r="BH58" s="22" t="n"/>
      <c r="BT58" s="22" t="n"/>
    </row>
    <row r="59">
      <c r="L59" s="22" t="n"/>
      <c r="X59" s="22" t="n"/>
      <c r="AJ59" s="22" t="n"/>
      <c r="AV59" s="22" t="n"/>
      <c r="BH59" s="22" t="n"/>
      <c r="BT59" s="22" t="n"/>
    </row>
    <row r="60">
      <c r="L60" s="22" t="n"/>
      <c r="X60" s="22" t="n"/>
      <c r="AJ60" s="22" t="n"/>
      <c r="AV60" s="22" t="n"/>
      <c r="BH60" s="22" t="n"/>
      <c r="BT60" s="22" t="n"/>
    </row>
    <row r="61">
      <c r="L61" s="22" t="n"/>
      <c r="X61" s="22" t="n"/>
      <c r="AJ61" s="22" t="n"/>
      <c r="AV61" s="22" t="n"/>
      <c r="BH61" s="22" t="n"/>
      <c r="BT61" s="22" t="n"/>
    </row>
    <row r="62">
      <c r="L62" s="22" t="n"/>
      <c r="X62" s="22" t="n"/>
      <c r="AJ62" s="22" t="n"/>
      <c r="AV62" s="22" t="n"/>
      <c r="BH62" s="22" t="n"/>
      <c r="BT62" s="22" t="n"/>
    </row>
    <row r="63">
      <c r="L63" s="22" t="n"/>
      <c r="X63" s="22" t="n"/>
      <c r="AJ63" s="22" t="n"/>
      <c r="AV63" s="22" t="n"/>
      <c r="BH63" s="22" t="n"/>
      <c r="BT63" s="22" t="n"/>
    </row>
    <row r="64">
      <c r="L64" s="22" t="n"/>
      <c r="X64" s="22" t="n"/>
      <c r="AJ64" s="22" t="n"/>
      <c r="AV64" s="22" t="n"/>
      <c r="BH64" s="22" t="n"/>
      <c r="BT64" s="22" t="n"/>
    </row>
    <row r="65">
      <c r="L65" s="22" t="n"/>
      <c r="X65" s="22" t="n"/>
      <c r="AJ65" s="22" t="n"/>
      <c r="AV65" s="22" t="n"/>
      <c r="BH65" s="22" t="n"/>
      <c r="BT65" s="22" t="n"/>
    </row>
    <row r="66">
      <c r="L66" s="22" t="n"/>
      <c r="X66" s="22" t="n"/>
      <c r="AJ66" s="22" t="n"/>
      <c r="AV66" s="22" t="n"/>
      <c r="BH66" s="22" t="n"/>
      <c r="BT66" s="22" t="n"/>
    </row>
    <row r="67">
      <c r="L67" s="22" t="n"/>
      <c r="X67" s="22" t="n"/>
      <c r="AJ67" s="22" t="n"/>
      <c r="AV67" s="22" t="n"/>
      <c r="BH67" s="22" t="n"/>
      <c r="BT67" s="22" t="n"/>
    </row>
    <row r="68">
      <c r="L68" s="22" t="n"/>
      <c r="X68" s="22" t="n"/>
      <c r="AJ68" s="22" t="n"/>
      <c r="AV68" s="22" t="n"/>
      <c r="BH68" s="22" t="n"/>
      <c r="BT68" s="22" t="n"/>
    </row>
    <row r="69">
      <c r="L69" s="22" t="n"/>
      <c r="X69" s="22" t="n"/>
      <c r="AJ69" s="22" t="n"/>
      <c r="AV69" s="22" t="n"/>
      <c r="BH69" s="22" t="n"/>
      <c r="BT69" s="22" t="n"/>
    </row>
    <row r="70">
      <c r="L70" s="22" t="n"/>
      <c r="X70" s="22" t="n"/>
      <c r="AJ70" s="22" t="n"/>
      <c r="AV70" s="22" t="n"/>
      <c r="BH70" s="22" t="n"/>
      <c r="BT70" s="22" t="n"/>
    </row>
    <row r="71">
      <c r="L71" s="22" t="n"/>
      <c r="X71" s="22" t="n"/>
      <c r="AJ71" s="22" t="n"/>
      <c r="AV71" s="22" t="n"/>
      <c r="BH71" s="22" t="n"/>
      <c r="BT71" s="22" t="n"/>
    </row>
    <row r="72">
      <c r="L72" s="22" t="n"/>
      <c r="X72" s="22" t="n"/>
      <c r="AJ72" s="22" t="n"/>
      <c r="AV72" s="22" t="n"/>
      <c r="BH72" s="22" t="n"/>
      <c r="BT72" s="22" t="n"/>
    </row>
    <row r="73">
      <c r="L73" s="22" t="n"/>
      <c r="X73" s="22" t="n"/>
      <c r="AJ73" s="22" t="n"/>
      <c r="AV73" s="22" t="n"/>
      <c r="BH73" s="22" t="n"/>
      <c r="BT73" s="22" t="n"/>
    </row>
    <row r="74">
      <c r="L74" s="22" t="n"/>
      <c r="X74" s="22" t="n"/>
      <c r="AJ74" s="22" t="n"/>
      <c r="AV74" s="22" t="n"/>
      <c r="BH74" s="22" t="n"/>
      <c r="BT74" s="22" t="n"/>
    </row>
    <row r="75">
      <c r="L75" s="22" t="n"/>
      <c r="X75" s="22" t="n"/>
      <c r="AJ75" s="22" t="n"/>
      <c r="AV75" s="22" t="n"/>
      <c r="BH75" s="22" t="n"/>
      <c r="BT75" s="22" t="n"/>
    </row>
    <row r="76">
      <c r="L76" s="22" t="n"/>
      <c r="X76" s="22" t="n"/>
      <c r="AJ76" s="22" t="n"/>
      <c r="AV76" s="22" t="n"/>
      <c r="BH76" s="22" t="n"/>
      <c r="BT76" s="22" t="n"/>
    </row>
    <row r="77">
      <c r="L77" s="22" t="n"/>
      <c r="X77" s="22" t="n"/>
      <c r="AJ77" s="22" t="n"/>
      <c r="AV77" s="22" t="n"/>
      <c r="BH77" s="22" t="n"/>
      <c r="BT77" s="22" t="n"/>
    </row>
    <row r="78">
      <c r="L78" s="22" t="n"/>
      <c r="X78" s="22" t="n"/>
      <c r="AJ78" s="22" t="n"/>
      <c r="AV78" s="22" t="n"/>
      <c r="BH78" s="22" t="n"/>
      <c r="BT78" s="22" t="n"/>
    </row>
    <row r="79">
      <c r="L79" s="22" t="n"/>
      <c r="X79" s="22" t="n"/>
      <c r="AJ79" s="22" t="n"/>
      <c r="AV79" s="22" t="n"/>
      <c r="BH79" s="22" t="n"/>
      <c r="BT79" s="22" t="n"/>
    </row>
    <row r="80">
      <c r="L80" s="22" t="n"/>
      <c r="X80" s="22" t="n"/>
      <c r="AJ80" s="22" t="n"/>
      <c r="AV80" s="22" t="n"/>
      <c r="BH80" s="22" t="n"/>
      <c r="BT80" s="22" t="n"/>
    </row>
    <row r="81">
      <c r="L81" s="22" t="n"/>
      <c r="X81" s="22" t="n"/>
      <c r="AJ81" s="22" t="n"/>
      <c r="AV81" s="22" t="n"/>
      <c r="BH81" s="22" t="n"/>
      <c r="BT81" s="22" t="n"/>
    </row>
    <row r="82">
      <c r="L82" s="22" t="n"/>
      <c r="X82" s="22" t="n"/>
      <c r="AJ82" s="22" t="n"/>
      <c r="AV82" s="22" t="n"/>
      <c r="BH82" s="22" t="n"/>
      <c r="BT82" s="22" t="n"/>
    </row>
    <row r="83">
      <c r="L83" s="22" t="n"/>
      <c r="X83" s="22" t="n"/>
      <c r="AJ83" s="22" t="n"/>
      <c r="AV83" s="22" t="n"/>
      <c r="BH83" s="22" t="n"/>
      <c r="BT83" s="22" t="n"/>
    </row>
    <row r="84">
      <c r="L84" s="22" t="n"/>
      <c r="X84" s="22" t="n"/>
      <c r="AJ84" s="22" t="n"/>
      <c r="AV84" s="22" t="n"/>
      <c r="BH84" s="22" t="n"/>
      <c r="BT84" s="22" t="n"/>
    </row>
    <row r="85">
      <c r="L85" s="22" t="n"/>
      <c r="X85" s="22" t="n"/>
      <c r="AJ85" s="22" t="n"/>
      <c r="AV85" s="22" t="n"/>
      <c r="BH85" s="22" t="n"/>
      <c r="BT85" s="22" t="n"/>
    </row>
    <row r="86">
      <c r="L86" s="22" t="n"/>
      <c r="X86" s="22" t="n"/>
      <c r="AJ86" s="22" t="n"/>
      <c r="AV86" s="22" t="n"/>
      <c r="BH86" s="22" t="n"/>
      <c r="BT86" s="22" t="n"/>
    </row>
    <row r="87">
      <c r="L87" s="22" t="n"/>
      <c r="X87" s="22" t="n"/>
      <c r="AJ87" s="22" t="n"/>
      <c r="AV87" s="22" t="n"/>
      <c r="BH87" s="22" t="n"/>
      <c r="BT87" s="22" t="n"/>
    </row>
    <row r="88">
      <c r="L88" s="22" t="n"/>
      <c r="X88" s="22" t="n"/>
      <c r="AJ88" s="22" t="n"/>
      <c r="AV88" s="22" t="n"/>
      <c r="BH88" s="22" t="n"/>
      <c r="BT88" s="22" t="n"/>
    </row>
    <row r="89">
      <c r="L89" s="22" t="n"/>
      <c r="X89" s="22" t="n"/>
      <c r="AJ89" s="22" t="n"/>
      <c r="AV89" s="22" t="n"/>
      <c r="BH89" s="22" t="n"/>
      <c r="BT89" s="22" t="n"/>
    </row>
    <row r="90">
      <c r="L90" s="22" t="n"/>
      <c r="X90" s="22" t="n"/>
      <c r="AJ90" s="22" t="n"/>
      <c r="AV90" s="22" t="n"/>
      <c r="BH90" s="22" t="n"/>
      <c r="BT90" s="22" t="n"/>
    </row>
    <row r="91">
      <c r="L91" s="22" t="n"/>
      <c r="X91" s="22" t="n"/>
      <c r="AJ91" s="22" t="n"/>
      <c r="AV91" s="22" t="n"/>
      <c r="BH91" s="22" t="n"/>
      <c r="BT91" s="22" t="n"/>
    </row>
    <row r="92">
      <c r="L92" s="22" t="n"/>
      <c r="X92" s="22" t="n"/>
      <c r="AJ92" s="22" t="n"/>
      <c r="AV92" s="22" t="n"/>
      <c r="BH92" s="22" t="n"/>
      <c r="BT92" s="22" t="n"/>
    </row>
    <row r="93">
      <c r="L93" s="22" t="n"/>
      <c r="X93" s="22" t="n"/>
      <c r="AJ93" s="22" t="n"/>
      <c r="AV93" s="22" t="n"/>
      <c r="BH93" s="22" t="n"/>
      <c r="BT93" s="22" t="n"/>
    </row>
    <row r="94">
      <c r="L94" s="22" t="n"/>
      <c r="X94" s="22" t="n"/>
      <c r="AJ94" s="22" t="n"/>
      <c r="AV94" s="22" t="n"/>
      <c r="BH94" s="22" t="n"/>
      <c r="BT94" s="22" t="n"/>
    </row>
    <row r="95">
      <c r="L95" s="22" t="n"/>
      <c r="X95" s="22" t="n"/>
      <c r="AJ95" s="22" t="n"/>
      <c r="AV95" s="22" t="n"/>
      <c r="BH95" s="22" t="n"/>
      <c r="BT95" s="22" t="n"/>
    </row>
    <row r="96">
      <c r="L96" s="22" t="n"/>
      <c r="X96" s="22" t="n"/>
      <c r="AJ96" s="22" t="n"/>
      <c r="AV96" s="22" t="n"/>
      <c r="BH96" s="22" t="n"/>
      <c r="BT96" s="22" t="n"/>
    </row>
    <row r="97">
      <c r="L97" s="22" t="n"/>
      <c r="X97" s="22" t="n"/>
      <c r="AJ97" s="22" t="n"/>
      <c r="AV97" s="22" t="n"/>
      <c r="BH97" s="22" t="n"/>
      <c r="BT97" s="22" t="n"/>
    </row>
    <row r="98">
      <c r="L98" s="22" t="n"/>
      <c r="X98" s="22" t="n"/>
      <c r="AJ98" s="22" t="n"/>
      <c r="AV98" s="22" t="n"/>
      <c r="BH98" s="22" t="n"/>
      <c r="BT98" s="22" t="n"/>
    </row>
    <row r="99">
      <c r="L99" s="22" t="n"/>
      <c r="X99" s="22" t="n"/>
      <c r="AJ99" s="22" t="n"/>
      <c r="AV99" s="22" t="n"/>
      <c r="BH99" s="22" t="n"/>
      <c r="BT99" s="22" t="n"/>
    </row>
    <row r="100">
      <c r="L100" s="22" t="n"/>
      <c r="X100" s="22" t="n"/>
      <c r="AJ100" s="22" t="n"/>
      <c r="AV100" s="22" t="n"/>
      <c r="BH100" s="22" t="n"/>
      <c r="BT100" s="22" t="n"/>
    </row>
    <row r="101">
      <c r="L101" s="22" t="n"/>
      <c r="X101" s="22" t="n"/>
      <c r="AJ101" s="22" t="n"/>
      <c r="AV101" s="22" t="n"/>
      <c r="BH101" s="22" t="n"/>
      <c r="BT101" s="22" t="n"/>
    </row>
    <row r="102">
      <c r="L102" s="22" t="n"/>
      <c r="X102" s="22" t="n"/>
      <c r="AJ102" s="22" t="n"/>
      <c r="AV102" s="22" t="n"/>
      <c r="BH102" s="22" t="n"/>
      <c r="BT102" s="22" t="n"/>
    </row>
    <row r="103">
      <c r="L103" s="22" t="n"/>
      <c r="X103" s="22" t="n"/>
      <c r="AJ103" s="22" t="n"/>
      <c r="AV103" s="22" t="n"/>
      <c r="BH103" s="22" t="n"/>
      <c r="BT103" s="22" t="n"/>
    </row>
    <row r="104">
      <c r="L104" s="22" t="n"/>
      <c r="X104" s="22" t="n"/>
      <c r="AJ104" s="22" t="n"/>
      <c r="AV104" s="22" t="n"/>
      <c r="BH104" s="22" t="n"/>
      <c r="BT104" s="22" t="n"/>
    </row>
    <row r="105">
      <c r="L105" s="22" t="n"/>
      <c r="X105" s="22" t="n"/>
      <c r="AJ105" s="22" t="n"/>
      <c r="AV105" s="22" t="n"/>
      <c r="BH105" s="22" t="n"/>
      <c r="BT105" s="22" t="n"/>
    </row>
    <row r="106">
      <c r="L106" s="22" t="n"/>
      <c r="X106" s="22" t="n"/>
      <c r="AJ106" s="22" t="n"/>
      <c r="AV106" s="22" t="n"/>
      <c r="BH106" s="22" t="n"/>
      <c r="BT106" s="22" t="n"/>
    </row>
    <row r="107">
      <c r="L107" s="22" t="n"/>
      <c r="X107" s="22" t="n"/>
      <c r="AJ107" s="22" t="n"/>
      <c r="AV107" s="22" t="n"/>
      <c r="BH107" s="22" t="n"/>
      <c r="BT107" s="22" t="n"/>
    </row>
    <row r="108">
      <c r="L108" s="22" t="n"/>
      <c r="X108" s="22" t="n"/>
      <c r="AJ108" s="22" t="n"/>
      <c r="AV108" s="22" t="n"/>
      <c r="BH108" s="22" t="n"/>
      <c r="BT108" s="22" t="n"/>
    </row>
    <row r="109">
      <c r="L109" s="22" t="n"/>
      <c r="X109" s="22" t="n"/>
      <c r="AJ109" s="22" t="n"/>
      <c r="AV109" s="22" t="n"/>
      <c r="BH109" s="22" t="n"/>
      <c r="BT109" s="22" t="n"/>
    </row>
    <row r="110">
      <c r="L110" s="22" t="n"/>
      <c r="X110" s="22" t="n"/>
      <c r="AJ110" s="22" t="n"/>
      <c r="AV110" s="22" t="n"/>
      <c r="BH110" s="22" t="n"/>
      <c r="BT110" s="22" t="n"/>
    </row>
    <row r="111">
      <c r="L111" s="22" t="n"/>
      <c r="X111" s="22" t="n"/>
      <c r="AJ111" s="22" t="n"/>
      <c r="AV111" s="22" t="n"/>
      <c r="BH111" s="22" t="n"/>
      <c r="BT111" s="22" t="n"/>
    </row>
    <row r="112">
      <c r="L112" s="22" t="n"/>
      <c r="X112" s="22" t="n"/>
      <c r="AJ112" s="22" t="n"/>
      <c r="AV112" s="22" t="n"/>
      <c r="BH112" s="22" t="n"/>
      <c r="BT112" s="22" t="n"/>
    </row>
    <row r="113">
      <c r="L113" s="22" t="n"/>
      <c r="X113" s="22" t="n"/>
      <c r="AJ113" s="22" t="n"/>
      <c r="AV113" s="22" t="n"/>
      <c r="BH113" s="22" t="n"/>
      <c r="BT113" s="22" t="n"/>
    </row>
    <row r="114">
      <c r="L114" s="22" t="n"/>
      <c r="X114" s="22" t="n"/>
      <c r="AJ114" s="22" t="n"/>
      <c r="AV114" s="22" t="n"/>
      <c r="BH114" s="22" t="n"/>
      <c r="BT114" s="22" t="n"/>
    </row>
    <row r="115">
      <c r="L115" s="22" t="n"/>
      <c r="X115" s="22" t="n"/>
      <c r="AJ115" s="22" t="n"/>
      <c r="AV115" s="22" t="n"/>
      <c r="BH115" s="22" t="n"/>
      <c r="BT115" s="22" t="n"/>
    </row>
  </sheetData>
  <conditionalFormatting sqref="I5:L115">
    <cfRule type="containsErrors" priority="26" dxfId="0">
      <formula>ISERROR(I5)</formula>
    </cfRule>
  </conditionalFormatting>
  <conditionalFormatting sqref="K6:K115">
    <cfRule type="cellIs" priority="32" operator="between" dxfId="29">
      <formula>0</formula>
      <formula>15</formula>
    </cfRule>
    <cfRule type="cellIs" priority="33" operator="between" dxfId="28">
      <formula>15</formula>
      <formula>25</formula>
    </cfRule>
    <cfRule type="cellIs" priority="34" operator="between" dxfId="27">
      <formula>25</formula>
      <formula>1000</formula>
    </cfRule>
  </conditionalFormatting>
  <conditionalFormatting sqref="L2:L3 X2:X3">
    <cfRule type="containsErrors" priority="28" dxfId="0">
      <formula>ISERROR(L2)</formula>
    </cfRule>
  </conditionalFormatting>
  <conditionalFormatting sqref="U5:U44 U45:X115 W5:X44">
    <cfRule type="containsErrors" priority="27" dxfId="0">
      <formula>ISERROR(U5)</formula>
    </cfRule>
  </conditionalFormatting>
  <conditionalFormatting sqref="W5:W115">
    <cfRule type="containsErrors" priority="35" dxfId="30">
      <formula>ISERROR(W5)</formula>
    </cfRule>
  </conditionalFormatting>
  <conditionalFormatting sqref="W6:W115">
    <cfRule type="cellIs" priority="29" operator="between" dxfId="29">
      <formula>0</formula>
      <formula>15</formula>
    </cfRule>
    <cfRule type="cellIs" priority="30" operator="between" dxfId="28">
      <formula>15</formula>
      <formula>25</formula>
    </cfRule>
    <cfRule type="cellIs" priority="31" operator="between" dxfId="27">
      <formula>25</formula>
      <formula>1000</formula>
    </cfRule>
  </conditionalFormatting>
  <conditionalFormatting sqref="AG5:AG44 AG45:AJ115 AI5:AJ44">
    <cfRule type="containsErrors" priority="16" dxfId="0">
      <formula>ISERROR(AG5)</formula>
    </cfRule>
  </conditionalFormatting>
  <conditionalFormatting sqref="AI6:AI115">
    <cfRule type="cellIs" priority="22" operator="between" dxfId="29">
      <formula>0</formula>
      <formula>15</formula>
    </cfRule>
    <cfRule type="cellIs" priority="23" operator="between" dxfId="28">
      <formula>15</formula>
      <formula>25</formula>
    </cfRule>
    <cfRule type="cellIs" priority="24" operator="between" dxfId="27">
      <formula>25</formula>
      <formula>1000</formula>
    </cfRule>
  </conditionalFormatting>
  <conditionalFormatting sqref="AJ2:AJ3 AV2:AV3">
    <cfRule type="containsErrors" priority="18" dxfId="0">
      <formula>ISERROR(AJ2)</formula>
    </cfRule>
  </conditionalFormatting>
  <conditionalFormatting sqref="AS5:AS44 AS45:AV115 AU5:AV44">
    <cfRule type="containsErrors" priority="17" dxfId="0">
      <formula>ISERROR(AS5)</formula>
    </cfRule>
  </conditionalFormatting>
  <conditionalFormatting sqref="AU5:AU115">
    <cfRule type="containsErrors" priority="25" dxfId="30">
      <formula>ISERROR(AU5)</formula>
    </cfRule>
  </conditionalFormatting>
  <conditionalFormatting sqref="AU6:AU115">
    <cfRule type="cellIs" priority="19" operator="between" dxfId="29">
      <formula>0</formula>
      <formula>15</formula>
    </cfRule>
    <cfRule type="cellIs" priority="20" operator="between" dxfId="28">
      <formula>15</formula>
      <formula>25</formula>
    </cfRule>
    <cfRule type="cellIs" priority="21" operator="between" dxfId="27">
      <formula>25</formula>
      <formula>1000</formula>
    </cfRule>
  </conditionalFormatting>
  <conditionalFormatting sqref="BE5:BE44 BE45:BH115 BG5:BH44">
    <cfRule type="containsErrors" priority="6" dxfId="0">
      <formula>ISERROR(BE5)</formula>
    </cfRule>
  </conditionalFormatting>
  <conditionalFormatting sqref="BG6:BG115">
    <cfRule type="cellIs" priority="12" operator="between" dxfId="29">
      <formula>0</formula>
      <formula>15</formula>
    </cfRule>
    <cfRule type="cellIs" priority="13" operator="between" dxfId="28">
      <formula>15</formula>
      <formula>25</formula>
    </cfRule>
    <cfRule type="cellIs" priority="14" operator="between" dxfId="27">
      <formula>25</formula>
      <formula>1000</formula>
    </cfRule>
  </conditionalFormatting>
  <conditionalFormatting sqref="BH2:BH3 BT2:BT3">
    <cfRule type="containsErrors" priority="8" dxfId="0">
      <formula>ISERROR(BH2)</formula>
    </cfRule>
  </conditionalFormatting>
  <conditionalFormatting sqref="BQ5:BQ44 BQ45:BT115 BS5:BT44">
    <cfRule type="containsErrors" priority="7" dxfId="0">
      <formula>ISERROR(BQ5)</formula>
    </cfRule>
  </conditionalFormatting>
  <conditionalFormatting sqref="BS5:BS115">
    <cfRule type="containsErrors" priority="15" dxfId="30">
      <formula>ISERROR(BS5)</formula>
    </cfRule>
  </conditionalFormatting>
  <conditionalFormatting sqref="BS6:BS115">
    <cfRule type="cellIs" priority="9" operator="between" dxfId="29">
      <formula>0</formula>
      <formula>15</formula>
    </cfRule>
    <cfRule type="cellIs" priority="10" operator="between" dxfId="28">
      <formula>15</formula>
      <formula>25</formula>
    </cfRule>
    <cfRule type="cellIs" priority="11" operator="between" dxfId="27">
      <formula>25</formula>
      <formula>1000</formula>
    </cfRule>
  </conditionalFormatting>
  <conditionalFormatting sqref="V5:V44">
    <cfRule type="containsErrors" priority="5" dxfId="0">
      <formula>ISERROR(V5)</formula>
    </cfRule>
  </conditionalFormatting>
  <conditionalFormatting sqref="AH5:AH44">
    <cfRule type="containsErrors" priority="4" dxfId="0">
      <formula>ISERROR(AH5)</formula>
    </cfRule>
  </conditionalFormatting>
  <conditionalFormatting sqref="AT5:AT44">
    <cfRule type="containsErrors" priority="3" dxfId="0">
      <formula>ISERROR(AT5)</formula>
    </cfRule>
  </conditionalFormatting>
  <conditionalFormatting sqref="BF5:BF44">
    <cfRule type="containsErrors" priority="2" dxfId="0">
      <formula>ISERROR(BF5)</formula>
    </cfRule>
  </conditionalFormatting>
  <conditionalFormatting sqref="BR5:BR44">
    <cfRule type="containsErrors" priority="1" dxfId="0">
      <formula>ISERROR(BR5)</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X116"/>
  <sheetViews>
    <sheetView zoomScaleNormal="100" workbookViewId="0">
      <selection activeCell="R2" sqref="R2"/>
    </sheetView>
  </sheetViews>
  <sheetFormatPr baseColWidth="8" defaultRowHeight="15"/>
  <cols>
    <col width="11.710937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4.85546875" bestFit="1" customWidth="1" style="1" min="9" max="9"/>
    <col width="18" customWidth="1" style="1" min="10" max="10"/>
    <col width="12.140625" customWidth="1" style="1" min="11" max="11"/>
    <col width="14.140625" customWidth="1" style="7" min="12" max="12"/>
    <col width="11.710937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14.85546875" bestFit="1" customWidth="1" style="1" min="21" max="21"/>
    <col width="18" customWidth="1" style="1" min="22" max="22"/>
    <col width="12.140625" customWidth="1" style="1" min="23" max="23"/>
    <col width="14.140625" customWidth="1" style="7" min="24" max="24"/>
    <col width="9.140625" customWidth="1" style="1" min="25" max="16384"/>
  </cols>
  <sheetData>
    <row r="1" ht="45" customFormat="1" customHeight="1" s="27">
      <c r="A1" s="3" t="inlineStr">
        <is>
          <t>Lifetime Test</t>
        </is>
      </c>
      <c r="C1" s="4" t="inlineStr">
        <is>
          <t>Date:</t>
        </is>
      </c>
      <c r="E1" s="4" t="inlineStr">
        <is>
          <t>Sample ID:</t>
        </is>
      </c>
      <c r="G1" s="4" t="inlineStr">
        <is>
          <t>Heating Technology:</t>
        </is>
      </c>
      <c r="H1" s="27" t="inlineStr">
        <is>
          <t>CCELL3.0</t>
        </is>
      </c>
      <c r="J1" s="4" t="inlineStr">
        <is>
          <t>Did this burn?</t>
        </is>
      </c>
      <c r="L1" s="6" t="inlineStr">
        <is>
          <t>Average TPM and Standard deviation</t>
        </is>
      </c>
      <c r="M1" s="3" t="inlineStr">
        <is>
          <t>Lifetime Test</t>
        </is>
      </c>
      <c r="O1" s="4" t="inlineStr">
        <is>
          <t>Date:</t>
        </is>
      </c>
      <c r="Q1" s="4" t="inlineStr">
        <is>
          <t>Sample ID:</t>
        </is>
      </c>
      <c r="S1" s="4" t="inlineStr">
        <is>
          <t>Heating Technology:</t>
        </is>
      </c>
      <c r="T1" s="27" t="inlineStr">
        <is>
          <t>CCELL3.0</t>
        </is>
      </c>
      <c r="V1" s="4" t="inlineStr">
        <is>
          <t>Did this burn?</t>
        </is>
      </c>
      <c r="X1" s="6" t="inlineStr">
        <is>
          <t>Average TPM and Standard deviation</t>
        </is>
      </c>
    </row>
    <row r="2" ht="45"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60mL/3s/30s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60mL/3s/30s</t>
        </is>
      </c>
      <c r="U2" s="4" t="inlineStr">
        <is>
          <t>Usage Efficiency
                  ↓</t>
        </is>
      </c>
      <c r="V2" s="4" t="inlineStr">
        <is>
          <t>Did this clog?</t>
        </is>
      </c>
      <c r="X2" s="20">
        <f>IF(U5="","",AVERAGEIFS(U5:U115,U5:U115,"&lt;&gt;0",U5:U115,"&lt;&gt;"))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row>
    <row r="4" ht="45" customFormat="1" customHeight="1" s="27">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row>
    <row r="5">
      <c r="A5" s="1" t="n">
        <v>20</v>
      </c>
      <c r="E5" t="inlineStr">
        <is>
          <t>60mL/3s/30s</t>
        </is>
      </c>
      <c r="I5" s="1">
        <f>IF(C5="", "", (B5-C5)*1000/A5)</f>
        <v/>
      </c>
      <c r="J5" s="1">
        <f>IF(I5="","",I5/F$2/3)</f>
        <v/>
      </c>
      <c r="L5" s="8">
        <f>IF(I5="","", IFERROR(((IF(I$5&lt;&gt;"", I$5*A$5, 0))/1000), ""))</f>
        <v/>
      </c>
      <c r="M5" s="1" t="n">
        <v>20</v>
      </c>
      <c r="Q5" t="inlineStr">
        <is>
          <t>60mL/3s/30s</t>
        </is>
      </c>
      <c r="U5" s="1">
        <f>IF(O5="", "", (N5-O5)*1000/M5)</f>
        <v/>
      </c>
      <c r="V5" s="1">
        <f>IF(U5="","",U5/R$2/3)</f>
        <v/>
      </c>
      <c r="X5" s="8">
        <f>IF(U5="","", IFERROR(((IF(U$5&lt;&gt;"", U$5*M$5, 0))/1000), ""))</f>
        <v/>
      </c>
    </row>
    <row r="6">
      <c r="A6" s="1">
        <f>A5+20</f>
        <v/>
      </c>
      <c r="B6" s="1">
        <f>C5</f>
        <v/>
      </c>
      <c r="E6" t="inlineStr">
        <is>
          <t>60mL/3s/30s</t>
        </is>
      </c>
      <c r="I6" s="1">
        <f>IF(C6="", "", (B6-C6)*1000/(A6-A5))</f>
        <v/>
      </c>
      <c r="J6" s="1">
        <f>IF(I6="","",I6/F$2/3)</f>
        <v/>
      </c>
      <c r="K6" s="1">
        <f>IF(I6="","", 100*_xlfn.STDEV.P(I5:I6)/AVERAGE(I5:I6))</f>
        <v/>
      </c>
      <c r="L6" s="8">
        <f t="array" ref="L6">IF(I6="","", IFERROR(((IF(I$5&lt;&gt;"", I$5*A$5, 0) + SUMPRODUCT(--(I$6:I6&lt;&gt;""), I$6:I6, (A$6:A6-A$5:A5)))/1000), ""))</f>
        <v/>
      </c>
      <c r="M6" s="1">
        <f>M5+20</f>
        <v/>
      </c>
      <c r="N6" s="1">
        <f>O5</f>
        <v/>
      </c>
      <c r="Q6" t="inlineStr">
        <is>
          <t>60mL/3s/30s</t>
        </is>
      </c>
      <c r="U6" s="1">
        <f>IF(O6="", "", (N6-O6)*1000/(M6-M5))</f>
        <v/>
      </c>
      <c r="V6" s="1">
        <f>IF(U6="","",U6/R$2/3)</f>
        <v/>
      </c>
      <c r="W6" s="1">
        <f>IF(U6="","", 100*_xlfn.STDEV.P(U5:U6)/AVERAGE(U5:U6))</f>
        <v/>
      </c>
      <c r="X6" s="8">
        <f t="array" ref="X6">IF(U6="","", IFERROR(((IF(U$5&lt;&gt;"", U$5*M$5, 0) + SUMPRODUCT(--(U$6:U6&lt;&gt;""), U$6:U6, (M$6:M6-M$5:M5)))/1000), ""))</f>
        <v/>
      </c>
    </row>
    <row r="7">
      <c r="A7" s="1">
        <f>A6+20</f>
        <v/>
      </c>
      <c r="B7" s="1">
        <f>C6</f>
        <v/>
      </c>
      <c r="E7" t="inlineStr">
        <is>
          <t>60mL/3s/30s</t>
        </is>
      </c>
      <c r="I7" s="1">
        <f>IF(C7="", "", (B7-C7)*1000/(A7-A6))</f>
        <v/>
      </c>
      <c r="J7" s="1">
        <f>IF(I7="","",I7/F$2/3)</f>
        <v/>
      </c>
      <c r="K7" s="1">
        <f>IF(I7="","", 100*_xlfn.STDEV.P(I6:I7)/AVERAGE(I6:I7))</f>
        <v/>
      </c>
      <c r="L7" s="8">
        <f t="array" ref="L7">IF(I7="","", IFERROR(((IF(I$5&lt;&gt;"", I$5*A$5, 0) + SUMPRODUCT(--(I$6:I7&lt;&gt;""), I$6:I7, (A$6:A7-A$5:A6)))/1000), ""))</f>
        <v/>
      </c>
      <c r="M7" s="1">
        <f>M6+20</f>
        <v/>
      </c>
      <c r="N7" s="1">
        <f>O6</f>
        <v/>
      </c>
      <c r="Q7" t="inlineStr">
        <is>
          <t>60mL/3s/30s</t>
        </is>
      </c>
      <c r="U7" s="1">
        <f>IF(O7="", "", (N7-O7)*1000/(M7-M6))</f>
        <v/>
      </c>
      <c r="V7" s="1">
        <f>IF(U7="","",U7/R$2/3)</f>
        <v/>
      </c>
      <c r="W7" s="1">
        <f>IF(U7="","", 100*_xlfn.STDEV.P(U6:U7)/AVERAGE(U6:U7))</f>
        <v/>
      </c>
      <c r="X7" s="8">
        <f t="array" ref="X7">IF(U7="","", IFERROR(((IF(U$5&lt;&gt;"", U$5*M$5, 0) + SUMPRODUCT(--(U$6:U7&lt;&gt;""), U$6:U7, (M$6:M7-M$5:M6)))/1000), ""))</f>
        <v/>
      </c>
    </row>
    <row r="8">
      <c r="A8" s="1">
        <f>A7+20</f>
        <v/>
      </c>
      <c r="B8" s="1">
        <f>C7</f>
        <v/>
      </c>
      <c r="E8" t="inlineStr">
        <is>
          <t>60mL/3s/30s</t>
        </is>
      </c>
      <c r="I8" s="1">
        <f>IF(C8="", "", (B8-C8)*1000/(A8-A7))</f>
        <v/>
      </c>
      <c r="J8" s="1">
        <f>IF(I8="","",I8/F$2/3)</f>
        <v/>
      </c>
      <c r="K8" s="1">
        <f>IF(I8="","", 100*_xlfn.STDEV.P(I7:I8)/AVERAGE(I7:I8))</f>
        <v/>
      </c>
      <c r="L8" s="8">
        <f t="array" ref="L8">IF(I8="","", IFERROR(((IF(I$5&lt;&gt;"", I$5*A$5, 0) + SUMPRODUCT(--(I$6:I8&lt;&gt;""), I$6:I8, (A$6:A8-A$5:A7)))/1000), ""))</f>
        <v/>
      </c>
      <c r="M8" s="1">
        <f>M7+20</f>
        <v/>
      </c>
      <c r="N8" s="1">
        <f>O7</f>
        <v/>
      </c>
      <c r="Q8" t="inlineStr">
        <is>
          <t>60mL/3s/30s</t>
        </is>
      </c>
      <c r="U8" s="1">
        <f>IF(O8="", "", (N8-O8)*1000/(M8-M7))</f>
        <v/>
      </c>
      <c r="V8" s="1">
        <f>IF(U8="","",U8/R$2/3)</f>
        <v/>
      </c>
      <c r="W8" s="1">
        <f>IF(U8="","", 100*_xlfn.STDEV.P(U7:U8)/AVERAGE(U7:U8))</f>
        <v/>
      </c>
      <c r="X8" s="8">
        <f t="array" ref="X8">IF(U8="","", IFERROR(((IF(U$5&lt;&gt;"", U$5*M$5, 0) + SUMPRODUCT(--(U$6:U8&lt;&gt;""), U$6:U8, (M$6:M8-M$5:M7)))/1000), ""))</f>
        <v/>
      </c>
    </row>
    <row r="9">
      <c r="A9" s="1">
        <f>A8+20</f>
        <v/>
      </c>
      <c r="B9" s="1">
        <f>C8</f>
        <v/>
      </c>
      <c r="E9" t="inlineStr">
        <is>
          <t>60mL/3s/30s</t>
        </is>
      </c>
      <c r="I9" s="1">
        <f>IF(C9="", "", (B9-C9)*1000/(A9-A8))</f>
        <v/>
      </c>
      <c r="J9" s="1">
        <f>IF(I9="","",I9/F$2/3)</f>
        <v/>
      </c>
      <c r="K9" s="1">
        <f>IF(I9="","", 100*_xlfn.STDEV.P(I8:I9)/AVERAGE(I8:I9))</f>
        <v/>
      </c>
      <c r="L9" s="8">
        <f t="array" ref="L9">IF(I9="","", IFERROR(((IF(I$5&lt;&gt;"", I$5*A$5, 0) + SUMPRODUCT(--(I$6:I9&lt;&gt;""), I$6:I9, (A$6:A9-A$5:A8)))/1000), ""))</f>
        <v/>
      </c>
      <c r="M9" s="1">
        <f>M8+20</f>
        <v/>
      </c>
      <c r="N9" s="1">
        <f>O8</f>
        <v/>
      </c>
      <c r="Q9" t="inlineStr">
        <is>
          <t>60mL/3s/30s</t>
        </is>
      </c>
      <c r="U9" s="1">
        <f>IF(O9="", "", (N9-O9)*1000/(M9-M8))</f>
        <v/>
      </c>
      <c r="V9" s="1">
        <f>IF(U9="","",U9/R$2/3)</f>
        <v/>
      </c>
      <c r="W9" s="1">
        <f>IF(U9="","", 100*_xlfn.STDEV.P(U8:U9)/AVERAGE(U8:U9))</f>
        <v/>
      </c>
      <c r="X9" s="8">
        <f t="array" ref="X9">IF(U9="","", IFERROR(((IF(U$5&lt;&gt;"", U$5*M$5, 0) + SUMPRODUCT(--(U$6:U9&lt;&gt;""), U$6:U9, (M$6:M9-M$5:M8)))/1000), ""))</f>
        <v/>
      </c>
    </row>
    <row r="10">
      <c r="A10" s="1">
        <f>A9+20</f>
        <v/>
      </c>
      <c r="B10" s="1">
        <f>C9</f>
        <v/>
      </c>
      <c r="E10" t="inlineStr">
        <is>
          <t>60mL/3s/30s</t>
        </is>
      </c>
      <c r="I10" s="1">
        <f>IF(C10="", "", (B10-C10)*1000/(A10-A9))</f>
        <v/>
      </c>
      <c r="J10" s="1">
        <f>IF(I10="","",I10/F$2/3)</f>
        <v/>
      </c>
      <c r="K10" s="1">
        <f>IF(I10="","", 100*_xlfn.STDEV.P(I9:I10)/AVERAGE(I9:I10))</f>
        <v/>
      </c>
      <c r="L10" s="8">
        <f t="array" ref="L10">IF(I10="","", IFERROR(((IF(I$5&lt;&gt;"", I$5*A$5, 0) + SUMPRODUCT(--(I$6:I10&lt;&gt;""), I$6:I10, (A$6:A10-A$5:A9)))/1000), ""))</f>
        <v/>
      </c>
      <c r="M10" s="1">
        <f>M9+20</f>
        <v/>
      </c>
      <c r="N10" s="1">
        <f>O9</f>
        <v/>
      </c>
      <c r="Q10" t="inlineStr">
        <is>
          <t>60mL/3s/30s</t>
        </is>
      </c>
      <c r="U10" s="1">
        <f>IF(O10="", "", (N10-O10)*1000/(M10-M9))</f>
        <v/>
      </c>
      <c r="V10" s="1">
        <f>IF(U10="","",U10/R$2/3)</f>
        <v/>
      </c>
      <c r="W10" s="1">
        <f>IF(U10="","", 100*_xlfn.STDEV.P(U9:U10)/AVERAGE(U9:U10))</f>
        <v/>
      </c>
      <c r="X10" s="8">
        <f t="array" ref="X10">IF(U10="","", IFERROR(((IF(U$5&lt;&gt;"", U$5*M$5, 0) + SUMPRODUCT(--(U$6:U10&lt;&gt;""), U$6:U10, (M$6:M10-M$5:M9)))/1000), ""))</f>
        <v/>
      </c>
    </row>
    <row r="11">
      <c r="A11" s="1">
        <f>A10+20</f>
        <v/>
      </c>
      <c r="B11" s="1">
        <f>C10</f>
        <v/>
      </c>
      <c r="E11" t="inlineStr">
        <is>
          <t>60mL/3s/30s</t>
        </is>
      </c>
      <c r="I11" s="1">
        <f>IF(C11="", "", (B11-C11)*1000/(A11-A10))</f>
        <v/>
      </c>
      <c r="J11" s="1">
        <f>IF(I11="","",I11/F$2/3)</f>
        <v/>
      </c>
      <c r="K11" s="1">
        <f>IF(I11="","", 100*_xlfn.STDEV.P(I10:I11)/AVERAGE(I10:I11))</f>
        <v/>
      </c>
      <c r="L11" s="8">
        <f t="array" ref="L11">IF(I11="","", IFERROR(((IF(I$5&lt;&gt;"", I$5*A$5, 0) + SUMPRODUCT(--(I$6:I11&lt;&gt;""), I$6:I11, (A$6:A11-A$5:A10)))/1000), ""))</f>
        <v/>
      </c>
      <c r="M11" s="1">
        <f>M10+20</f>
        <v/>
      </c>
      <c r="N11" s="1">
        <f>O10</f>
        <v/>
      </c>
      <c r="Q11" t="inlineStr">
        <is>
          <t>60mL/3s/30s</t>
        </is>
      </c>
      <c r="U11" s="1">
        <f>IF(O11="", "", (N11-O11)*1000/(M11-M10))</f>
        <v/>
      </c>
      <c r="V11" s="1">
        <f>IF(U11="","",U11/R$2/3)</f>
        <v/>
      </c>
      <c r="W11" s="1">
        <f>IF(U11="","", 100*_xlfn.STDEV.P(U10:U11)/AVERAGE(U10:U11))</f>
        <v/>
      </c>
      <c r="X11" s="8">
        <f t="array" ref="X11">IF(U11="","", IFERROR(((IF(U$5&lt;&gt;"", U$5*M$5, 0) + SUMPRODUCT(--(U$6:U11&lt;&gt;""), U$6:U11, (M$6:M11-M$5:M10)))/1000), ""))</f>
        <v/>
      </c>
    </row>
    <row r="12">
      <c r="A12" s="1">
        <f>A11+20</f>
        <v/>
      </c>
      <c r="B12" s="1">
        <f>C11</f>
        <v/>
      </c>
      <c r="E12" t="inlineStr">
        <is>
          <t>60mL/3s/30s</t>
        </is>
      </c>
      <c r="I12" s="1">
        <f>IF(C12="", "", (B12-C12)*1000/(A12-A11))</f>
        <v/>
      </c>
      <c r="J12" s="1">
        <f>IF(I12="","",I12/F$2/3)</f>
        <v/>
      </c>
      <c r="K12" s="1">
        <f>IF(I12="","", 100*_xlfn.STDEV.P(I11:I12)/AVERAGE(I11:I12))</f>
        <v/>
      </c>
      <c r="L12" s="8">
        <f t="array" ref="L12">IF(I12="","", IFERROR(((IF(I$5&lt;&gt;"", I$5*A$5, 0) + SUMPRODUCT(--(I$6:I12&lt;&gt;""), I$6:I12, (A$6:A12-A$5:A11)))/1000), ""))</f>
        <v/>
      </c>
      <c r="M12" s="1">
        <f>M11+20</f>
        <v/>
      </c>
      <c r="N12" s="1">
        <f>O11</f>
        <v/>
      </c>
      <c r="Q12" t="inlineStr">
        <is>
          <t>60mL/3s/30s</t>
        </is>
      </c>
      <c r="U12" s="1">
        <f>IF(O12="", "", (N12-O12)*1000/(M12-M11))</f>
        <v/>
      </c>
      <c r="V12" s="1">
        <f>IF(U12="","",U12/R$2/3)</f>
        <v/>
      </c>
      <c r="W12" s="1">
        <f>IF(U12="","", 100*_xlfn.STDEV.P(U11:U12)/AVERAGE(U11:U12))</f>
        <v/>
      </c>
      <c r="X12" s="8">
        <f t="array" ref="X12">IF(U12="","", IFERROR(((IF(U$5&lt;&gt;"", U$5*M$5, 0) + SUMPRODUCT(--(U$6:U12&lt;&gt;""), U$6:U12, (M$6:M12-M$5:M11)))/1000), ""))</f>
        <v/>
      </c>
    </row>
    <row r="13">
      <c r="A13" s="1">
        <f>A12+20</f>
        <v/>
      </c>
      <c r="B13" s="1">
        <f>C12</f>
        <v/>
      </c>
      <c r="E13" t="inlineStr">
        <is>
          <t>60mL/3s/30s</t>
        </is>
      </c>
      <c r="I13" s="1">
        <f>IF(C13="", "", (B13-C13)*1000/(A13-A12))</f>
        <v/>
      </c>
      <c r="J13" s="1">
        <f>IF(I13="","",I13/F$2/3)</f>
        <v/>
      </c>
      <c r="K13" s="1">
        <f>IF(I13="","", 100*_xlfn.STDEV.P(I12:I13)/AVERAGE(I12:I13))</f>
        <v/>
      </c>
      <c r="L13" s="8">
        <f t="array" ref="L13">IF(I13="","", IFERROR(((IF(I$5&lt;&gt;"", I$5*A$5, 0) + SUMPRODUCT(--(I$6:I13&lt;&gt;""), I$6:I13, (A$6:A13-A$5:A12)))/1000), ""))</f>
        <v/>
      </c>
      <c r="M13" s="1">
        <f>M12+20</f>
        <v/>
      </c>
      <c r="N13" s="1">
        <f>O12</f>
        <v/>
      </c>
      <c r="Q13" t="inlineStr">
        <is>
          <t>60mL/3s/30s</t>
        </is>
      </c>
      <c r="U13" s="1">
        <f>IF(O13="", "", (N13-O13)*1000/(M13-M12))</f>
        <v/>
      </c>
      <c r="V13" s="1">
        <f>IF(U13="","",U13/R$2/3)</f>
        <v/>
      </c>
      <c r="W13" s="1">
        <f>IF(U13="","", 100*_xlfn.STDEV.P(U12:U13)/AVERAGE(U12:U13))</f>
        <v/>
      </c>
      <c r="X13" s="8">
        <f t="array" ref="X13">IF(U13="","", IFERROR(((IF(U$5&lt;&gt;"", U$5*M$5, 0) + SUMPRODUCT(--(U$6:U13&lt;&gt;""), U$6:U13, (M$6:M13-M$5:M12)))/1000), ""))</f>
        <v/>
      </c>
    </row>
    <row r="14">
      <c r="A14" s="1">
        <f>A13+20</f>
        <v/>
      </c>
      <c r="B14" s="1">
        <f>C13</f>
        <v/>
      </c>
      <c r="E14" t="inlineStr">
        <is>
          <t>60mL/3s/30s</t>
        </is>
      </c>
      <c r="I14" s="1">
        <f>IF(C14="", "", (B14-C14)*1000/(A14-A13))</f>
        <v/>
      </c>
      <c r="J14" s="1">
        <f>IF(I14="","",I14/F$2/3)</f>
        <v/>
      </c>
      <c r="K14" s="1">
        <f>IF(I14="","", 100*_xlfn.STDEV.P(I13:I14)/AVERAGE(I13:I14))</f>
        <v/>
      </c>
      <c r="L14" s="8">
        <f t="array" ref="L14">IF(I14="","", IFERROR(((IF(I$5&lt;&gt;"", I$5*A$5, 0) + SUMPRODUCT(--(I$6:I14&lt;&gt;""), I$6:I14, (A$6:A14-A$5:A13)))/1000), ""))</f>
        <v/>
      </c>
      <c r="M14" s="1">
        <f>M13+20</f>
        <v/>
      </c>
      <c r="N14" s="1">
        <f>O13</f>
        <v/>
      </c>
      <c r="Q14" t="inlineStr">
        <is>
          <t>60mL/3s/30s</t>
        </is>
      </c>
      <c r="U14" s="1">
        <f>IF(O14="", "", (N14-O14)*1000/(M14-M13))</f>
        <v/>
      </c>
      <c r="V14" s="1">
        <f>IF(U14="","",U14/R$2/3)</f>
        <v/>
      </c>
      <c r="W14" s="1">
        <f>IF(U14="","", 100*_xlfn.STDEV.P(U13:U14)/AVERAGE(U13:U14))</f>
        <v/>
      </c>
      <c r="X14" s="8">
        <f t="array" ref="X14">IF(U14="","", IFERROR(((IF(U$5&lt;&gt;"", U$5*M$5, 0) + SUMPRODUCT(--(U$6:U14&lt;&gt;""), U$6:U14, (M$6:M14-M$5:M13)))/1000), ""))</f>
        <v/>
      </c>
    </row>
    <row r="15">
      <c r="A15" s="1">
        <f>A14+20</f>
        <v/>
      </c>
      <c r="B15" s="1">
        <f>C14</f>
        <v/>
      </c>
      <c r="E15" t="inlineStr">
        <is>
          <t>60mL/3s/30s</t>
        </is>
      </c>
      <c r="I15" s="1">
        <f>IF(C15="", "", (B15-C15)*1000/(A15-A14))</f>
        <v/>
      </c>
      <c r="J15" s="1">
        <f>IF(I15="","",I15/F$2/3)</f>
        <v/>
      </c>
      <c r="K15" s="1">
        <f>IF(I15="","", 100*_xlfn.STDEV.P(I14:I15)/AVERAGE(I14:I15))</f>
        <v/>
      </c>
      <c r="L15" s="8">
        <f t="array" ref="L15">IF(I15="","", IFERROR(((IF(I$5&lt;&gt;"", I$5*A$5, 0) + SUMPRODUCT(--(I$6:I15&lt;&gt;""), I$6:I15, (A$6:A15-A$5:A14)))/1000), ""))</f>
        <v/>
      </c>
      <c r="M15" s="1">
        <f>M14+20</f>
        <v/>
      </c>
      <c r="N15" s="1">
        <f>O14</f>
        <v/>
      </c>
      <c r="Q15" t="inlineStr">
        <is>
          <t>60mL/3s/30s</t>
        </is>
      </c>
      <c r="U15" s="1">
        <f>IF(O15="", "", (N15-O15)*1000/(M15-M14))</f>
        <v/>
      </c>
      <c r="V15" s="1">
        <f>IF(U15="","",U15/R$2/3)</f>
        <v/>
      </c>
      <c r="W15" s="1">
        <f>IF(U15="","", 100*_xlfn.STDEV.P(U14:U15)/AVERAGE(U14:U15))</f>
        <v/>
      </c>
      <c r="X15" s="8">
        <f t="array" ref="X15">IF(U15="","", IFERROR(((IF(U$5&lt;&gt;"", U$5*M$5, 0) + SUMPRODUCT(--(U$6:U15&lt;&gt;""), U$6:U15, (M$6:M15-M$5:M14)))/1000), ""))</f>
        <v/>
      </c>
    </row>
    <row r="16">
      <c r="A16" s="1">
        <f>A15+20</f>
        <v/>
      </c>
      <c r="B16" s="1">
        <f>C15</f>
        <v/>
      </c>
      <c r="E16" t="inlineStr">
        <is>
          <t>60mL/3s/30s</t>
        </is>
      </c>
      <c r="I16" s="1">
        <f>IF(C16="", "", (B16-C16)*1000/(A16-A15))</f>
        <v/>
      </c>
      <c r="J16" s="1">
        <f>IF(I16="","",I16/F$2/3)</f>
        <v/>
      </c>
      <c r="K16" s="1">
        <f>IF(I16="","", 100*_xlfn.STDEV.P(I15:I16)/AVERAGE(I15:I16))</f>
        <v/>
      </c>
      <c r="L16" s="8">
        <f t="array" ref="L16">IF(I16="","", IFERROR(((IF(I$5&lt;&gt;"", I$5*A$5, 0) + SUMPRODUCT(--(I$6:I16&lt;&gt;""), I$6:I16, (A$6:A16-A$5:A15)))/1000), ""))</f>
        <v/>
      </c>
      <c r="M16" s="1">
        <f>M15+20</f>
        <v/>
      </c>
      <c r="N16" s="1">
        <f>O15</f>
        <v/>
      </c>
      <c r="Q16" t="inlineStr">
        <is>
          <t>60mL/3s/30s</t>
        </is>
      </c>
      <c r="U16" s="1">
        <f>IF(O16="", "", (N16-O16)*1000/(M16-M15))</f>
        <v/>
      </c>
      <c r="V16" s="1">
        <f>IF(U16="","",U16/R$2/3)</f>
        <v/>
      </c>
      <c r="W16" s="1">
        <f>IF(U16="","", 100*_xlfn.STDEV.P(U15:U16)/AVERAGE(U15:U16))</f>
        <v/>
      </c>
      <c r="X16" s="8">
        <f t="array" ref="X16">IF(U16="","", IFERROR(((IF(U$5&lt;&gt;"", U$5*M$5, 0) + SUMPRODUCT(--(U$6:U16&lt;&gt;""), U$6:U16, (M$6:M16-M$5:M15)))/1000), ""))</f>
        <v/>
      </c>
    </row>
    <row r="17">
      <c r="A17" s="1">
        <f>A16+20</f>
        <v/>
      </c>
      <c r="B17" s="1">
        <f>C16</f>
        <v/>
      </c>
      <c r="E17" t="inlineStr">
        <is>
          <t>60mL/3s/30s</t>
        </is>
      </c>
      <c r="I17" s="1">
        <f>IF(C17="", "", (B17-C17)*1000/(A17-A16))</f>
        <v/>
      </c>
      <c r="J17" s="1">
        <f>IF(I17="","",I17/F$2/3)</f>
        <v/>
      </c>
      <c r="K17" s="1">
        <f>IF(I17="","", 100*_xlfn.STDEV.P(I16:I17)/AVERAGE(I16:I17))</f>
        <v/>
      </c>
      <c r="L17" s="8">
        <f t="array" ref="L17">IF(I17="","", IFERROR(((IF(I$5&lt;&gt;"", I$5*A$5, 0) + SUMPRODUCT(--(I$6:I17&lt;&gt;""), I$6:I17, (A$6:A17-A$5:A16)))/1000), ""))</f>
        <v/>
      </c>
      <c r="M17" s="1">
        <f>M16+20</f>
        <v/>
      </c>
      <c r="N17" s="1">
        <f>O16</f>
        <v/>
      </c>
      <c r="Q17" t="inlineStr">
        <is>
          <t>60mL/3s/30s</t>
        </is>
      </c>
      <c r="U17" s="1">
        <f>IF(O17="", "", (N17-O17)*1000/(M17-M16))</f>
        <v/>
      </c>
      <c r="V17" s="1">
        <f>IF(U17="","",U17/R$2/3)</f>
        <v/>
      </c>
      <c r="W17" s="1">
        <f>IF(U17="","", 100*_xlfn.STDEV.P(U16:U17)/AVERAGE(U16:U17))</f>
        <v/>
      </c>
      <c r="X17" s="8">
        <f t="array" ref="X17">IF(U17="","", IFERROR(((IF(U$5&lt;&gt;"", U$5*M$5, 0) + SUMPRODUCT(--(U$6:U17&lt;&gt;""), U$6:U17, (M$6:M17-M$5:M16)))/1000), ""))</f>
        <v/>
      </c>
    </row>
    <row r="18">
      <c r="A18" s="1">
        <f>A17+20</f>
        <v/>
      </c>
      <c r="B18" s="1">
        <f>C17</f>
        <v/>
      </c>
      <c r="E18" t="inlineStr">
        <is>
          <t>60mL/3s/30s</t>
        </is>
      </c>
      <c r="I18" s="1">
        <f>IF(C18="", "", (B18-C18)*1000/(A18-A17))</f>
        <v/>
      </c>
      <c r="J18" s="1">
        <f>IF(I18="","",I18/F$2/3)</f>
        <v/>
      </c>
      <c r="K18" s="1">
        <f>IF(I18="","", 100*_xlfn.STDEV.P(I17:I18)/AVERAGE(I17:I18))</f>
        <v/>
      </c>
      <c r="L18" s="8">
        <f t="array" ref="L18">IF(I18="","", IFERROR(((IF(I$5&lt;&gt;"", I$5*A$5, 0) + SUMPRODUCT(--(I$6:I18&lt;&gt;""), I$6:I18, (A$6:A18-A$5:A17)))/1000), ""))</f>
        <v/>
      </c>
      <c r="M18" s="1">
        <f>M17+20</f>
        <v/>
      </c>
      <c r="N18" s="1">
        <f>O17</f>
        <v/>
      </c>
      <c r="Q18" t="inlineStr">
        <is>
          <t>60mL/3s/30s</t>
        </is>
      </c>
      <c r="U18" s="1">
        <f>IF(O18="", "", (N18-O18)*1000/(M18-M17))</f>
        <v/>
      </c>
      <c r="V18" s="1">
        <f>IF(U18="","",U18/R$2/3)</f>
        <v/>
      </c>
      <c r="W18" s="1">
        <f>IF(U18="","", 100*_xlfn.STDEV.P(U17:U18)/AVERAGE(U17:U18))</f>
        <v/>
      </c>
      <c r="X18" s="8">
        <f t="array" ref="X18">IF(U18="","", IFERROR(((IF(U$5&lt;&gt;"", U$5*M$5, 0) + SUMPRODUCT(--(U$6:U18&lt;&gt;""), U$6:U18, (M$6:M18-M$5:M17)))/1000), ""))</f>
        <v/>
      </c>
    </row>
    <row r="19">
      <c r="A19" s="1">
        <f>A18+20</f>
        <v/>
      </c>
      <c r="B19" s="1">
        <f>C18</f>
        <v/>
      </c>
      <c r="E19" t="inlineStr">
        <is>
          <t>60mL/3s/30s</t>
        </is>
      </c>
      <c r="I19" s="1">
        <f>IF(C19="", "", (B19-C19)*1000/(A19-A18))</f>
        <v/>
      </c>
      <c r="J19" s="1">
        <f>IF(I19="","",I19/F$2/3)</f>
        <v/>
      </c>
      <c r="K19" s="1">
        <f>IF(I19="","", 100*_xlfn.STDEV.P(I18:I19)/AVERAGE(I18:I19))</f>
        <v/>
      </c>
      <c r="L19" s="8">
        <f t="array" ref="L19">IF(I19="","", IFERROR(((IF(I$5&lt;&gt;"", I$5*A$5, 0) + SUMPRODUCT(--(I$6:I19&lt;&gt;""), I$6:I19, (A$6:A19-A$5:A18)))/1000), ""))</f>
        <v/>
      </c>
      <c r="M19" s="1">
        <f>M18+20</f>
        <v/>
      </c>
      <c r="N19" s="1">
        <f>O18</f>
        <v/>
      </c>
      <c r="Q19" t="inlineStr">
        <is>
          <t>60mL/3s/30s</t>
        </is>
      </c>
      <c r="U19" s="1">
        <f>IF(O19="", "", (N19-O19)*1000/(M19-M18))</f>
        <v/>
      </c>
      <c r="V19" s="1">
        <f>IF(U19="","",U19/R$2/3)</f>
        <v/>
      </c>
      <c r="W19" s="1">
        <f>IF(U19="","", 100*_xlfn.STDEV.P(U18:U19)/AVERAGE(U18:U19))</f>
        <v/>
      </c>
      <c r="X19" s="8">
        <f t="array" ref="X19">IF(U19="","", IFERROR(((IF(U$5&lt;&gt;"", U$5*M$5, 0) + SUMPRODUCT(--(U$6:U19&lt;&gt;""), U$6:U19, (M$6:M19-M$5:M18)))/1000), ""))</f>
        <v/>
      </c>
    </row>
    <row r="20">
      <c r="A20" s="1">
        <f>A19+20</f>
        <v/>
      </c>
      <c r="B20" s="1">
        <f>C19</f>
        <v/>
      </c>
      <c r="E20" t="inlineStr">
        <is>
          <t>60mL/3s/30s</t>
        </is>
      </c>
      <c r="I20" s="1">
        <f>IF(C20="", "", (B20-C20)*1000/(A20-A19))</f>
        <v/>
      </c>
      <c r="J20" s="1">
        <f>IF(I20="","",I20/F$2/3)</f>
        <v/>
      </c>
      <c r="K20" s="1">
        <f>IF(I20="","", 100*_xlfn.STDEV.P(I19:I20)/AVERAGE(I19:I20))</f>
        <v/>
      </c>
      <c r="L20" s="8">
        <f t="array" ref="L20">IF(I20="","", IFERROR(((IF(I$5&lt;&gt;"", I$5*A$5, 0) + SUMPRODUCT(--(I$6:I20&lt;&gt;""), I$6:I20, (A$6:A20-A$5:A19)))/1000), ""))</f>
        <v/>
      </c>
      <c r="M20" s="1">
        <f>M19+20</f>
        <v/>
      </c>
      <c r="N20" s="1">
        <f>O19</f>
        <v/>
      </c>
      <c r="Q20" t="inlineStr">
        <is>
          <t>60mL/3s/30s</t>
        </is>
      </c>
      <c r="U20" s="1">
        <f>IF(O20="", "", (N20-O20)*1000/(M20-M19))</f>
        <v/>
      </c>
      <c r="V20" s="1">
        <f>IF(U20="","",U20/R$2/3)</f>
        <v/>
      </c>
      <c r="W20" s="1">
        <f>IF(U20="","", 100*_xlfn.STDEV.P(U19:U20)/AVERAGE(U19:U20))</f>
        <v/>
      </c>
      <c r="X20" s="8">
        <f t="array" ref="X20">IF(U20="","", IFERROR(((IF(U$5&lt;&gt;"", U$5*M$5, 0) + SUMPRODUCT(--(U$6:U20&lt;&gt;""), U$6:U20, (M$6:M20-M$5:M19)))/1000), ""))</f>
        <v/>
      </c>
    </row>
    <row r="21">
      <c r="A21" s="1">
        <f>A20+20</f>
        <v/>
      </c>
      <c r="B21" s="1">
        <f>C20</f>
        <v/>
      </c>
      <c r="E21" t="inlineStr">
        <is>
          <t>60mL/3s/30s</t>
        </is>
      </c>
      <c r="I21" s="1">
        <f>IF(C21="", "", (B21-C21)*1000/(A21-A20))</f>
        <v/>
      </c>
      <c r="J21" s="1">
        <f>IF(I21="","",I21/F$2/3)</f>
        <v/>
      </c>
      <c r="K21" s="1">
        <f>IF(I21="","", 100*_xlfn.STDEV.P(I20:I21)/AVERAGE(I20:I21))</f>
        <v/>
      </c>
      <c r="L21" s="8">
        <f t="array" ref="L21">IF(I21="","", IFERROR(((IF(I$5&lt;&gt;"", I$5*A$5, 0) + SUMPRODUCT(--(I$6:I21&lt;&gt;""), I$6:I21, (A$6:A21-A$5:A20)))/1000), ""))</f>
        <v/>
      </c>
      <c r="M21" s="1">
        <f>M20+20</f>
        <v/>
      </c>
      <c r="N21" s="1">
        <f>O20</f>
        <v/>
      </c>
      <c r="Q21" t="inlineStr">
        <is>
          <t>60mL/3s/30s</t>
        </is>
      </c>
      <c r="U21" s="1">
        <f>IF(O21="", "", (N21-O21)*1000/(M21-M20))</f>
        <v/>
      </c>
      <c r="V21" s="1">
        <f>IF(U21="","",U21/R$2/3)</f>
        <v/>
      </c>
      <c r="W21" s="1">
        <f>IF(U21="","", 100*_xlfn.STDEV.P(U20:U21)/AVERAGE(U20:U21))</f>
        <v/>
      </c>
      <c r="X21" s="8">
        <f t="array" ref="X21">IF(U21="","", IFERROR(((IF(U$5&lt;&gt;"", U$5*M$5, 0) + SUMPRODUCT(--(U$6:U21&lt;&gt;""), U$6:U21, (M$6:M21-M$5:M20)))/1000), ""))</f>
        <v/>
      </c>
    </row>
    <row r="22">
      <c r="A22" s="1">
        <f>A21+20</f>
        <v/>
      </c>
      <c r="B22" s="1">
        <f>C21</f>
        <v/>
      </c>
      <c r="E22" t="inlineStr">
        <is>
          <t>60mL/3s/30s</t>
        </is>
      </c>
      <c r="I22" s="1">
        <f>IF(C22="", "", (B22-C22)*1000/(A22-A21))</f>
        <v/>
      </c>
      <c r="J22" s="1">
        <f>IF(I22="","",I22/F$2/3)</f>
        <v/>
      </c>
      <c r="K22" s="1">
        <f>IF(I22="","", 100*_xlfn.STDEV.P(I21:I22)/AVERAGE(I21:I22))</f>
        <v/>
      </c>
      <c r="L22" s="8">
        <f t="array" ref="L22">IF(I22="","", IFERROR(((IF(I$5&lt;&gt;"", I$5*A$5, 0) + SUMPRODUCT(--(I$6:I22&lt;&gt;""), I$6:I22, (A$6:A22-A$5:A21)))/1000), ""))</f>
        <v/>
      </c>
      <c r="M22" s="1">
        <f>M21+20</f>
        <v/>
      </c>
      <c r="N22" s="1">
        <f>O21</f>
        <v/>
      </c>
      <c r="Q22" t="inlineStr">
        <is>
          <t>60mL/3s/30s</t>
        </is>
      </c>
      <c r="U22" s="1">
        <f>IF(O22="", "", (N22-O22)*1000/(M22-M21))</f>
        <v/>
      </c>
      <c r="V22" s="1">
        <f>IF(U22="","",U22/R$2/3)</f>
        <v/>
      </c>
      <c r="W22" s="1">
        <f>IF(U22="","", 100*_xlfn.STDEV.P(U21:U22)/AVERAGE(U21:U22))</f>
        <v/>
      </c>
      <c r="X22" s="8">
        <f t="array" ref="X22">IF(U22="","", IFERROR(((IF(U$5&lt;&gt;"", U$5*M$5, 0) + SUMPRODUCT(--(U$6:U22&lt;&gt;""), U$6:U22, (M$6:M22-M$5:M21)))/1000), ""))</f>
        <v/>
      </c>
    </row>
    <row r="23">
      <c r="A23" s="1">
        <f>A22+20</f>
        <v/>
      </c>
      <c r="B23" s="1">
        <f>C22</f>
        <v/>
      </c>
      <c r="E23" t="inlineStr">
        <is>
          <t>60mL/3s/30s</t>
        </is>
      </c>
      <c r="I23" s="1">
        <f>IF(C23="", "", (B23-C23)*1000/(A23-A22))</f>
        <v/>
      </c>
      <c r="J23" s="1">
        <f>IF(I23="","",I23/F$2/3)</f>
        <v/>
      </c>
      <c r="K23" s="1">
        <f>IF(I23="","", 100*_xlfn.STDEV.P(I22:I23)/AVERAGE(I22:I23))</f>
        <v/>
      </c>
      <c r="L23" s="8">
        <f t="array" ref="L23">IF(I23="","", IFERROR(((IF(I$5&lt;&gt;"", I$5*A$5, 0) + SUMPRODUCT(--(I$6:I23&lt;&gt;""), I$6:I23, (A$6:A23-A$5:A22)))/1000), ""))</f>
        <v/>
      </c>
      <c r="M23" s="1">
        <f>M22+20</f>
        <v/>
      </c>
      <c r="N23" s="1">
        <f>O22</f>
        <v/>
      </c>
      <c r="Q23" t="inlineStr">
        <is>
          <t>60mL/3s/30s</t>
        </is>
      </c>
      <c r="U23" s="1">
        <f>IF(O23="", "", (N23-O23)*1000/(M23-M22))</f>
        <v/>
      </c>
      <c r="V23" s="1">
        <f>IF(U23="","",U23/R$2/3)</f>
        <v/>
      </c>
      <c r="W23" s="1">
        <f>IF(U23="","", 100*_xlfn.STDEV.P(U22:U23)/AVERAGE(U22:U23))</f>
        <v/>
      </c>
      <c r="X23" s="8">
        <f t="array" ref="X23">IF(U23="","", IFERROR(((IF(U$5&lt;&gt;"", U$5*M$5, 0) + SUMPRODUCT(--(U$6:U23&lt;&gt;""), U$6:U23, (M$6:M23-M$5:M22)))/1000), ""))</f>
        <v/>
      </c>
    </row>
    <row r="24">
      <c r="A24" s="1">
        <f>A23+20</f>
        <v/>
      </c>
      <c r="B24" s="1">
        <f>C23</f>
        <v/>
      </c>
      <c r="E24" t="inlineStr">
        <is>
          <t>60mL/3s/30s</t>
        </is>
      </c>
      <c r="I24" s="1">
        <f>IF(C24="", "", (B24-C24)*1000/(A24-A23))</f>
        <v/>
      </c>
      <c r="J24" s="1">
        <f>IF(I24="","",I24/F$2/3)</f>
        <v/>
      </c>
      <c r="K24" s="1">
        <f>IF(I24="","", 100*_xlfn.STDEV.P(I23:I24)/AVERAGE(I23:I24))</f>
        <v/>
      </c>
      <c r="L24" s="8">
        <f t="array" ref="L24">IF(I24="","", IFERROR(((IF(I$5&lt;&gt;"", I$5*A$5, 0) + SUMPRODUCT(--(I$6:I24&lt;&gt;""), I$6:I24, (A$6:A24-A$5:A23)))/1000), ""))</f>
        <v/>
      </c>
      <c r="M24" s="1">
        <f>M23+20</f>
        <v/>
      </c>
      <c r="N24" s="1">
        <f>O23</f>
        <v/>
      </c>
      <c r="Q24" t="inlineStr">
        <is>
          <t>60mL/3s/30s</t>
        </is>
      </c>
      <c r="U24" s="1">
        <f>IF(O24="", "", (N24-O24)*1000/(M24-M23))</f>
        <v/>
      </c>
      <c r="V24" s="1">
        <f>IF(U24="","",U24/R$2/3)</f>
        <v/>
      </c>
      <c r="W24" s="1">
        <f>IF(U24="","", 100*_xlfn.STDEV.P(U23:U24)/AVERAGE(U23:U24))</f>
        <v/>
      </c>
      <c r="X24" s="8">
        <f t="array" ref="X24">IF(U24="","", IFERROR(((IF(U$5&lt;&gt;"", U$5*M$5, 0) + SUMPRODUCT(--(U$6:U24&lt;&gt;""), U$6:U24, (M$6:M24-M$5:M23)))/1000), ""))</f>
        <v/>
      </c>
    </row>
    <row r="25">
      <c r="A25" s="1">
        <f>A24+20</f>
        <v/>
      </c>
      <c r="B25" s="1">
        <f>C24</f>
        <v/>
      </c>
      <c r="E25" t="inlineStr">
        <is>
          <t>60mL/3s/30s</t>
        </is>
      </c>
      <c r="I25" s="1">
        <f>IF(C25="", "", (B25-C25)*1000/(A25-A24))</f>
        <v/>
      </c>
      <c r="J25" s="1">
        <f>IF(I25="","",I25/F$2/3)</f>
        <v/>
      </c>
      <c r="K25" s="1">
        <f>IF(I25="","", 100*_xlfn.STDEV.P(I24:I25)/AVERAGE(I24:I25))</f>
        <v/>
      </c>
      <c r="L25" s="8">
        <f t="array" ref="L25">IF(I25="","", IFERROR(((IF(I$5&lt;&gt;"", I$5*A$5, 0) + SUMPRODUCT(--(I$6:I25&lt;&gt;""), I$6:I25, (A$6:A25-A$5:A24)))/1000), ""))</f>
        <v/>
      </c>
      <c r="M25" s="1">
        <f>M24+20</f>
        <v/>
      </c>
      <c r="N25" s="1">
        <f>O24</f>
        <v/>
      </c>
      <c r="Q25" t="inlineStr">
        <is>
          <t>60mL/3s/30s</t>
        </is>
      </c>
      <c r="U25" s="1">
        <f>IF(O25="", "", (N25-O25)*1000/(M25-M24))</f>
        <v/>
      </c>
      <c r="V25" s="1">
        <f>IF(U25="","",U25/R$2/3)</f>
        <v/>
      </c>
      <c r="W25" s="1">
        <f>IF(U25="","", 100*_xlfn.STDEV.P(U24:U25)/AVERAGE(U24:U25))</f>
        <v/>
      </c>
      <c r="X25" s="8">
        <f t="array" ref="X25">IF(U25="","", IFERROR(((IF(U$5&lt;&gt;"", U$5*M$5, 0) + SUMPRODUCT(--(U$6:U25&lt;&gt;""), U$6:U25, (M$6:M25-M$5:M24)))/1000), ""))</f>
        <v/>
      </c>
    </row>
    <row r="26">
      <c r="A26" s="1">
        <f>A25+20</f>
        <v/>
      </c>
      <c r="B26" s="1">
        <f>C25</f>
        <v/>
      </c>
      <c r="E26" t="inlineStr">
        <is>
          <t>60mL/3s/30s</t>
        </is>
      </c>
      <c r="I26" s="1">
        <f>IF(C26="", "", (B26-C26)*1000/(A26-A25))</f>
        <v/>
      </c>
      <c r="J26" s="1">
        <f>IF(I26="","",I26/F$2/3)</f>
        <v/>
      </c>
      <c r="K26" s="1">
        <f>IF(I26="","", 100*_xlfn.STDEV.P(I25:I26)/AVERAGE(I25:I26))</f>
        <v/>
      </c>
      <c r="L26" s="8">
        <f t="array" ref="L26">IF(I26="","", IFERROR(((IF(I$5&lt;&gt;"", I$5*A$5, 0) + SUMPRODUCT(--(I$6:I26&lt;&gt;""), I$6:I26, (A$6:A26-A$5:A25)))/1000), ""))</f>
        <v/>
      </c>
      <c r="M26" s="1">
        <f>M25+20</f>
        <v/>
      </c>
      <c r="N26" s="1">
        <f>O25</f>
        <v/>
      </c>
      <c r="Q26" t="inlineStr">
        <is>
          <t>60mL/3s/30s</t>
        </is>
      </c>
      <c r="U26" s="1">
        <f>IF(O26="", "", (N26-O26)*1000/(M26-M25))</f>
        <v/>
      </c>
      <c r="V26" s="1">
        <f>IF(U26="","",U26/R$2/3)</f>
        <v/>
      </c>
      <c r="W26" s="1">
        <f>IF(U26="","", 100*_xlfn.STDEV.P(U25:U26)/AVERAGE(U25:U26))</f>
        <v/>
      </c>
      <c r="X26" s="8">
        <f t="array" ref="X26">IF(U26="","", IFERROR(((IF(U$5&lt;&gt;"", U$5*M$5, 0) + SUMPRODUCT(--(U$6:U26&lt;&gt;""), U$6:U26, (M$6:M26-M$5:M25)))/1000), ""))</f>
        <v/>
      </c>
    </row>
    <row r="27">
      <c r="A27" s="1">
        <f>A26+20</f>
        <v/>
      </c>
      <c r="B27" s="1">
        <f>C26</f>
        <v/>
      </c>
      <c r="E27" t="inlineStr">
        <is>
          <t>60mL/3s/30s</t>
        </is>
      </c>
      <c r="I27" s="1">
        <f>IF(C27="", "", (B27-C27)*1000/(A27-A26))</f>
        <v/>
      </c>
      <c r="J27" s="1">
        <f>IF(I27="","",I27/F$2/3)</f>
        <v/>
      </c>
      <c r="K27" s="1">
        <f>IF(I27="","", 100*_xlfn.STDEV.P(I26:I27)/AVERAGE(I26:I27))</f>
        <v/>
      </c>
      <c r="L27" s="8">
        <f t="array" ref="L27">IF(I27="","", IFERROR(((IF(I$5&lt;&gt;"", I$5*A$5, 0) + SUMPRODUCT(--(I$6:I27&lt;&gt;""), I$6:I27, (A$6:A27-A$5:A26)))/1000), ""))</f>
        <v/>
      </c>
      <c r="M27" s="1">
        <f>M26+20</f>
        <v/>
      </c>
      <c r="N27" s="1">
        <f>O26</f>
        <v/>
      </c>
      <c r="Q27" t="inlineStr">
        <is>
          <t>60mL/3s/30s</t>
        </is>
      </c>
      <c r="U27" s="1">
        <f>IF(O27="", "", (N27-O27)*1000/(M27-M26))</f>
        <v/>
      </c>
      <c r="V27" s="1">
        <f>IF(U27="","",U27/R$2/3)</f>
        <v/>
      </c>
      <c r="W27" s="1">
        <f>IF(U27="","", 100*_xlfn.STDEV.P(U26:U27)/AVERAGE(U26:U27))</f>
        <v/>
      </c>
      <c r="X27" s="8">
        <f t="array" ref="X27">IF(U27="","", IFERROR(((IF(U$5&lt;&gt;"", U$5*M$5, 0) + SUMPRODUCT(--(U$6:U27&lt;&gt;""), U$6:U27, (M$6:M27-M$5:M26)))/1000), ""))</f>
        <v/>
      </c>
    </row>
    <row r="28">
      <c r="A28" s="1">
        <f>A27+20</f>
        <v/>
      </c>
      <c r="B28" s="1">
        <f>C27</f>
        <v/>
      </c>
      <c r="E28" t="inlineStr">
        <is>
          <t>60mL/3s/30s</t>
        </is>
      </c>
      <c r="I28" s="1">
        <f>IF(C28="", "", (B28-C28)*1000/(A28-A27))</f>
        <v/>
      </c>
      <c r="J28" s="1">
        <f>IF(I28="","",I28/F$2/3)</f>
        <v/>
      </c>
      <c r="K28" s="1">
        <f>IF(I28="","", 100*_xlfn.STDEV.P(I27:I28)/AVERAGE(I27:I28))</f>
        <v/>
      </c>
      <c r="L28" s="8">
        <f t="array" ref="L28">IF(I28="","", IFERROR(((IF(I$5&lt;&gt;"", I$5*A$5, 0) + SUMPRODUCT(--(I$6:I28&lt;&gt;""), I$6:I28, (A$6:A28-A$5:A27)))/1000), ""))</f>
        <v/>
      </c>
      <c r="M28" s="1">
        <f>M27+20</f>
        <v/>
      </c>
      <c r="N28" s="1">
        <f>O27</f>
        <v/>
      </c>
      <c r="Q28" t="inlineStr">
        <is>
          <t>60mL/3s/30s</t>
        </is>
      </c>
      <c r="U28" s="1">
        <f>IF(O28="", "", (N28-O28)*1000/(M28-M27))</f>
        <v/>
      </c>
      <c r="V28" s="1">
        <f>IF(U28="","",U28/R$2/3)</f>
        <v/>
      </c>
      <c r="W28" s="1">
        <f>IF(U28="","", 100*_xlfn.STDEV.P(U27:U28)/AVERAGE(U27:U28))</f>
        <v/>
      </c>
      <c r="X28" s="8">
        <f t="array" ref="X28">IF(U28="","", IFERROR(((IF(U$5&lt;&gt;"", U$5*M$5, 0) + SUMPRODUCT(--(U$6:U28&lt;&gt;""), U$6:U28, (M$6:M28-M$5:M27)))/1000), ""))</f>
        <v/>
      </c>
    </row>
    <row r="29">
      <c r="A29" s="1">
        <f>A28+20</f>
        <v/>
      </c>
      <c r="B29" s="1">
        <f>C28</f>
        <v/>
      </c>
      <c r="E29" t="inlineStr">
        <is>
          <t>60mL/3s/30s</t>
        </is>
      </c>
      <c r="F29" s="9" t="n"/>
      <c r="G29" s="9" t="n"/>
      <c r="H29" s="9" t="n"/>
      <c r="I29" s="1">
        <f>IF(C29="", "", (B29-C29)*1000/(A29-A28))</f>
        <v/>
      </c>
      <c r="J29" s="1">
        <f>IF(I29="","",I29/F$2/3)</f>
        <v/>
      </c>
      <c r="K29" s="1">
        <f>IF(I29="","", 100*_xlfn.STDEV.P(I28:I29)/AVERAGE(I28:I29))</f>
        <v/>
      </c>
      <c r="L29" s="8">
        <f t="array" ref="L29">IF(I29="","", IFERROR(((IF(I$5&lt;&gt;"", I$5*A$5, 0) + SUMPRODUCT(--(I$6:I29&lt;&gt;""), I$6:I29, (A$6:A29-A$5:A28)))/1000), ""))</f>
        <v/>
      </c>
      <c r="M29" s="1">
        <f>M28+20</f>
        <v/>
      </c>
      <c r="N29" s="1">
        <f>O28</f>
        <v/>
      </c>
      <c r="Q29" t="inlineStr">
        <is>
          <t>60mL/3s/30s</t>
        </is>
      </c>
      <c r="R29" s="9" t="n"/>
      <c r="S29" s="9" t="n"/>
      <c r="T29" s="9" t="n"/>
      <c r="U29" s="1">
        <f>IF(O29="", "", (N29-O29)*1000/(M29-M28))</f>
        <v/>
      </c>
      <c r="V29" s="1">
        <f>IF(U29="","",U29/R$2/3)</f>
        <v/>
      </c>
      <c r="W29" s="1">
        <f>IF(U29="","", 100*_xlfn.STDEV.P(U28:U29)/AVERAGE(U28:U29))</f>
        <v/>
      </c>
      <c r="X29" s="8">
        <f t="array" ref="X29">IF(U29="","", IFERROR(((IF(U$5&lt;&gt;"", U$5*M$5, 0) + SUMPRODUCT(--(U$6:U29&lt;&gt;""), U$6:U29, (M$6:M29-M$5:M28)))/1000), ""))</f>
        <v/>
      </c>
    </row>
    <row r="30">
      <c r="A30" s="1">
        <f>A29+20</f>
        <v/>
      </c>
      <c r="B30" s="1">
        <f>C29</f>
        <v/>
      </c>
      <c r="E30" t="inlineStr">
        <is>
          <t>60mL/3s/30s</t>
        </is>
      </c>
      <c r="I30" s="1">
        <f>IF(C30="", "", (B30-C30)*1000/(A30-A29))</f>
        <v/>
      </c>
      <c r="J30" s="1">
        <f>IF(I30="","",I30/F$2/3)</f>
        <v/>
      </c>
      <c r="K30" s="1">
        <f>IF(I30="","", 100*_xlfn.STDEV.P(I29:I30)/AVERAGE(I29:I30))</f>
        <v/>
      </c>
      <c r="L30" s="8">
        <f t="array" ref="L30">IF(I30="","", IFERROR(((IF(I$5&lt;&gt;"", I$5*A$5, 0) + SUMPRODUCT(--(I$6:I30&lt;&gt;""), I$6:I30, (A$6:A30-A$5:A29)))/1000), ""))</f>
        <v/>
      </c>
      <c r="M30" s="1">
        <f>M29+20</f>
        <v/>
      </c>
      <c r="N30" s="1">
        <f>O29</f>
        <v/>
      </c>
      <c r="Q30" t="inlineStr">
        <is>
          <t>60mL/3s/30s</t>
        </is>
      </c>
      <c r="U30" s="1">
        <f>IF(O30="", "", (N30-O30)*1000/(M30-M29))</f>
        <v/>
      </c>
      <c r="V30" s="1">
        <f>IF(U30="","",U30/R$2/3)</f>
        <v/>
      </c>
      <c r="W30" s="1">
        <f>IF(U30="","", 100*_xlfn.STDEV.P(U29:U30)/AVERAGE(U29:U30))</f>
        <v/>
      </c>
      <c r="X30" s="8">
        <f t="array" ref="X30">IF(U30="","", IFERROR(((IF(U$5&lt;&gt;"", U$5*M$5, 0) + SUMPRODUCT(--(U$6:U30&lt;&gt;""), U$6:U30, (M$6:M30-M$5:M29)))/1000), ""))</f>
        <v/>
      </c>
    </row>
    <row r="31">
      <c r="A31" s="1">
        <f>A30+20</f>
        <v/>
      </c>
      <c r="B31" s="1">
        <f>C30</f>
        <v/>
      </c>
      <c r="E31" t="inlineStr">
        <is>
          <t>60mL/3s/30s</t>
        </is>
      </c>
      <c r="I31" s="1">
        <f>IF(C31="", "", (B31-C31)*1000/(A31-A30))</f>
        <v/>
      </c>
      <c r="J31" s="1">
        <f>IF(I31="","",I31/F$2/3)</f>
        <v/>
      </c>
      <c r="K31" s="1">
        <f>IF(I31="","", 100*_xlfn.STDEV.P(I30:I31)/AVERAGE(I30:I31))</f>
        <v/>
      </c>
      <c r="L31" s="8">
        <f t="array" ref="L31">IF(I31="","", IFERROR(((IF(I$5&lt;&gt;"", I$5*A$5, 0) + SUMPRODUCT(--(I$6:I31&lt;&gt;""), I$6:I31, (A$6:A31-A$5:A30)))/1000), ""))</f>
        <v/>
      </c>
      <c r="M31" s="1">
        <f>M30+20</f>
        <v/>
      </c>
      <c r="N31" s="1">
        <f>O30</f>
        <v/>
      </c>
      <c r="Q31" t="inlineStr">
        <is>
          <t>60mL/3s/30s</t>
        </is>
      </c>
      <c r="U31" s="1">
        <f>IF(O31="", "", (N31-O31)*1000/(M31-M30))</f>
        <v/>
      </c>
      <c r="V31" s="1">
        <f>IF(U31="","",U31/R$2/3)</f>
        <v/>
      </c>
      <c r="W31" s="1">
        <f>IF(U31="","", 100*_xlfn.STDEV.P(U30:U31)/AVERAGE(U30:U31))</f>
        <v/>
      </c>
      <c r="X31" s="8">
        <f t="array" ref="X31">IF(U31="","", IFERROR(((IF(U$5&lt;&gt;"", U$5*M$5, 0) + SUMPRODUCT(--(U$6:U31&lt;&gt;""), U$6:U31, (M$6:M31-M$5:M30)))/1000), ""))</f>
        <v/>
      </c>
    </row>
    <row r="32">
      <c r="A32" s="1">
        <f>A31+20</f>
        <v/>
      </c>
      <c r="B32" s="1">
        <f>C31</f>
        <v/>
      </c>
      <c r="E32" t="inlineStr">
        <is>
          <t>60mL/3s/30s</t>
        </is>
      </c>
      <c r="I32" s="1">
        <f>IF(C32="", "", (B32-C32)*1000/(A32-A31))</f>
        <v/>
      </c>
      <c r="J32" s="1">
        <f>IF(I32="","",I32/F$2/3)</f>
        <v/>
      </c>
      <c r="K32" s="1">
        <f>IF(I32="","", 100*_xlfn.STDEV.P(I31:I32)/AVERAGE(I31:I32))</f>
        <v/>
      </c>
      <c r="L32" s="8">
        <f t="array" ref="L32">IF(I32="","", IFERROR(((IF(I$5&lt;&gt;"", I$5*A$5, 0) + SUMPRODUCT(--(I$6:I32&lt;&gt;""), I$6:I32, (A$6:A32-A$5:A31)))/1000), ""))</f>
        <v/>
      </c>
      <c r="M32" s="1">
        <f>M31+20</f>
        <v/>
      </c>
      <c r="N32" s="1">
        <f>O31</f>
        <v/>
      </c>
      <c r="Q32" t="inlineStr">
        <is>
          <t>60mL/3s/30s</t>
        </is>
      </c>
      <c r="U32" s="1">
        <f>IF(O32="", "", (N32-O32)*1000/(M32-M31))</f>
        <v/>
      </c>
      <c r="V32" s="1">
        <f>IF(U32="","",U32/R$2/3)</f>
        <v/>
      </c>
      <c r="W32" s="1">
        <f>IF(U32="","", 100*_xlfn.STDEV.P(U31:U32)/AVERAGE(U31:U32))</f>
        <v/>
      </c>
      <c r="X32" s="8">
        <f t="array" ref="X32">IF(U32="","", IFERROR(((IF(U$5&lt;&gt;"", U$5*M$5, 0) + SUMPRODUCT(--(U$6:U32&lt;&gt;""), U$6:U32, (M$6:M32-M$5:M31)))/1000), ""))</f>
        <v/>
      </c>
    </row>
    <row r="33">
      <c r="A33" s="1">
        <f>A32+20</f>
        <v/>
      </c>
      <c r="B33" s="1">
        <f>C32</f>
        <v/>
      </c>
      <c r="E33" t="inlineStr">
        <is>
          <t>60mL/3s/30s</t>
        </is>
      </c>
      <c r="I33" s="1">
        <f>IF(C33="", "", (B33-C33)*1000/(A33-A32))</f>
        <v/>
      </c>
      <c r="J33" s="1">
        <f>IF(I33="","",I33/F$2/3)</f>
        <v/>
      </c>
      <c r="K33" s="1">
        <f>IF(I33="","", 100*_xlfn.STDEV.P(I32:I33)/AVERAGE(I32:I33))</f>
        <v/>
      </c>
      <c r="L33" s="8">
        <f t="array" ref="L33">IF(I33="","", IFERROR(((IF(I$5&lt;&gt;"", I$5*A$5, 0) + SUMPRODUCT(--(I$6:I33&lt;&gt;""), I$6:I33, (A$6:A33-A$5:A32)))/1000), ""))</f>
        <v/>
      </c>
      <c r="M33" s="1">
        <f>M32+20</f>
        <v/>
      </c>
      <c r="N33" s="1">
        <f>O32</f>
        <v/>
      </c>
      <c r="Q33" t="inlineStr">
        <is>
          <t>60mL/3s/30s</t>
        </is>
      </c>
      <c r="U33" s="1">
        <f>IF(O33="", "", (N33-O33)*1000/(M33-M32))</f>
        <v/>
      </c>
      <c r="V33" s="1">
        <f>IF(U33="","",U33/R$2/3)</f>
        <v/>
      </c>
      <c r="W33" s="1">
        <f>IF(U33="","", 100*_xlfn.STDEV.P(U32:U33)/AVERAGE(U32:U33))</f>
        <v/>
      </c>
      <c r="X33" s="8">
        <f t="array" ref="X33">IF(U33="","", IFERROR(((IF(U$5&lt;&gt;"", U$5*M$5, 0) + SUMPRODUCT(--(U$6:U33&lt;&gt;""), U$6:U33, (M$6:M33-M$5:M32)))/1000), ""))</f>
        <v/>
      </c>
    </row>
    <row r="34">
      <c r="A34" s="1">
        <f>A33+20</f>
        <v/>
      </c>
      <c r="B34" s="1">
        <f>C33</f>
        <v/>
      </c>
      <c r="E34" t="inlineStr">
        <is>
          <t>60mL/3s/30s</t>
        </is>
      </c>
      <c r="I34" s="1">
        <f>IF(C34="", "", (B34-C34)*1000/(A34-A33))</f>
        <v/>
      </c>
      <c r="J34" s="1">
        <f>IF(I34="","",I34/F$2/3)</f>
        <v/>
      </c>
      <c r="K34" s="1">
        <f>IF(I34="","", 100*_xlfn.STDEV.P(I33:I34)/AVERAGE(I33:I34))</f>
        <v/>
      </c>
      <c r="L34" s="8">
        <f t="array" ref="L34">IF(I34="","", IFERROR(((IF(I$5&lt;&gt;"", I$5*A$5, 0) + SUMPRODUCT(--(I$6:I34&lt;&gt;""), I$6:I34, (A$6:A34-A$5:A33)))/1000), ""))</f>
        <v/>
      </c>
      <c r="M34" s="1">
        <f>M33+20</f>
        <v/>
      </c>
      <c r="N34" s="1">
        <f>O33</f>
        <v/>
      </c>
      <c r="Q34" t="inlineStr">
        <is>
          <t>60mL/3s/30s</t>
        </is>
      </c>
      <c r="U34" s="1">
        <f>IF(O34="", "", (N34-O34)*1000/(M34-M33))</f>
        <v/>
      </c>
      <c r="V34" s="1">
        <f>IF(U34="","",U34/R$2/3)</f>
        <v/>
      </c>
      <c r="W34" s="1">
        <f>IF(U34="","", 100*_xlfn.STDEV.P(U33:U34)/AVERAGE(U33:U34))</f>
        <v/>
      </c>
      <c r="X34" s="8">
        <f t="array" ref="X34">IF(U34="","", IFERROR(((IF(U$5&lt;&gt;"", U$5*M$5, 0) + SUMPRODUCT(--(U$6:U34&lt;&gt;""), U$6:U34, (M$6:M34-M$5:M33)))/1000), ""))</f>
        <v/>
      </c>
    </row>
    <row r="35">
      <c r="A35" s="1">
        <f>A34+20</f>
        <v/>
      </c>
      <c r="B35" s="1">
        <f>C34</f>
        <v/>
      </c>
      <c r="E35" t="inlineStr">
        <is>
          <t>60mL/3s/30s</t>
        </is>
      </c>
      <c r="I35" s="1">
        <f>IF(C35="", "", (B35-C35)*1000/(A35-A34))</f>
        <v/>
      </c>
      <c r="J35" s="1">
        <f>IF(I35="","",I35/F$2/3)</f>
        <v/>
      </c>
      <c r="K35" s="1">
        <f>IF(I35="","", 100*_xlfn.STDEV.P(I34:I35)/AVERAGE(I34:I35))</f>
        <v/>
      </c>
      <c r="L35" s="8">
        <f t="array" ref="L35">IF(I35="","", IFERROR(((IF(I$5&lt;&gt;"", I$5*A$5, 0) + SUMPRODUCT(--(I$6:I35&lt;&gt;""), I$6:I35, (A$6:A35-A$5:A34)))/1000), ""))</f>
        <v/>
      </c>
      <c r="M35" s="1">
        <f>M34+20</f>
        <v/>
      </c>
      <c r="N35" s="1">
        <f>O34</f>
        <v/>
      </c>
      <c r="Q35" t="inlineStr">
        <is>
          <t>60mL/3s/30s</t>
        </is>
      </c>
      <c r="U35" s="1">
        <f>IF(O35="", "", (N35-O35)*1000/(M35-M34))</f>
        <v/>
      </c>
      <c r="V35" s="1">
        <f>IF(U35="","",U35/R$2/3)</f>
        <v/>
      </c>
      <c r="W35" s="1">
        <f>IF(U35="","", 100*_xlfn.STDEV.P(U34:U35)/AVERAGE(U34:U35))</f>
        <v/>
      </c>
      <c r="X35" s="8">
        <f t="array" ref="X35">IF(U35="","", IFERROR(((IF(U$5&lt;&gt;"", U$5*M$5, 0) + SUMPRODUCT(--(U$6:U35&lt;&gt;""), U$6:U35, (M$6:M35-M$5:M34)))/1000), ""))</f>
        <v/>
      </c>
    </row>
    <row r="36">
      <c r="A36" s="1">
        <f>A35+20</f>
        <v/>
      </c>
      <c r="B36" s="1">
        <f>C35</f>
        <v/>
      </c>
      <c r="E36" t="inlineStr">
        <is>
          <t>60mL/3s/30s</t>
        </is>
      </c>
      <c r="I36" s="1">
        <f>IF(C36="", "", (B36-C36)*1000/(A36-A35))</f>
        <v/>
      </c>
      <c r="J36" s="1">
        <f>IF(I36="","",I36/F$2/3)</f>
        <v/>
      </c>
      <c r="K36" s="1">
        <f>IF(I36="","", 100*_xlfn.STDEV.P(I35:I36)/AVERAGE(I35:I36))</f>
        <v/>
      </c>
      <c r="L36" s="8">
        <f t="array" ref="L36">IF(I36="","", IFERROR(((IF(I$5&lt;&gt;"", I$5*A$5, 0) + SUMPRODUCT(--(I$6:I36&lt;&gt;""), I$6:I36, (A$6:A36-A$5:A35)))/1000), ""))</f>
        <v/>
      </c>
      <c r="M36" s="1">
        <f>M35+20</f>
        <v/>
      </c>
      <c r="N36" s="1">
        <f>O35</f>
        <v/>
      </c>
      <c r="Q36" t="inlineStr">
        <is>
          <t>60mL/3s/30s</t>
        </is>
      </c>
      <c r="U36" s="1">
        <f>IF(O36="", "", (N36-O36)*1000/(M36-M35))</f>
        <v/>
      </c>
      <c r="V36" s="1">
        <f>IF(U36="","",U36/R$2/3)</f>
        <v/>
      </c>
      <c r="W36" s="1">
        <f>IF(U36="","", 100*_xlfn.STDEV.P(U35:U36)/AVERAGE(U35:U36))</f>
        <v/>
      </c>
      <c r="X36" s="8">
        <f t="array" ref="X36">IF(U36="","", IFERROR(((IF(U$5&lt;&gt;"", U$5*M$5, 0) + SUMPRODUCT(--(U$6:U36&lt;&gt;""), U$6:U36, (M$6:M36-M$5:M35)))/1000), ""))</f>
        <v/>
      </c>
    </row>
    <row r="37">
      <c r="A37" s="1">
        <f>A36+20</f>
        <v/>
      </c>
      <c r="B37" s="1">
        <f>C36</f>
        <v/>
      </c>
      <c r="E37" t="inlineStr">
        <is>
          <t>60mL/3s/30s</t>
        </is>
      </c>
      <c r="I37" s="1">
        <f>IF(C37="", "", (B37-C37)*1000/(A37-A36))</f>
        <v/>
      </c>
      <c r="J37" s="1">
        <f>IF(I37="","",I37/F$2/3)</f>
        <v/>
      </c>
      <c r="K37" s="1">
        <f>IF(I37="","", 100*_xlfn.STDEV.P(I36:I37)/AVERAGE(I36:I37))</f>
        <v/>
      </c>
      <c r="L37" s="8">
        <f t="array" ref="L37">IF(I37="","", IFERROR(((IF(I$5&lt;&gt;"", I$5*A$5, 0) + SUMPRODUCT(--(I$6:I37&lt;&gt;""), I$6:I37, (A$6:A37-A$5:A36)))/1000), ""))</f>
        <v/>
      </c>
      <c r="M37" s="1">
        <f>M36+20</f>
        <v/>
      </c>
      <c r="N37" s="1">
        <f>O36</f>
        <v/>
      </c>
      <c r="Q37" t="inlineStr">
        <is>
          <t>60mL/3s/30s</t>
        </is>
      </c>
      <c r="U37" s="1">
        <f>IF(O37="", "", (N37-O37)*1000/(M37-M36))</f>
        <v/>
      </c>
      <c r="V37" s="1">
        <f>IF(U37="","",U37/R$2/3)</f>
        <v/>
      </c>
      <c r="W37" s="1">
        <f>IF(U37="","", 100*_xlfn.STDEV.P(U36:U37)/AVERAGE(U36:U37))</f>
        <v/>
      </c>
      <c r="X37" s="8">
        <f t="array" ref="X37">IF(U37="","", IFERROR(((IF(U$5&lt;&gt;"", U$5*M$5, 0) + SUMPRODUCT(--(U$6:U37&lt;&gt;""), U$6:U37, (M$6:M37-M$5:M36)))/1000), ""))</f>
        <v/>
      </c>
    </row>
    <row r="38">
      <c r="A38" s="1">
        <f>A37+20</f>
        <v/>
      </c>
      <c r="B38" s="1">
        <f>C37</f>
        <v/>
      </c>
      <c r="E38" t="inlineStr">
        <is>
          <t>60mL/3s/30s</t>
        </is>
      </c>
      <c r="I38" s="1">
        <f>IF(C38="", "", (B38-C38)*1000/(A38-A37))</f>
        <v/>
      </c>
      <c r="J38" s="1">
        <f>IF(I38="","",I38/F$2/3)</f>
        <v/>
      </c>
      <c r="K38" s="1">
        <f>IF(I38="","", 100*_xlfn.STDEV.P(I37:I38)/AVERAGE(I37:I38))</f>
        <v/>
      </c>
      <c r="L38" s="8">
        <f t="array" ref="L38">IF(I38="","", IFERROR(((IF(I$5&lt;&gt;"", I$5*A$5, 0) + SUMPRODUCT(--(I$6:I38&lt;&gt;""), I$6:I38, (A$6:A38-A$5:A37)))/1000), ""))</f>
        <v/>
      </c>
      <c r="M38" s="1">
        <f>M37+20</f>
        <v/>
      </c>
      <c r="N38" s="1">
        <f>O37</f>
        <v/>
      </c>
      <c r="Q38" t="inlineStr">
        <is>
          <t>60mL/3s/30s</t>
        </is>
      </c>
      <c r="U38" s="1">
        <f>IF(O38="", "", (N38-O38)*1000/(M38-M37))</f>
        <v/>
      </c>
      <c r="V38" s="1">
        <f>IF(U38="","",U38/R$2/3)</f>
        <v/>
      </c>
      <c r="W38" s="1">
        <f>IF(U38="","", 100*_xlfn.STDEV.P(U37:U38)/AVERAGE(U37:U38))</f>
        <v/>
      </c>
      <c r="X38" s="8">
        <f t="array" ref="X38">IF(U38="","", IFERROR(((IF(U$5&lt;&gt;"", U$5*M$5, 0) + SUMPRODUCT(--(U$6:U38&lt;&gt;""), U$6:U38, (M$6:M38-M$5:M37)))/1000), ""))</f>
        <v/>
      </c>
    </row>
    <row r="39">
      <c r="A39" s="1">
        <f>A38+20</f>
        <v/>
      </c>
      <c r="B39" s="1">
        <f>C38</f>
        <v/>
      </c>
      <c r="E39" t="inlineStr">
        <is>
          <t>60mL/3s/30s</t>
        </is>
      </c>
      <c r="I39" s="1">
        <f>IF(C39="", "", (B39-C39)*1000/(A39-A38))</f>
        <v/>
      </c>
      <c r="J39" s="1">
        <f>IF(I39="","",I39/F$2/3)</f>
        <v/>
      </c>
      <c r="K39" s="1">
        <f>IF(I39="","", 100*_xlfn.STDEV.P(I38:I39)/AVERAGE(I38:I39))</f>
        <v/>
      </c>
      <c r="L39" s="8">
        <f t="array" ref="L39">IF(I39="","", IFERROR(((IF(I$5&lt;&gt;"", I$5*A$5, 0) + SUMPRODUCT(--(I$6:I39&lt;&gt;""), I$6:I39, (A$6:A39-A$5:A38)))/1000), ""))</f>
        <v/>
      </c>
      <c r="M39" s="1">
        <f>M38+20</f>
        <v/>
      </c>
      <c r="N39" s="1">
        <f>O38</f>
        <v/>
      </c>
      <c r="Q39" t="inlineStr">
        <is>
          <t>60mL/3s/30s</t>
        </is>
      </c>
      <c r="U39" s="1">
        <f>IF(O39="", "", (N39-O39)*1000/(M39-M38))</f>
        <v/>
      </c>
      <c r="V39" s="1">
        <f>IF(U39="","",U39/R$2/3)</f>
        <v/>
      </c>
      <c r="W39" s="1">
        <f>IF(U39="","", 100*_xlfn.STDEV.P(U38:U39)/AVERAGE(U38:U39))</f>
        <v/>
      </c>
      <c r="X39" s="8">
        <f t="array" ref="X39">IF(U39="","", IFERROR(((IF(U$5&lt;&gt;"", U$5*M$5, 0) + SUMPRODUCT(--(U$6:U39&lt;&gt;""), U$6:U39, (M$6:M39-M$5:M38)))/1000), ""))</f>
        <v/>
      </c>
    </row>
    <row r="40">
      <c r="A40" s="1">
        <f>A39+20</f>
        <v/>
      </c>
      <c r="B40" s="1">
        <f>C39</f>
        <v/>
      </c>
      <c r="E40" t="inlineStr">
        <is>
          <t>60mL/3s/30s</t>
        </is>
      </c>
      <c r="I40" s="1">
        <f>IF(C40="", "", (B40-C40)*1000/(A40-A39))</f>
        <v/>
      </c>
      <c r="J40" s="1">
        <f>IF(I40="","",I40/F$2/3)</f>
        <v/>
      </c>
      <c r="K40" s="1">
        <f>IF(I40="","", 100*_xlfn.STDEV.P(I39:I40)/AVERAGE(I39:I40))</f>
        <v/>
      </c>
      <c r="L40" s="8">
        <f t="array" ref="L40">IF(I40="","", IFERROR(((IF(I$5&lt;&gt;"", I$5*A$5, 0) + SUMPRODUCT(--(I$6:I40&lt;&gt;""), I$6:I40, (A$6:A40-A$5:A39)))/1000), ""))</f>
        <v/>
      </c>
      <c r="M40" s="1">
        <f>M39+20</f>
        <v/>
      </c>
      <c r="N40" s="1">
        <f>O39</f>
        <v/>
      </c>
      <c r="Q40" t="inlineStr">
        <is>
          <t>60mL/3s/30s</t>
        </is>
      </c>
      <c r="U40" s="1">
        <f>IF(O40="", "", (N40-O40)*1000/(M40-M39))</f>
        <v/>
      </c>
      <c r="V40" s="1">
        <f>IF(U40="","",U40/R$2/3)</f>
        <v/>
      </c>
      <c r="W40" s="1">
        <f>IF(U40="","", 100*_xlfn.STDEV.P(U39:U40)/AVERAGE(U39:U40))</f>
        <v/>
      </c>
      <c r="X40" s="8">
        <f t="array" ref="X40">IF(U40="","", IFERROR(((IF(U$5&lt;&gt;"", U$5*M$5, 0) + SUMPRODUCT(--(U$6:U40&lt;&gt;""), U$6:U40, (M$6:M40-M$5:M39)))/1000), ""))</f>
        <v/>
      </c>
    </row>
    <row r="41">
      <c r="A41" s="1">
        <f>A40+20</f>
        <v/>
      </c>
      <c r="B41" s="1">
        <f>C40</f>
        <v/>
      </c>
      <c r="E41" t="inlineStr">
        <is>
          <t>60mL/3s/30s</t>
        </is>
      </c>
      <c r="I41" s="1">
        <f>IF(C41="", "", (B41-C41)*1000/(A41-A40))</f>
        <v/>
      </c>
      <c r="J41" s="1">
        <f>IF(I41="","",I41/F$2/3)</f>
        <v/>
      </c>
      <c r="K41" s="1">
        <f>IF(I41="","", 100*_xlfn.STDEV.P(I40:I41)/AVERAGE(I40:I41))</f>
        <v/>
      </c>
      <c r="L41" s="8">
        <f t="array" ref="L41">IF(I41="","", IFERROR(((IF(I$5&lt;&gt;"", I$5*A$5, 0) + SUMPRODUCT(--(I$6:I41&lt;&gt;""), I$6:I41, (A$6:A41-A$5:A40)))/1000), ""))</f>
        <v/>
      </c>
      <c r="M41" s="1">
        <f>M40+20</f>
        <v/>
      </c>
      <c r="N41" s="1">
        <f>O40</f>
        <v/>
      </c>
      <c r="Q41" t="inlineStr">
        <is>
          <t>60mL/3s/30s</t>
        </is>
      </c>
      <c r="U41" s="1">
        <f>IF(O41="", "", (N41-O41)*1000/(M41-M40))</f>
        <v/>
      </c>
      <c r="V41" s="1">
        <f>IF(U41="","",U41/R$2/3)</f>
        <v/>
      </c>
      <c r="W41" s="1">
        <f>IF(U41="","", 100*_xlfn.STDEV.P(U40:U41)/AVERAGE(U40:U41))</f>
        <v/>
      </c>
      <c r="X41" s="8">
        <f t="array" ref="X41">IF(U41="","", IFERROR(((IF(U$5&lt;&gt;"", U$5*M$5, 0) + SUMPRODUCT(--(U$6:U41&lt;&gt;""), U$6:U41, (M$6:M41-M$5:M40)))/1000), ""))</f>
        <v/>
      </c>
    </row>
    <row r="42">
      <c r="A42" s="1">
        <f>A41+20</f>
        <v/>
      </c>
      <c r="B42" s="1">
        <f>C41</f>
        <v/>
      </c>
      <c r="E42" t="inlineStr">
        <is>
          <t>60mL/3s/30s</t>
        </is>
      </c>
      <c r="I42" s="1">
        <f>IF(C42="", "", (B42-C42)*1000/(A42-A41))</f>
        <v/>
      </c>
      <c r="J42" s="1">
        <f>IF(I42="","",I42/F$2/3)</f>
        <v/>
      </c>
      <c r="K42" s="1">
        <f>IF(I42="","", 100*_xlfn.STDEV.P(I41:I42)/AVERAGE(I41:I42))</f>
        <v/>
      </c>
      <c r="L42" s="8">
        <f t="array" ref="L42">IF(I42="","", IFERROR(((IF(I$5&lt;&gt;"", I$5*A$5, 0) + SUMPRODUCT(--(I$6:I42&lt;&gt;""), I$6:I42, (A$6:A42-A$5:A41)))/1000), ""))</f>
        <v/>
      </c>
      <c r="M42" s="1">
        <f>M41+20</f>
        <v/>
      </c>
      <c r="N42" s="1">
        <f>O41</f>
        <v/>
      </c>
      <c r="Q42" t="inlineStr">
        <is>
          <t>60mL/3s/30s</t>
        </is>
      </c>
      <c r="U42" s="1">
        <f>IF(O42="", "", (N42-O42)*1000/(M42-M41))</f>
        <v/>
      </c>
      <c r="V42" s="1">
        <f>IF(U42="","",U42/R$2/3)</f>
        <v/>
      </c>
      <c r="W42" s="1">
        <f>IF(U42="","", 100*_xlfn.STDEV.P(U41:U42)/AVERAGE(U41:U42))</f>
        <v/>
      </c>
      <c r="X42" s="8">
        <f t="array" ref="X42">IF(U42="","", IFERROR(((IF(U$5&lt;&gt;"", U$5*M$5, 0) + SUMPRODUCT(--(U$6:U42&lt;&gt;""), U$6:U42, (M$6:M42-M$5:M41)))/1000), ""))</f>
        <v/>
      </c>
    </row>
    <row r="43">
      <c r="A43" s="1">
        <f>A42+20</f>
        <v/>
      </c>
      <c r="B43" s="1">
        <f>C42</f>
        <v/>
      </c>
      <c r="E43" t="inlineStr">
        <is>
          <t>60mL/3s/30s</t>
        </is>
      </c>
      <c r="I43" s="1">
        <f>IF(C43="", "", (B43-C43)*1000/(A43-A42))</f>
        <v/>
      </c>
      <c r="J43" s="1">
        <f>IF(I43="","",I43/F$2/3)</f>
        <v/>
      </c>
      <c r="K43" s="1">
        <f>IF(I43="","", 100*_xlfn.STDEV.P(I42:I43)/AVERAGE(I42:I43))</f>
        <v/>
      </c>
      <c r="L43" s="8">
        <f t="array" ref="L43">IF(I43="","", IFERROR(((IF(I$5&lt;&gt;"", I$5*A$5, 0) + SUMPRODUCT(--(I$6:I43&lt;&gt;""), I$6:I43, (A$6:A43-A$5:A42)))/1000), ""))</f>
        <v/>
      </c>
      <c r="M43" s="1">
        <f>M42+20</f>
        <v/>
      </c>
      <c r="N43" s="1">
        <f>O42</f>
        <v/>
      </c>
      <c r="Q43" t="inlineStr">
        <is>
          <t>60mL/3s/30s</t>
        </is>
      </c>
      <c r="U43" s="1">
        <f>IF(O43="", "", (N43-O43)*1000/(M43-M42))</f>
        <v/>
      </c>
      <c r="V43" s="1">
        <f>IF(U43="","",U43/R$2/3)</f>
        <v/>
      </c>
      <c r="W43" s="1">
        <f>IF(U43="","", 100*_xlfn.STDEV.P(U42:U43)/AVERAGE(U42:U43))</f>
        <v/>
      </c>
      <c r="X43" s="8">
        <f t="array" ref="X43">IF(U43="","", IFERROR(((IF(U$5&lt;&gt;"", U$5*M$5, 0) + SUMPRODUCT(--(U$6:U43&lt;&gt;""), U$6:U43, (M$6:M43-M$5:M42)))/1000), ""))</f>
        <v/>
      </c>
    </row>
    <row r="44">
      <c r="A44" s="1">
        <f>A43+20</f>
        <v/>
      </c>
      <c r="B44" s="1">
        <f>C43</f>
        <v/>
      </c>
      <c r="E44" t="inlineStr">
        <is>
          <t>60mL/3s/30s</t>
        </is>
      </c>
      <c r="I44" s="1">
        <f>IF(C44="", "", (B44-C44)*1000/(A44-A43))</f>
        <v/>
      </c>
      <c r="J44" s="1">
        <f>IF(I44="","",I44/F$2/3)</f>
        <v/>
      </c>
      <c r="K44" s="1">
        <f>IF(I44="","", 100*_xlfn.STDEV.P(I43:I44)/AVERAGE(I43:I44))</f>
        <v/>
      </c>
      <c r="L44" s="8">
        <f t="array" ref="L44">IF(I44="","", IFERROR(((IF(I$5&lt;&gt;"", I$5*A$5, 0) + SUMPRODUCT(--(I$6:I44&lt;&gt;""), I$6:I44, (A$6:A44-A$5:A43)))/1000), ""))</f>
        <v/>
      </c>
      <c r="M44" s="1">
        <f>M43+20</f>
        <v/>
      </c>
      <c r="N44" s="1">
        <f>O43</f>
        <v/>
      </c>
      <c r="Q44" t="inlineStr">
        <is>
          <t>60mL/3s/30s</t>
        </is>
      </c>
      <c r="U44" s="1">
        <f>IF(O44="", "", (N44-O44)*1000/(M44-M43))</f>
        <v/>
      </c>
      <c r="V44" s="1">
        <f>IF(U44="","",U44/R$2/3)</f>
        <v/>
      </c>
      <c r="W44" s="1">
        <f>IF(U44="","", 100*_xlfn.STDEV.P(U43:U44)/AVERAGE(U43:U44))</f>
        <v/>
      </c>
      <c r="X44" s="8">
        <f t="array" ref="X44">IF(U44="","", IFERROR(((IF(U$5&lt;&gt;"", U$5*M$5, 0) + SUMPRODUCT(--(U$6:U44&lt;&gt;""), U$6:U44, (M$6:M44-M$5:M43)))/1000), ""))</f>
        <v/>
      </c>
    </row>
    <row r="45">
      <c r="A45" s="1">
        <f>A44+20</f>
        <v/>
      </c>
      <c r="B45" s="1">
        <f>C44</f>
        <v/>
      </c>
      <c r="E45" t="inlineStr">
        <is>
          <t>60mL/3s/30s</t>
        </is>
      </c>
      <c r="I45" s="1">
        <f>IF(C45="", "", (B45-C45)*1000/(A45-A44))</f>
        <v/>
      </c>
      <c r="J45" s="1">
        <f>IF(I45="","",I45/F$2/3)</f>
        <v/>
      </c>
      <c r="K45" s="1">
        <f>IF(I45="","", 100*_xlfn.STDEV.P(I44:I45)/AVERAGE(I44:I45))</f>
        <v/>
      </c>
      <c r="L45" s="8">
        <f t="array" ref="L45">IF(I45="","", IFERROR(((IF(I$5&lt;&gt;"", I$5*A$5, 0) + SUMPRODUCT(--(I$6:I45&lt;&gt;""), I$6:I45, (A$6:A45-A$5:A44)))/1000), ""))</f>
        <v/>
      </c>
      <c r="M45" s="1">
        <f>M44+20</f>
        <v/>
      </c>
      <c r="N45" s="1">
        <f>O44</f>
        <v/>
      </c>
      <c r="Q45" t="inlineStr">
        <is>
          <t>60mL/3s/30s</t>
        </is>
      </c>
      <c r="U45" s="1">
        <f>IF(O45="", "", (N45-O45)*1000/(M45-M44))</f>
        <v/>
      </c>
      <c r="V45" s="1">
        <f>IF(U45="","",U45/R$2/3)</f>
        <v/>
      </c>
      <c r="W45" s="1">
        <f>IF(U45="","", 100*_xlfn.STDEV.P(U44:U45)/AVERAGE(U44:U45))</f>
        <v/>
      </c>
      <c r="X45" s="8">
        <f t="array" ref="X45">IF(U45="","", IFERROR(((IF(U$5&lt;&gt;"", U$5*M$5, 0) + SUMPRODUCT(--(U$6:U45&lt;&gt;""), U$6:U45, (M$6:M45-M$5:M44)))/1000), ""))</f>
        <v/>
      </c>
    </row>
    <row r="46">
      <c r="A46" s="1">
        <f>A45+20</f>
        <v/>
      </c>
      <c r="B46" s="1">
        <f>C45</f>
        <v/>
      </c>
      <c r="E46" t="inlineStr">
        <is>
          <t>60mL/3s/30s</t>
        </is>
      </c>
      <c r="I46" s="1">
        <f>IF(C46="", "", (B46-C46)*1000/(A46-A45))</f>
        <v/>
      </c>
      <c r="J46" s="1">
        <f>IF(I46="","",I46/F$2/3)</f>
        <v/>
      </c>
      <c r="K46" s="1">
        <f>IF(I46="","", 100*_xlfn.STDEV.P(I45:I46)/AVERAGE(I45:I46))</f>
        <v/>
      </c>
      <c r="L46" s="8">
        <f t="array" ref="L46">IF(I46="","", IFERROR(((IF(I$5&lt;&gt;"", I$5*A$5, 0) + SUMPRODUCT(--(I$6:I46&lt;&gt;""), I$6:I46, (A$6:A46-A$5:A45)))/1000), ""))</f>
        <v/>
      </c>
      <c r="M46" s="1">
        <f>M45+20</f>
        <v/>
      </c>
      <c r="N46" s="1">
        <f>O45</f>
        <v/>
      </c>
      <c r="Q46" t="inlineStr">
        <is>
          <t>60mL/3s/30s</t>
        </is>
      </c>
      <c r="U46" s="1">
        <f>IF(O46="", "", (N46-O46)*1000/(M46-M45))</f>
        <v/>
      </c>
      <c r="V46" s="1">
        <f>IF(U46="","",U46/R$2/3)</f>
        <v/>
      </c>
      <c r="W46" s="1">
        <f>IF(U46="","", 100*_xlfn.STDEV.P(U45:U46)/AVERAGE(U45:U46))</f>
        <v/>
      </c>
      <c r="X46" s="8">
        <f t="array" ref="X46">IF(U46="","", IFERROR(((IF(U$5&lt;&gt;"", U$5*M$5, 0) + SUMPRODUCT(--(U$6:U46&lt;&gt;""), U$6:U46, (M$6:M46-M$5:M45)))/1000), ""))</f>
        <v/>
      </c>
    </row>
    <row r="47">
      <c r="A47" s="1">
        <f>A46+20</f>
        <v/>
      </c>
      <c r="B47" s="1">
        <f>C46</f>
        <v/>
      </c>
      <c r="E47" t="inlineStr">
        <is>
          <t>60mL/3s/30s</t>
        </is>
      </c>
      <c r="I47" s="1">
        <f>IF(C47="", "", (B47-C47)*1000/(A47-A46))</f>
        <v/>
      </c>
      <c r="J47" s="1">
        <f>IF(I47="","",I47/F$2/3)</f>
        <v/>
      </c>
      <c r="K47" s="1">
        <f>IF(I47="","", 100*_xlfn.STDEV.P(I46:I47)/AVERAGE(I46:I47))</f>
        <v/>
      </c>
      <c r="L47" s="8">
        <f t="array" ref="L47">IF(I47="","", IFERROR(((IF(I$5&lt;&gt;"", I$5*A$5, 0) + SUMPRODUCT(--(I$6:I47&lt;&gt;""), I$6:I47, (A$6:A47-A$5:A46)))/1000), ""))</f>
        <v/>
      </c>
      <c r="M47" s="1">
        <f>M46+20</f>
        <v/>
      </c>
      <c r="N47" s="1">
        <f>O46</f>
        <v/>
      </c>
      <c r="Q47" t="inlineStr">
        <is>
          <t>60mL/3s/30s</t>
        </is>
      </c>
      <c r="U47" s="1">
        <f>IF(O47="", "", (N47-O47)*1000/(M47-M46))</f>
        <v/>
      </c>
      <c r="V47" s="1">
        <f>IF(U47="","",U47/R$2/3)</f>
        <v/>
      </c>
      <c r="W47" s="1">
        <f>IF(U47="","", 100*_xlfn.STDEV.P(U46:U47)/AVERAGE(U46:U47))</f>
        <v/>
      </c>
      <c r="X47" s="8">
        <f t="array" ref="X47">IF(U47="","", IFERROR(((IF(U$5&lt;&gt;"", U$5*M$5, 0) + SUMPRODUCT(--(U$6:U47&lt;&gt;""), U$6:U47, (M$6:M47-M$5:M46)))/1000), ""))</f>
        <v/>
      </c>
    </row>
    <row r="48">
      <c r="A48" s="1">
        <f>A47+20</f>
        <v/>
      </c>
      <c r="B48" s="1">
        <f>C47</f>
        <v/>
      </c>
      <c r="E48" t="inlineStr">
        <is>
          <t>60mL/3s/30s</t>
        </is>
      </c>
      <c r="I48" s="1">
        <f>IF(C48="", "", (B48-C48)*1000/(A48-A47))</f>
        <v/>
      </c>
      <c r="J48" s="1">
        <f>IF(I48="","",I48/F$2/3)</f>
        <v/>
      </c>
      <c r="K48" s="1">
        <f>IF(I48="","", 100*_xlfn.STDEV.P(I47:I48)/AVERAGE(I47:I48))</f>
        <v/>
      </c>
      <c r="L48" s="8">
        <f t="array" ref="L48">IF(I48="","", IFERROR(((IF(I$5&lt;&gt;"", I$5*A$5, 0) + SUMPRODUCT(--(I$6:I48&lt;&gt;""), I$6:I48, (A$6:A48-A$5:A47)))/1000), ""))</f>
        <v/>
      </c>
      <c r="M48" s="1">
        <f>M47+20</f>
        <v/>
      </c>
      <c r="N48" s="1">
        <f>O47</f>
        <v/>
      </c>
      <c r="Q48" t="inlineStr">
        <is>
          <t>60mL/3s/30s</t>
        </is>
      </c>
      <c r="U48" s="1">
        <f>IF(O48="", "", (N48-O48)*1000/(M48-M47))</f>
        <v/>
      </c>
      <c r="V48" s="1">
        <f>IF(U48="","",U48/R$2/3)</f>
        <v/>
      </c>
      <c r="W48" s="1">
        <f>IF(U48="","", 100*_xlfn.STDEV.P(U47:U48)/AVERAGE(U47:U48))</f>
        <v/>
      </c>
      <c r="X48" s="8">
        <f t="array" ref="X48">IF(U48="","", IFERROR(((IF(U$5&lt;&gt;"", U$5*M$5, 0) + SUMPRODUCT(--(U$6:U48&lt;&gt;""), U$6:U48, (M$6:M48-M$5:M47)))/1000), ""))</f>
        <v/>
      </c>
    </row>
    <row r="49">
      <c r="A49" s="1">
        <f>A48+20</f>
        <v/>
      </c>
      <c r="B49" s="1">
        <f>C48</f>
        <v/>
      </c>
      <c r="E49" t="inlineStr">
        <is>
          <t>60mL/3s/30s</t>
        </is>
      </c>
      <c r="I49" s="1">
        <f>IF(C49="", "", (B49-C49)*1000/(A49-A48))</f>
        <v/>
      </c>
      <c r="J49" s="1">
        <f>IF(I49="","",I49/F$2/3)</f>
        <v/>
      </c>
      <c r="K49" s="1">
        <f>IF(I49="","", 100*_xlfn.STDEV.P(I48:I49)/AVERAGE(I48:I49))</f>
        <v/>
      </c>
      <c r="L49" s="8">
        <f t="array" ref="L49">IF(I49="","", IFERROR(((IF(I$5&lt;&gt;"", I$5*A$5, 0) + SUMPRODUCT(--(I$6:I49&lt;&gt;""), I$6:I49, (A$6:A49-A$5:A48)))/1000), ""))</f>
        <v/>
      </c>
      <c r="M49" s="1">
        <f>M48+20</f>
        <v/>
      </c>
      <c r="N49" s="1">
        <f>O48</f>
        <v/>
      </c>
      <c r="Q49" t="inlineStr">
        <is>
          <t>60mL/3s/30s</t>
        </is>
      </c>
      <c r="U49" s="1">
        <f>IF(O49="", "", (N49-O49)*1000/(M49-M48))</f>
        <v/>
      </c>
      <c r="V49" s="1">
        <f>IF(U49="","",U49/R$2/3)</f>
        <v/>
      </c>
      <c r="W49" s="1">
        <f>IF(U49="","", 100*_xlfn.STDEV.P(U48:U49)/AVERAGE(U48:U49))</f>
        <v/>
      </c>
      <c r="X49" s="8">
        <f t="array" ref="X49">IF(U49="","", IFERROR(((IF(U$5&lt;&gt;"", U$5*M$5, 0) + SUMPRODUCT(--(U$6:U49&lt;&gt;""), U$6:U49, (M$6:M49-M$5:M48)))/1000), ""))</f>
        <v/>
      </c>
    </row>
    <row r="50">
      <c r="A50" s="1">
        <f>A49+20</f>
        <v/>
      </c>
      <c r="B50" s="1">
        <f>C49</f>
        <v/>
      </c>
      <c r="E50" t="inlineStr">
        <is>
          <t>60mL/3s/30s</t>
        </is>
      </c>
      <c r="I50" s="1">
        <f>IF(C50="", "", (B50-C50)*1000/(A50-A49))</f>
        <v/>
      </c>
      <c r="J50" s="1">
        <f>IF(I50="","",I50/F$2/3)</f>
        <v/>
      </c>
      <c r="K50" s="1">
        <f>IF(I50="","", 100*_xlfn.STDEV.P(I49:I50)/AVERAGE(I49:I50))</f>
        <v/>
      </c>
      <c r="L50" s="8">
        <f t="array" ref="L50">IF(I50="","", IFERROR(((IF(I$5&lt;&gt;"", I$5*A$5, 0) + SUMPRODUCT(--(I$6:I50&lt;&gt;""), I$6:I50, (A$6:A50-A$5:A49)))/1000), ""))</f>
        <v/>
      </c>
      <c r="M50" s="1">
        <f>M49+20</f>
        <v/>
      </c>
      <c r="N50" s="1">
        <f>O49</f>
        <v/>
      </c>
      <c r="Q50" t="inlineStr">
        <is>
          <t>60mL/3s/30s</t>
        </is>
      </c>
      <c r="U50" s="1">
        <f>IF(O50="", "", (N50-O50)*1000/(M50-M49))</f>
        <v/>
      </c>
      <c r="V50" s="1">
        <f>IF(U50="","",U50/R$2/3)</f>
        <v/>
      </c>
      <c r="W50" s="1">
        <f>IF(U50="","", 100*_xlfn.STDEV.P(U49:U50)/AVERAGE(U49:U50))</f>
        <v/>
      </c>
      <c r="X50" s="8">
        <f t="array" ref="X50">IF(U50="","", IFERROR(((IF(U$5&lt;&gt;"", U$5*M$5, 0) + SUMPRODUCT(--(U$6:U50&lt;&gt;""), U$6:U50, (M$6:M50-M$5:M49)))/1000), ""))</f>
        <v/>
      </c>
    </row>
    <row r="51">
      <c r="A51" s="1">
        <f>A50+20</f>
        <v/>
      </c>
      <c r="B51" s="1">
        <f>C50</f>
        <v/>
      </c>
      <c r="E51" t="inlineStr">
        <is>
          <t>60mL/3s/30s</t>
        </is>
      </c>
      <c r="I51" s="1">
        <f>IF(C51="", "", (B51-C51)*1000/(A51-A50))</f>
        <v/>
      </c>
      <c r="J51" s="1">
        <f>IF(I51="","",I51/F$2/3)</f>
        <v/>
      </c>
      <c r="K51" s="1">
        <f>IF(I51="","", 100*_xlfn.STDEV.P(I50:I51)/AVERAGE(I50:I51))</f>
        <v/>
      </c>
      <c r="L51" s="8">
        <f t="array" ref="L51">IF(I51="","", IFERROR(((IF(I$5&lt;&gt;"", I$5*A$5, 0) + SUMPRODUCT(--(I$6:I51&lt;&gt;""), I$6:I51, (A$6:A51-A$5:A50)))/1000), ""))</f>
        <v/>
      </c>
      <c r="M51" s="1">
        <f>M50+20</f>
        <v/>
      </c>
      <c r="N51" s="1">
        <f>O50</f>
        <v/>
      </c>
      <c r="Q51" t="inlineStr">
        <is>
          <t>60mL/3s/30s</t>
        </is>
      </c>
      <c r="U51" s="1">
        <f>IF(O51="", "", (N51-O51)*1000/(M51-M50))</f>
        <v/>
      </c>
      <c r="V51" s="1">
        <f>IF(U51="","",U51/R$2/3)</f>
        <v/>
      </c>
      <c r="W51" s="1">
        <f>IF(U51="","", 100*_xlfn.STDEV.P(U50:U51)/AVERAGE(U50:U51))</f>
        <v/>
      </c>
      <c r="X51" s="8">
        <f t="array" ref="X51">IF(U51="","", IFERROR(((IF(U$5&lt;&gt;"", U$5*M$5, 0) + SUMPRODUCT(--(U$6:U51&lt;&gt;""), U$6:U51, (M$6:M51-M$5:M50)))/1000), ""))</f>
        <v/>
      </c>
    </row>
    <row r="52">
      <c r="A52" s="1">
        <f>A51+20</f>
        <v/>
      </c>
      <c r="B52" s="1">
        <f>C51</f>
        <v/>
      </c>
      <c r="E52" t="inlineStr">
        <is>
          <t>60mL/3s/30s</t>
        </is>
      </c>
      <c r="I52" s="1">
        <f>IF(C52="", "", (B52-C52)*1000/(A52-A51))</f>
        <v/>
      </c>
      <c r="J52" s="1">
        <f>IF(I52="","",I52/F$2/3)</f>
        <v/>
      </c>
      <c r="K52" s="1">
        <f>IF(I52="","", 100*_xlfn.STDEV.P(I51:I52)/AVERAGE(I51:I52))</f>
        <v/>
      </c>
      <c r="L52" s="8">
        <f t="array" ref="L52">IF(I52="","", IFERROR(((IF(I$5&lt;&gt;"", I$5*A$5, 0) + SUMPRODUCT(--(I$6:I52&lt;&gt;""), I$6:I52, (A$6:A52-A$5:A51)))/1000), ""))</f>
        <v/>
      </c>
      <c r="M52" s="1">
        <f>M51+20</f>
        <v/>
      </c>
      <c r="N52" s="1">
        <f>O51</f>
        <v/>
      </c>
      <c r="Q52" t="inlineStr">
        <is>
          <t>60mL/3s/30s</t>
        </is>
      </c>
      <c r="U52" s="1">
        <f>IF(O52="", "", (N52-O52)*1000/(M52-M51))</f>
        <v/>
      </c>
      <c r="V52" s="1">
        <f>IF(U52="","",U52/R$2/3)</f>
        <v/>
      </c>
      <c r="W52" s="1">
        <f>IF(U52="","", 100*_xlfn.STDEV.P(U51:U52)/AVERAGE(U51:U52))</f>
        <v/>
      </c>
      <c r="X52" s="8">
        <f t="array" ref="X52">IF(U52="","", IFERROR(((IF(U$5&lt;&gt;"", U$5*M$5, 0) + SUMPRODUCT(--(U$6:U52&lt;&gt;""), U$6:U52, (M$6:M52-M$5:M51)))/1000), ""))</f>
        <v/>
      </c>
    </row>
    <row r="53">
      <c r="A53" s="1">
        <f>A52+20</f>
        <v/>
      </c>
      <c r="B53" s="1">
        <f>C52</f>
        <v/>
      </c>
      <c r="E53" t="inlineStr">
        <is>
          <t>60mL/3s/30s</t>
        </is>
      </c>
      <c r="I53" s="1">
        <f>IF(C53="", "", (B53-C53)*1000/(A53-A52))</f>
        <v/>
      </c>
      <c r="J53" s="1">
        <f>IF(I53="","",I53/F$2/3)</f>
        <v/>
      </c>
      <c r="K53" s="1">
        <f>IF(I53="","", 100*_xlfn.STDEV.P(I52:I53)/AVERAGE(I52:I53))</f>
        <v/>
      </c>
      <c r="L53" s="8">
        <f t="array" ref="L53">IF(I53="","", IFERROR(((IF(I$5&lt;&gt;"", I$5*A$5, 0) + SUMPRODUCT(--(I$6:I53&lt;&gt;""), I$6:I53, (A$6:A53-A$5:A52)))/1000), ""))</f>
        <v/>
      </c>
      <c r="M53" s="1">
        <f>M52+20</f>
        <v/>
      </c>
      <c r="N53" s="1">
        <f>O52</f>
        <v/>
      </c>
      <c r="Q53" t="inlineStr">
        <is>
          <t>60mL/3s/30s</t>
        </is>
      </c>
      <c r="U53" s="1">
        <f>IF(O53="", "", (N53-O53)*1000/(M53-M52))</f>
        <v/>
      </c>
      <c r="V53" s="1">
        <f>IF(U53="","",U53/R$2/3)</f>
        <v/>
      </c>
      <c r="W53" s="1">
        <f>IF(U53="","", 100*_xlfn.STDEV.P(U52:U53)/AVERAGE(U52:U53))</f>
        <v/>
      </c>
      <c r="X53" s="8">
        <f t="array" ref="X53">IF(U53="","", IFERROR(((IF(U$5&lt;&gt;"", U$5*M$5, 0) + SUMPRODUCT(--(U$6:U53&lt;&gt;""), U$6:U53, (M$6:M53-M$5:M52)))/1000), ""))</f>
        <v/>
      </c>
    </row>
    <row r="54">
      <c r="A54" s="1">
        <f>A53+20</f>
        <v/>
      </c>
      <c r="B54" s="1">
        <f>C53</f>
        <v/>
      </c>
      <c r="E54" t="inlineStr">
        <is>
          <t>60mL/3s/30s</t>
        </is>
      </c>
      <c r="I54" s="1">
        <f>IF(C54="", "", (B54-C54)*1000/(A54-A53))</f>
        <v/>
      </c>
      <c r="J54" s="1">
        <f>IF(I54="","",I54/F$2/3)</f>
        <v/>
      </c>
      <c r="K54" s="1">
        <f>IF(I54="","", 100*_xlfn.STDEV.P(I53:I54)/AVERAGE(I53:I54))</f>
        <v/>
      </c>
      <c r="L54" s="8">
        <f t="array" ref="L54">IF(I54="","", IFERROR(((IF(I$5&lt;&gt;"", I$5*A$5, 0) + SUMPRODUCT(--(I$6:I54&lt;&gt;""), I$6:I54, (A$6:A54-A$5:A53)))/1000), ""))</f>
        <v/>
      </c>
      <c r="M54" s="1">
        <f>M53+20</f>
        <v/>
      </c>
      <c r="N54" s="1">
        <f>O53</f>
        <v/>
      </c>
      <c r="Q54" t="inlineStr">
        <is>
          <t>60mL/3s/30s</t>
        </is>
      </c>
      <c r="U54" s="1">
        <f>IF(O54="", "", (N54-O54)*1000/(M54-M53))</f>
        <v/>
      </c>
      <c r="V54" s="1">
        <f>IF(U54="","",U54/R$2/3)</f>
        <v/>
      </c>
      <c r="W54" s="1">
        <f>IF(U54="","", 100*_xlfn.STDEV.P(U53:U54)/AVERAGE(U53:U54))</f>
        <v/>
      </c>
      <c r="X54" s="8">
        <f t="array" ref="X54">IF(U54="","", IFERROR(((IF(U$5&lt;&gt;"", U$5*M$5, 0) + SUMPRODUCT(--(U$6:U54&lt;&gt;""), U$6:U54, (M$6:M54-M$5:M53)))/1000), ""))</f>
        <v/>
      </c>
    </row>
    <row r="55">
      <c r="A55" s="1">
        <f>A54+20</f>
        <v/>
      </c>
      <c r="B55" s="1">
        <f>C54</f>
        <v/>
      </c>
      <c r="E55" t="inlineStr">
        <is>
          <t>60mL/3s/30s</t>
        </is>
      </c>
      <c r="I55" s="1">
        <f>IF(C55="", "", (B55-C55)*1000/(A55-A54))</f>
        <v/>
      </c>
      <c r="J55" s="1">
        <f>IF(I55="","",I55/F$2/3)</f>
        <v/>
      </c>
      <c r="K55" s="1">
        <f>IF(I55="","", 100*_xlfn.STDEV.P(I54:I55)/AVERAGE(I54:I55))</f>
        <v/>
      </c>
      <c r="L55" s="8">
        <f t="array" ref="L55">IF(I55="","", IFERROR(((IF(I$5&lt;&gt;"", I$5*A$5, 0) + SUMPRODUCT(--(I$6:I55&lt;&gt;""), I$6:I55, (A$6:A55-A$5:A54)))/1000), ""))</f>
        <v/>
      </c>
      <c r="M55" s="1">
        <f>M54+20</f>
        <v/>
      </c>
      <c r="N55" s="1">
        <f>O54</f>
        <v/>
      </c>
      <c r="Q55" t="inlineStr">
        <is>
          <t>60mL/3s/30s</t>
        </is>
      </c>
      <c r="U55" s="1">
        <f>IF(O55="", "", (N55-O55)*1000/(M55-M54))</f>
        <v/>
      </c>
      <c r="V55" s="1">
        <f>IF(U55="","",U55/R$2/3)</f>
        <v/>
      </c>
      <c r="W55" s="1">
        <f>IF(U55="","", 100*_xlfn.STDEV.P(U54:U55)/AVERAGE(U54:U55))</f>
        <v/>
      </c>
      <c r="X55" s="8">
        <f t="array" ref="X55">IF(U55="","", IFERROR(((IF(U$5&lt;&gt;"", U$5*M$5, 0) + SUMPRODUCT(--(U$6:U55&lt;&gt;""), U$6:U55, (M$6:M55-M$5:M54)))/1000), ""))</f>
        <v/>
      </c>
    </row>
    <row r="56">
      <c r="A56" s="1">
        <f>A55+20</f>
        <v/>
      </c>
      <c r="B56" s="1">
        <f>C55</f>
        <v/>
      </c>
      <c r="E56" t="inlineStr">
        <is>
          <t>60mL/3s/30s</t>
        </is>
      </c>
      <c r="I56" s="1">
        <f>IF(C56="", "", (B56-C56)*1000/(A56-A55))</f>
        <v/>
      </c>
      <c r="J56" s="1">
        <f>IF(I56="","",I56/F$2/3)</f>
        <v/>
      </c>
      <c r="K56" s="1">
        <f>IF(I56="","", 100*_xlfn.STDEV.P(I55:I56)/AVERAGE(I55:I56))</f>
        <v/>
      </c>
      <c r="L56" s="8">
        <f t="array" ref="L56">IF(I56="","", IFERROR(((IF(I$5&lt;&gt;"", I$5*A$5, 0) + SUMPRODUCT(--(I$6:I56&lt;&gt;""), I$6:I56, (A$6:A56-A$5:A55)))/1000), ""))</f>
        <v/>
      </c>
      <c r="M56" s="1">
        <f>M55+20</f>
        <v/>
      </c>
      <c r="N56" s="1">
        <f>O55</f>
        <v/>
      </c>
      <c r="Q56" t="inlineStr">
        <is>
          <t>60mL/3s/30s</t>
        </is>
      </c>
      <c r="U56" s="1">
        <f>IF(O56="", "", (N56-O56)*1000/(M56-M55))</f>
        <v/>
      </c>
      <c r="V56" s="1">
        <f>IF(U56="","",U56/R$2/3)</f>
        <v/>
      </c>
      <c r="W56" s="1">
        <f>IF(U56="","", 100*_xlfn.STDEV.P(U55:U56)/AVERAGE(U55:U56))</f>
        <v/>
      </c>
      <c r="X56" s="8">
        <f t="array" ref="X56">IF(U56="","", IFERROR(((IF(U$5&lt;&gt;"", U$5*M$5, 0) + SUMPRODUCT(--(U$6:U56&lt;&gt;""), U$6:U56, (M$6:M56-M$5:M55)))/1000), ""))</f>
        <v/>
      </c>
    </row>
    <row r="57">
      <c r="A57" s="1">
        <f>A56+20</f>
        <v/>
      </c>
      <c r="B57" s="1">
        <f>C56</f>
        <v/>
      </c>
      <c r="E57" t="inlineStr">
        <is>
          <t>60mL/3s/30s</t>
        </is>
      </c>
      <c r="I57" s="1">
        <f>IF(C57="", "", (B57-C57)*1000/(A57-A56))</f>
        <v/>
      </c>
      <c r="J57" s="1">
        <f>IF(I57="","",I57/F$2/3)</f>
        <v/>
      </c>
      <c r="K57" s="1">
        <f>IF(I57="","", 100*_xlfn.STDEV.P(I56:I57)/AVERAGE(I56:I57))</f>
        <v/>
      </c>
      <c r="L57" s="8">
        <f t="array" ref="L57">IF(I57="","", IFERROR(((IF(I$5&lt;&gt;"", I$5*A$5, 0) + SUMPRODUCT(--(I$6:I57&lt;&gt;""), I$6:I57, (A$6:A57-A$5:A56)))/1000), ""))</f>
        <v/>
      </c>
      <c r="M57" s="1">
        <f>M56+20</f>
        <v/>
      </c>
      <c r="N57" s="1">
        <f>O56</f>
        <v/>
      </c>
      <c r="Q57" t="inlineStr">
        <is>
          <t>60mL/3s/30s</t>
        </is>
      </c>
      <c r="U57" s="1">
        <f>IF(O57="", "", (N57-O57)*1000/(M57-M56))</f>
        <v/>
      </c>
      <c r="V57" s="1">
        <f>IF(U57="","",U57/R$2/3)</f>
        <v/>
      </c>
      <c r="W57" s="1">
        <f>IF(U57="","", 100*_xlfn.STDEV.P(U56:U57)/AVERAGE(U56:U57))</f>
        <v/>
      </c>
      <c r="X57" s="8">
        <f t="array" ref="X57">IF(U57="","", IFERROR(((IF(U$5&lt;&gt;"", U$5*M$5, 0) + SUMPRODUCT(--(U$6:U57&lt;&gt;""), U$6:U57, (M$6:M57-M$5:M56)))/1000), ""))</f>
        <v/>
      </c>
    </row>
    <row r="58">
      <c r="A58" s="1">
        <f>A57+20</f>
        <v/>
      </c>
      <c r="B58" s="1">
        <f>C57</f>
        <v/>
      </c>
      <c r="E58" t="inlineStr">
        <is>
          <t>60mL/3s/30s</t>
        </is>
      </c>
      <c r="I58" s="1">
        <f>IF(C58="", "", (B58-C58)*1000/(A58-A57))</f>
        <v/>
      </c>
      <c r="J58" s="1">
        <f>IF(I58="","",I58/F$2/3)</f>
        <v/>
      </c>
      <c r="K58" s="1">
        <f>IF(I58="","", 100*_xlfn.STDEV.P(I57:I58)/AVERAGE(I57:I58))</f>
        <v/>
      </c>
      <c r="L58" s="8">
        <f t="array" ref="L58">IF(I58="","", IFERROR(((IF(I$5&lt;&gt;"", I$5*A$5, 0) + SUMPRODUCT(--(I$6:I58&lt;&gt;""), I$6:I58, (A$6:A58-A$5:A57)))/1000), ""))</f>
        <v/>
      </c>
      <c r="M58" s="1">
        <f>M57+20</f>
        <v/>
      </c>
      <c r="N58" s="1">
        <f>O57</f>
        <v/>
      </c>
      <c r="Q58" t="inlineStr">
        <is>
          <t>60mL/3s/30s</t>
        </is>
      </c>
      <c r="U58" s="1">
        <f>IF(O58="", "", (N58-O58)*1000/(M58-M57))</f>
        <v/>
      </c>
      <c r="V58" s="1">
        <f>IF(U58="","",U58/R$2/3)</f>
        <v/>
      </c>
      <c r="W58" s="1">
        <f>IF(U58="","", 100*_xlfn.STDEV.P(U57:U58)/AVERAGE(U57:U58))</f>
        <v/>
      </c>
      <c r="X58" s="8">
        <f t="array" ref="X58">IF(U58="","", IFERROR(((IF(U$5&lt;&gt;"", U$5*M$5, 0) + SUMPRODUCT(--(U$6:U58&lt;&gt;""), U$6:U58, (M$6:M58-M$5:M57)))/1000), ""))</f>
        <v/>
      </c>
    </row>
    <row r="59">
      <c r="A59" s="1">
        <f>A58+20</f>
        <v/>
      </c>
      <c r="B59" s="1">
        <f>C58</f>
        <v/>
      </c>
      <c r="E59" t="inlineStr">
        <is>
          <t>60mL/3s/30s</t>
        </is>
      </c>
      <c r="I59" s="1">
        <f>IF(C59="", "", (B59-C59)*1000/(A59-A58))</f>
        <v/>
      </c>
      <c r="J59" s="1">
        <f>IF(I59="","",I59/F$2/3)</f>
        <v/>
      </c>
      <c r="K59" s="1">
        <f>IF(I59="","", 100*_xlfn.STDEV.P(I58:I59)/AVERAGE(I58:I59))</f>
        <v/>
      </c>
      <c r="L59" s="8">
        <f t="array" ref="L59">IF(I59="","", IFERROR(((IF(I$5&lt;&gt;"", I$5*A$5, 0) + SUMPRODUCT(--(I$6:I59&lt;&gt;""), I$6:I59, (A$6:A59-A$5:A58)))/1000), ""))</f>
        <v/>
      </c>
      <c r="M59" s="1">
        <f>M58+20</f>
        <v/>
      </c>
      <c r="N59" s="1">
        <f>O58</f>
        <v/>
      </c>
      <c r="Q59" t="inlineStr">
        <is>
          <t>60mL/3s/30s</t>
        </is>
      </c>
      <c r="U59" s="1">
        <f>IF(O59="", "", (N59-O59)*1000/(M59-M58))</f>
        <v/>
      </c>
      <c r="V59" s="1">
        <f>IF(U59="","",U59/R$2/3)</f>
        <v/>
      </c>
      <c r="W59" s="1">
        <f>IF(U59="","", 100*_xlfn.STDEV.P(U58:U59)/AVERAGE(U58:U59))</f>
        <v/>
      </c>
      <c r="X59" s="8">
        <f t="array" ref="X59">IF(U59="","", IFERROR(((IF(U$5&lt;&gt;"", U$5*M$5, 0) + SUMPRODUCT(--(U$6:U59&lt;&gt;""), U$6:U59, (M$6:M59-M$5:M58)))/1000), ""))</f>
        <v/>
      </c>
    </row>
    <row r="60">
      <c r="A60" s="1">
        <f>A59+20</f>
        <v/>
      </c>
      <c r="B60" s="1">
        <f>C59</f>
        <v/>
      </c>
      <c r="E60" t="inlineStr">
        <is>
          <t>60mL/3s/30s</t>
        </is>
      </c>
      <c r="I60" s="1">
        <f>IF(C60="", "", (B60-C60)*1000/(A60-A59))</f>
        <v/>
      </c>
      <c r="J60" s="1">
        <f>IF(I60="","",I60/F$2/3)</f>
        <v/>
      </c>
      <c r="K60" s="1">
        <f>IF(I60="","", 100*_xlfn.STDEV.P(I59:I60)/AVERAGE(I59:I60))</f>
        <v/>
      </c>
      <c r="L60" s="8">
        <f t="array" ref="L60">IF(I60="","", IFERROR(((IF(I$5&lt;&gt;"", I$5*A$5, 0) + SUMPRODUCT(--(I$6:I60&lt;&gt;""), I$6:I60, (A$6:A60-A$5:A59)))/1000), ""))</f>
        <v/>
      </c>
      <c r="M60" s="1">
        <f>M59+20</f>
        <v/>
      </c>
      <c r="N60" s="1">
        <f>O59</f>
        <v/>
      </c>
      <c r="Q60" t="inlineStr">
        <is>
          <t>60mL/3s/30s</t>
        </is>
      </c>
      <c r="U60" s="1">
        <f>IF(O60="", "", (N60-O60)*1000/(M60-M59))</f>
        <v/>
      </c>
      <c r="V60" s="1">
        <f>IF(U60="","",U60/R$2/3)</f>
        <v/>
      </c>
      <c r="W60" s="1">
        <f>IF(U60="","", 100*_xlfn.STDEV.P(U59:U60)/AVERAGE(U59:U60))</f>
        <v/>
      </c>
      <c r="X60" s="8">
        <f t="array" ref="X60">IF(U60="","", IFERROR(((IF(U$5&lt;&gt;"", U$5*M$5, 0) + SUMPRODUCT(--(U$6:U60&lt;&gt;""), U$6:U60, (M$6:M60-M$5:M59)))/1000), ""))</f>
        <v/>
      </c>
    </row>
    <row r="61">
      <c r="A61" s="1">
        <f>A60+20</f>
        <v/>
      </c>
      <c r="B61" s="1">
        <f>C60</f>
        <v/>
      </c>
      <c r="E61" t="inlineStr">
        <is>
          <t>60mL/3s/30s</t>
        </is>
      </c>
      <c r="I61" s="1">
        <f>IF(C61="", "", (B61-C61)*1000/(A61-A60))</f>
        <v/>
      </c>
      <c r="J61" s="1">
        <f>IF(I61="","",I61/F$2/3)</f>
        <v/>
      </c>
      <c r="K61" s="1">
        <f>IF(I61="","", 100*_xlfn.STDEV.P(I60:I61)/AVERAGE(I60:I61))</f>
        <v/>
      </c>
      <c r="L61" s="8">
        <f t="array" ref="L61">IF(I61="","", IFERROR(((IF(I$5&lt;&gt;"", I$5*A$5, 0) + SUMPRODUCT(--(I$6:I61&lt;&gt;""), I$6:I61, (A$6:A61-A$5:A60)))/1000), ""))</f>
        <v/>
      </c>
      <c r="M61" s="1">
        <f>M60+20</f>
        <v/>
      </c>
      <c r="N61" s="1">
        <f>O60</f>
        <v/>
      </c>
      <c r="Q61" t="inlineStr">
        <is>
          <t>60mL/3s/30s</t>
        </is>
      </c>
      <c r="U61" s="1">
        <f>IF(O61="", "", (N61-O61)*1000/(M61-M60))</f>
        <v/>
      </c>
      <c r="V61" s="1">
        <f>IF(U61="","",U61/R$2/3)</f>
        <v/>
      </c>
      <c r="W61" s="1">
        <f>IF(U61="","", 100*_xlfn.STDEV.P(U60:U61)/AVERAGE(U60:U61))</f>
        <v/>
      </c>
      <c r="X61" s="8">
        <f t="array" ref="X61">IF(U61="","", IFERROR(((IF(U$5&lt;&gt;"", U$5*M$5, 0) + SUMPRODUCT(--(U$6:U61&lt;&gt;""), U$6:U61, (M$6:M61-M$5:M60)))/1000), ""))</f>
        <v/>
      </c>
    </row>
    <row r="62">
      <c r="A62" s="1">
        <f>A61+20</f>
        <v/>
      </c>
      <c r="B62" s="1">
        <f>C61</f>
        <v/>
      </c>
      <c r="E62" t="inlineStr">
        <is>
          <t>60mL/3s/30s</t>
        </is>
      </c>
      <c r="I62" s="1">
        <f>IF(C62="", "", (B62-C62)*1000/(A62-A61))</f>
        <v/>
      </c>
      <c r="J62" s="1">
        <f>IF(I62="","",I62/F$2/3)</f>
        <v/>
      </c>
      <c r="K62" s="1">
        <f>IF(I62="","", 100*_xlfn.STDEV.P(I61:I62)/AVERAGE(I61:I62))</f>
        <v/>
      </c>
      <c r="L62" s="8">
        <f t="array" ref="L62">IF(I62="","", IFERROR(((IF(I$5&lt;&gt;"", I$5*A$5, 0) + SUMPRODUCT(--(I$6:I62&lt;&gt;""), I$6:I62, (A$6:A62-A$5:A61)))/1000), ""))</f>
        <v/>
      </c>
      <c r="M62" s="1">
        <f>M61+20</f>
        <v/>
      </c>
      <c r="N62" s="1">
        <f>O61</f>
        <v/>
      </c>
      <c r="Q62" t="inlineStr">
        <is>
          <t>60mL/3s/30s</t>
        </is>
      </c>
      <c r="U62" s="1">
        <f>IF(O62="", "", (N62-O62)*1000/(M62-M61))</f>
        <v/>
      </c>
      <c r="V62" s="1">
        <f>IF(U62="","",U62/R$2/3)</f>
        <v/>
      </c>
      <c r="W62" s="1">
        <f>IF(U62="","", 100*_xlfn.STDEV.P(U61:U62)/AVERAGE(U61:U62))</f>
        <v/>
      </c>
      <c r="X62" s="8">
        <f t="array" ref="X62">IF(U62="","", IFERROR(((IF(U$5&lt;&gt;"", U$5*M$5, 0) + SUMPRODUCT(--(U$6:U62&lt;&gt;""), U$6:U62, (M$6:M62-M$5:M61)))/1000), ""))</f>
        <v/>
      </c>
    </row>
    <row r="63">
      <c r="A63" s="1">
        <f>A62+20</f>
        <v/>
      </c>
      <c r="B63" s="1">
        <f>C62</f>
        <v/>
      </c>
      <c r="E63" t="inlineStr">
        <is>
          <t>60mL/3s/30s</t>
        </is>
      </c>
      <c r="I63" s="1">
        <f>IF(C63="", "", (B63-C63)*1000/(A63-A62))</f>
        <v/>
      </c>
      <c r="J63" s="1">
        <f>IF(I63="","",I63/F$2/3)</f>
        <v/>
      </c>
      <c r="K63" s="1">
        <f>IF(I63="","", 100*_xlfn.STDEV.P(I62:I63)/AVERAGE(I62:I63))</f>
        <v/>
      </c>
      <c r="L63" s="8">
        <f t="array" ref="L63">IF(I63="","", IFERROR(((IF(I$5&lt;&gt;"", I$5*A$5, 0) + SUMPRODUCT(--(I$6:I63&lt;&gt;""), I$6:I63, (A$6:A63-A$5:A62)))/1000), ""))</f>
        <v/>
      </c>
      <c r="M63" s="1">
        <f>M62+20</f>
        <v/>
      </c>
      <c r="N63" s="1">
        <f>O62</f>
        <v/>
      </c>
      <c r="Q63" t="inlineStr">
        <is>
          <t>60mL/3s/30s</t>
        </is>
      </c>
      <c r="U63" s="1">
        <f>IF(O63="", "", (N63-O63)*1000/(M63-M62))</f>
        <v/>
      </c>
      <c r="V63" s="1">
        <f>IF(U63="","",U63/R$2/3)</f>
        <v/>
      </c>
      <c r="W63" s="1">
        <f>IF(U63="","", 100*_xlfn.STDEV.P(U62:U63)/AVERAGE(U62:U63))</f>
        <v/>
      </c>
      <c r="X63" s="8">
        <f t="array" ref="X63">IF(U63="","", IFERROR(((IF(U$5&lt;&gt;"", U$5*M$5, 0) + SUMPRODUCT(--(U$6:U63&lt;&gt;""), U$6:U63, (M$6:M63-M$5:M62)))/1000), ""))</f>
        <v/>
      </c>
    </row>
    <row r="64">
      <c r="A64" s="1">
        <f>A63+20</f>
        <v/>
      </c>
      <c r="B64" s="1">
        <f>C63</f>
        <v/>
      </c>
      <c r="E64" t="inlineStr">
        <is>
          <t>60mL/3s/30s</t>
        </is>
      </c>
      <c r="I64" s="1">
        <f>IF(C64="", "", (B64-C64)*1000/(A64-A63))</f>
        <v/>
      </c>
      <c r="J64" s="1">
        <f>IF(I64="","",I64/F$2/3)</f>
        <v/>
      </c>
      <c r="K64" s="1">
        <f>IF(I64="","", 100*_xlfn.STDEV.P(I63:I64)/AVERAGE(I63:I64))</f>
        <v/>
      </c>
      <c r="L64" s="8">
        <f t="array" ref="L64">IF(I64="","", IFERROR(((IF(I$5&lt;&gt;"", I$5*A$5, 0) + SUMPRODUCT(--(I$6:I64&lt;&gt;""), I$6:I64, (A$6:A64-A$5:A63)))/1000), ""))</f>
        <v/>
      </c>
      <c r="M64" s="1">
        <f>M63+20</f>
        <v/>
      </c>
      <c r="N64" s="1">
        <f>O63</f>
        <v/>
      </c>
      <c r="Q64" t="inlineStr">
        <is>
          <t>60mL/3s/30s</t>
        </is>
      </c>
      <c r="U64" s="1">
        <f>IF(O64="", "", (N64-O64)*1000/(M64-M63))</f>
        <v/>
      </c>
      <c r="V64" s="1">
        <f>IF(U64="","",U64/R$2/3)</f>
        <v/>
      </c>
      <c r="W64" s="1">
        <f>IF(U64="","", 100*_xlfn.STDEV.P(U63:U64)/AVERAGE(U63:U64))</f>
        <v/>
      </c>
      <c r="X64" s="8">
        <f t="array" ref="X64">IF(U64="","", IFERROR(((IF(U$5&lt;&gt;"", U$5*M$5, 0) + SUMPRODUCT(--(U$6:U64&lt;&gt;""), U$6:U64, (M$6:M64-M$5:M63)))/1000), ""))</f>
        <v/>
      </c>
    </row>
    <row r="65">
      <c r="A65" s="1">
        <f>A64+20</f>
        <v/>
      </c>
      <c r="B65" s="1">
        <f>C64</f>
        <v/>
      </c>
      <c r="E65" t="inlineStr">
        <is>
          <t>60mL/3s/30s</t>
        </is>
      </c>
      <c r="I65" s="1">
        <f>IF(C65="", "", (B65-C65)*1000/(A65-A64))</f>
        <v/>
      </c>
      <c r="J65" s="1">
        <f>IF(I65="","",I65/F$2/3)</f>
        <v/>
      </c>
      <c r="K65" s="1">
        <f>IF(I65="","", 100*_xlfn.STDEV.P(I64:I65)/AVERAGE(I64:I65))</f>
        <v/>
      </c>
      <c r="L65" s="8">
        <f t="array" ref="L65">IF(I65="","", IFERROR(((IF(I$5&lt;&gt;"", I$5*A$5, 0) + SUMPRODUCT(--(I$6:I65&lt;&gt;""), I$6:I65, (A$6:A65-A$5:A64)))/1000), ""))</f>
        <v/>
      </c>
      <c r="M65" s="1">
        <f>M64+20</f>
        <v/>
      </c>
      <c r="N65" s="1">
        <f>O64</f>
        <v/>
      </c>
      <c r="Q65" t="inlineStr">
        <is>
          <t>60mL/3s/30s</t>
        </is>
      </c>
      <c r="U65" s="1">
        <f>IF(O65="", "", (N65-O65)*1000/(M65-M64))</f>
        <v/>
      </c>
      <c r="V65" s="1">
        <f>IF(U65="","",U65/R$2/3)</f>
        <v/>
      </c>
      <c r="W65" s="1">
        <f>IF(U65="","", 100*_xlfn.STDEV.P(U64:U65)/AVERAGE(U64:U65))</f>
        <v/>
      </c>
      <c r="X65" s="8">
        <f t="array" ref="X65">IF(U65="","", IFERROR(((IF(U$5&lt;&gt;"", U$5*M$5, 0) + SUMPRODUCT(--(U$6:U65&lt;&gt;""), U$6:U65, (M$6:M65-M$5:M64)))/1000), ""))</f>
        <v/>
      </c>
    </row>
    <row r="66">
      <c r="A66" s="1">
        <f>A65+20</f>
        <v/>
      </c>
      <c r="B66" s="1">
        <f>C65</f>
        <v/>
      </c>
      <c r="E66" t="inlineStr">
        <is>
          <t>60mL/3s/30s</t>
        </is>
      </c>
      <c r="I66" s="1">
        <f>IF(C66="", "", (B66-C66)*1000/(A66-A65))</f>
        <v/>
      </c>
      <c r="J66" s="1">
        <f>IF(I66="","",I66/F$2/3)</f>
        <v/>
      </c>
      <c r="K66" s="1">
        <f>IF(I66="","", 100*_xlfn.STDEV.P(I65:I66)/AVERAGE(I65:I66))</f>
        <v/>
      </c>
      <c r="L66" s="8">
        <f t="array" ref="L66">IF(I66="","", IFERROR(((IF(I$5&lt;&gt;"", I$5*A$5, 0) + SUMPRODUCT(--(I$6:I66&lt;&gt;""), I$6:I66, (A$6:A66-A$5:A65)))/1000), ""))</f>
        <v/>
      </c>
      <c r="M66" s="1">
        <f>M65+20</f>
        <v/>
      </c>
      <c r="N66" s="1">
        <f>O65</f>
        <v/>
      </c>
      <c r="Q66" t="inlineStr">
        <is>
          <t>60mL/3s/30s</t>
        </is>
      </c>
      <c r="U66" s="1">
        <f>IF(O66="", "", (N66-O66)*1000/(M66-M65))</f>
        <v/>
      </c>
      <c r="V66" s="1">
        <f>IF(U66="","",U66/R$2/3)</f>
        <v/>
      </c>
      <c r="W66" s="1">
        <f>IF(U66="","", 100*_xlfn.STDEV.P(U65:U66)/AVERAGE(U65:U66))</f>
        <v/>
      </c>
      <c r="X66" s="8">
        <f t="array" ref="X66">IF(U66="","", IFERROR(((IF(U$5&lt;&gt;"", U$5*M$5, 0) + SUMPRODUCT(--(U$6:U66&lt;&gt;""), U$6:U66, (M$6:M66-M$5:M65)))/1000), ""))</f>
        <v/>
      </c>
    </row>
    <row r="67">
      <c r="A67" s="1">
        <f>A66+20</f>
        <v/>
      </c>
      <c r="B67" s="1">
        <f>C66</f>
        <v/>
      </c>
      <c r="E67" t="inlineStr">
        <is>
          <t>60mL/3s/30s</t>
        </is>
      </c>
      <c r="I67" s="1">
        <f>IF(C67="", "", (B67-C67)*1000/(A67-A66))</f>
        <v/>
      </c>
      <c r="J67" s="1">
        <f>IF(I67="","",I67/F$2/3)</f>
        <v/>
      </c>
      <c r="K67" s="1">
        <f>IF(I67="","", 100*_xlfn.STDEV.P(I66:I67)/AVERAGE(I66:I67))</f>
        <v/>
      </c>
      <c r="L67" s="8">
        <f t="array" ref="L67">IF(I67="","", IFERROR(((IF(I$5&lt;&gt;"", I$5*A$5, 0) + SUMPRODUCT(--(I$6:I67&lt;&gt;""), I$6:I67, (A$6:A67-A$5:A66)))/1000), ""))</f>
        <v/>
      </c>
      <c r="M67" s="1">
        <f>M66+20</f>
        <v/>
      </c>
      <c r="N67" s="1">
        <f>O66</f>
        <v/>
      </c>
      <c r="Q67" t="inlineStr">
        <is>
          <t>60mL/3s/30s</t>
        </is>
      </c>
      <c r="U67" s="1">
        <f>IF(O67="", "", (N67-O67)*1000/(M67-M66))</f>
        <v/>
      </c>
      <c r="V67" s="1">
        <f>IF(U67="","",U67/R$2/3)</f>
        <v/>
      </c>
      <c r="W67" s="1">
        <f>IF(U67="","", 100*_xlfn.STDEV.P(U66:U67)/AVERAGE(U66:U67))</f>
        <v/>
      </c>
      <c r="X67" s="8">
        <f t="array" ref="X67">IF(U67="","", IFERROR(((IF(U$5&lt;&gt;"", U$5*M$5, 0) + SUMPRODUCT(--(U$6:U67&lt;&gt;""), U$6:U67, (M$6:M67-M$5:M66)))/1000), ""))</f>
        <v/>
      </c>
    </row>
    <row r="68">
      <c r="A68" s="1">
        <f>A67+20</f>
        <v/>
      </c>
      <c r="B68" s="1">
        <f>C67</f>
        <v/>
      </c>
      <c r="E68" t="inlineStr">
        <is>
          <t>60mL/3s/30s</t>
        </is>
      </c>
      <c r="I68" s="1">
        <f>IF(C68="", "", (B68-C68)*1000/(A68-A67))</f>
        <v/>
      </c>
      <c r="J68" s="1">
        <f>IF(I68="","",I68/F$2/3)</f>
        <v/>
      </c>
      <c r="K68" s="1">
        <f>IF(I68="","", 100*_xlfn.STDEV.P(I67:I68)/AVERAGE(I67:I68))</f>
        <v/>
      </c>
      <c r="L68" s="8">
        <f t="array" ref="L68">IF(I68="","", IFERROR(((IF(I$5&lt;&gt;"", I$5*A$5, 0) + SUMPRODUCT(--(I$6:I68&lt;&gt;""), I$6:I68, (A$6:A68-A$5:A67)))/1000), ""))</f>
        <v/>
      </c>
      <c r="M68" s="1">
        <f>M67+20</f>
        <v/>
      </c>
      <c r="N68" s="1">
        <f>O67</f>
        <v/>
      </c>
      <c r="Q68" t="inlineStr">
        <is>
          <t>60mL/3s/30s</t>
        </is>
      </c>
      <c r="U68" s="1">
        <f>IF(O68="", "", (N68-O68)*1000/(M68-M67))</f>
        <v/>
      </c>
      <c r="V68" s="1">
        <f>IF(U68="","",U68/R$2/3)</f>
        <v/>
      </c>
      <c r="W68" s="1">
        <f>IF(U68="","", 100*_xlfn.STDEV.P(U67:U68)/AVERAGE(U67:U68))</f>
        <v/>
      </c>
      <c r="X68" s="8">
        <f t="array" ref="X68">IF(U68="","", IFERROR(((IF(U$5&lt;&gt;"", U$5*M$5, 0) + SUMPRODUCT(--(U$6:U68&lt;&gt;""), U$6:U68, (M$6:M68-M$5:M67)))/1000), ""))</f>
        <v/>
      </c>
    </row>
    <row r="69">
      <c r="A69" s="1">
        <f>A68+20</f>
        <v/>
      </c>
      <c r="B69" s="1">
        <f>C68</f>
        <v/>
      </c>
      <c r="E69" t="inlineStr">
        <is>
          <t>60mL/3s/30s</t>
        </is>
      </c>
      <c r="I69" s="1">
        <f>IF(C69="", "", (B69-C69)*1000/(A69-A68))</f>
        <v/>
      </c>
      <c r="J69" s="1">
        <f>IF(I69="","",I69/F$2/3)</f>
        <v/>
      </c>
      <c r="K69" s="1">
        <f>IF(I69="","", 100*_xlfn.STDEV.P(I68:I69)/AVERAGE(I68:I69))</f>
        <v/>
      </c>
      <c r="L69" s="8">
        <f t="array" ref="L69">IF(I69="","", IFERROR(((IF(I$5&lt;&gt;"", I$5*A$5, 0) + SUMPRODUCT(--(I$6:I69&lt;&gt;""), I$6:I69, (A$6:A69-A$5:A68)))/1000), ""))</f>
        <v/>
      </c>
      <c r="M69" s="1">
        <f>M68+20</f>
        <v/>
      </c>
      <c r="N69" s="1">
        <f>O68</f>
        <v/>
      </c>
      <c r="Q69" t="inlineStr">
        <is>
          <t>60mL/3s/30s</t>
        </is>
      </c>
      <c r="U69" s="1">
        <f>IF(O69="", "", (N69-O69)*1000/(M69-M68))</f>
        <v/>
      </c>
      <c r="V69" s="1">
        <f>IF(U69="","",U69/R$2/3)</f>
        <v/>
      </c>
      <c r="W69" s="1">
        <f>IF(U69="","", 100*_xlfn.STDEV.P(U68:U69)/AVERAGE(U68:U69))</f>
        <v/>
      </c>
      <c r="X69" s="8">
        <f t="array" ref="X69">IF(U69="","", IFERROR(((IF(U$5&lt;&gt;"", U$5*M$5, 0) + SUMPRODUCT(--(U$6:U69&lt;&gt;""), U$6:U69, (M$6:M69-M$5:M68)))/1000), ""))</f>
        <v/>
      </c>
    </row>
    <row r="70">
      <c r="A70" s="1">
        <f>A69+20</f>
        <v/>
      </c>
      <c r="B70" s="1">
        <f>C69</f>
        <v/>
      </c>
      <c r="E70" t="inlineStr">
        <is>
          <t>60mL/3s/30s</t>
        </is>
      </c>
      <c r="I70" s="1">
        <f>IF(C70="", "", (B70-C70)*1000/(A70-A69))</f>
        <v/>
      </c>
      <c r="J70" s="1">
        <f>IF(I70="","",I70/F$2/3)</f>
        <v/>
      </c>
      <c r="K70" s="1">
        <f>IF(I70="","", 100*_xlfn.STDEV.P(I69:I70)/AVERAGE(I69:I70))</f>
        <v/>
      </c>
      <c r="L70" s="8">
        <f t="array" ref="L70">IF(I70="","", IFERROR(((IF(I$5&lt;&gt;"", I$5*A$5, 0) + SUMPRODUCT(--(I$6:I70&lt;&gt;""), I$6:I70, (A$6:A70-A$5:A69)))/1000), ""))</f>
        <v/>
      </c>
      <c r="M70" s="1">
        <f>M69+20</f>
        <v/>
      </c>
      <c r="N70" s="1">
        <f>O69</f>
        <v/>
      </c>
      <c r="Q70" t="inlineStr">
        <is>
          <t>60mL/3s/30s</t>
        </is>
      </c>
      <c r="U70" s="1">
        <f>IF(O70="", "", (N70-O70)*1000/(M70-M69))</f>
        <v/>
      </c>
      <c r="V70" s="1">
        <f>IF(U70="","",U70/R$2/3)</f>
        <v/>
      </c>
      <c r="W70" s="1">
        <f>IF(U70="","", 100*_xlfn.STDEV.P(U69:U70)/AVERAGE(U69:U70))</f>
        <v/>
      </c>
      <c r="X70" s="8">
        <f t="array" ref="X70">IF(U70="","", IFERROR(((IF(U$5&lt;&gt;"", U$5*M$5, 0) + SUMPRODUCT(--(U$6:U70&lt;&gt;""), U$6:U70, (M$6:M70-M$5:M69)))/1000), ""))</f>
        <v/>
      </c>
    </row>
    <row r="71">
      <c r="A71" s="1">
        <f>A70+20</f>
        <v/>
      </c>
      <c r="B71" s="1">
        <f>C70</f>
        <v/>
      </c>
      <c r="E71" t="inlineStr">
        <is>
          <t>60mL/3s/30s</t>
        </is>
      </c>
      <c r="I71" s="1">
        <f>IF(C71="", "", (B71-C71)*1000/(A71-A70))</f>
        <v/>
      </c>
      <c r="J71" s="1">
        <f>IF(I71="","",I71/F$2/3)</f>
        <v/>
      </c>
      <c r="K71" s="1">
        <f>IF(I71="","", 100*_xlfn.STDEV.P(I70:I71)/AVERAGE(I70:I71))</f>
        <v/>
      </c>
      <c r="L71" s="8">
        <f t="array" ref="L71">IF(I71="","", IFERROR(((IF(I$5&lt;&gt;"", I$5*A$5, 0) + SUMPRODUCT(--(I$6:I71&lt;&gt;""), I$6:I71, (A$6:A71-A$5:A70)))/1000), ""))</f>
        <v/>
      </c>
      <c r="M71" s="1">
        <f>M70+20</f>
        <v/>
      </c>
      <c r="N71" s="1">
        <f>O70</f>
        <v/>
      </c>
      <c r="Q71" t="inlineStr">
        <is>
          <t>60mL/3s/30s</t>
        </is>
      </c>
      <c r="U71" s="1">
        <f>IF(O71="", "", (N71-O71)*1000/(M71-M70))</f>
        <v/>
      </c>
      <c r="V71" s="1">
        <f>IF(U71="","",U71/R$2/3)</f>
        <v/>
      </c>
      <c r="W71" s="1">
        <f>IF(U71="","", 100*_xlfn.STDEV.P(U70:U71)/AVERAGE(U70:U71))</f>
        <v/>
      </c>
      <c r="X71" s="8">
        <f t="array" ref="X71">IF(U71="","", IFERROR(((IF(U$5&lt;&gt;"", U$5*M$5, 0) + SUMPRODUCT(--(U$6:U71&lt;&gt;""), U$6:U71, (M$6:M71-M$5:M70)))/1000), ""))</f>
        <v/>
      </c>
    </row>
    <row r="72">
      <c r="A72" s="1">
        <f>A71+20</f>
        <v/>
      </c>
      <c r="B72" s="1">
        <f>C71</f>
        <v/>
      </c>
      <c r="E72" t="inlineStr">
        <is>
          <t>60mL/3s/30s</t>
        </is>
      </c>
      <c r="I72" s="1">
        <f>IF(C72="", "", (B72-C72)*1000/(A72-A71))</f>
        <v/>
      </c>
      <c r="J72" s="1">
        <f>IF(I72="","",I72/F$2/3)</f>
        <v/>
      </c>
      <c r="K72" s="1">
        <f>IF(I72="","", 100*_xlfn.STDEV.P(I71:I72)/AVERAGE(I71:I72))</f>
        <v/>
      </c>
      <c r="L72" s="8">
        <f t="array" ref="L72">IF(I72="","", IFERROR(((IF(I$5&lt;&gt;"", I$5*A$5, 0) + SUMPRODUCT(--(I$6:I72&lt;&gt;""), I$6:I72, (A$6:A72-A$5:A71)))/1000), ""))</f>
        <v/>
      </c>
      <c r="M72" s="1">
        <f>M71+20</f>
        <v/>
      </c>
      <c r="N72" s="1">
        <f>O71</f>
        <v/>
      </c>
      <c r="Q72" t="inlineStr">
        <is>
          <t>60mL/3s/30s</t>
        </is>
      </c>
      <c r="U72" s="1">
        <f>IF(O72="", "", (N72-O72)*1000/(M72-M71))</f>
        <v/>
      </c>
      <c r="V72" s="1">
        <f>IF(U72="","",U72/R$2/3)</f>
        <v/>
      </c>
      <c r="W72" s="1">
        <f>IF(U72="","", 100*_xlfn.STDEV.P(U71:U72)/AVERAGE(U71:U72))</f>
        <v/>
      </c>
      <c r="X72" s="8">
        <f t="array" ref="X72">IF(U72="","", IFERROR(((IF(U$5&lt;&gt;"", U$5*M$5, 0) + SUMPRODUCT(--(U$6:U72&lt;&gt;""), U$6:U72, (M$6:M72-M$5:M71)))/1000), ""))</f>
        <v/>
      </c>
    </row>
    <row r="73">
      <c r="A73" s="1">
        <f>A72+20</f>
        <v/>
      </c>
      <c r="B73" s="1">
        <f>C72</f>
        <v/>
      </c>
      <c r="E73" t="inlineStr">
        <is>
          <t>60mL/3s/30s</t>
        </is>
      </c>
      <c r="I73" s="1">
        <f>IF(C73="", "", (B73-C73)*1000/(A73-A72))</f>
        <v/>
      </c>
      <c r="J73" s="1">
        <f>IF(I73="","",I73/F$2/3)</f>
        <v/>
      </c>
      <c r="K73" s="1">
        <f>IF(I73="","", 100*_xlfn.STDEV.P(I72:I73)/AVERAGE(I72:I73))</f>
        <v/>
      </c>
      <c r="L73" s="8">
        <f t="array" ref="L73">IF(I73="","", IFERROR(((IF(I$5&lt;&gt;"", I$5*A$5, 0) + SUMPRODUCT(--(I$6:I73&lt;&gt;""), I$6:I73, (A$6:A73-A$5:A72)))/1000), ""))</f>
        <v/>
      </c>
      <c r="M73" s="1">
        <f>M72+20</f>
        <v/>
      </c>
      <c r="N73" s="1">
        <f>O72</f>
        <v/>
      </c>
      <c r="Q73" t="inlineStr">
        <is>
          <t>60mL/3s/30s</t>
        </is>
      </c>
      <c r="U73" s="1">
        <f>IF(O73="", "", (N73-O73)*1000/(M73-M72))</f>
        <v/>
      </c>
      <c r="V73" s="1">
        <f>IF(U73="","",U73/R$2/3)</f>
        <v/>
      </c>
      <c r="W73" s="1">
        <f>IF(U73="","", 100*_xlfn.STDEV.P(U72:U73)/AVERAGE(U72:U73))</f>
        <v/>
      </c>
      <c r="X73" s="8">
        <f t="array" ref="X73">IF(U73="","", IFERROR(((IF(U$5&lt;&gt;"", U$5*M$5, 0) + SUMPRODUCT(--(U$6:U73&lt;&gt;""), U$6:U73, (M$6:M73-M$5:M72)))/1000), ""))</f>
        <v/>
      </c>
    </row>
    <row r="74">
      <c r="A74" s="1">
        <f>A73+20</f>
        <v/>
      </c>
      <c r="B74" s="1">
        <f>C73</f>
        <v/>
      </c>
      <c r="E74" t="inlineStr">
        <is>
          <t>60mL/3s/30s</t>
        </is>
      </c>
      <c r="I74" s="1">
        <f>IF(C74="", "", (B74-C74)*1000/(A74-A73))</f>
        <v/>
      </c>
      <c r="J74" s="1">
        <f>IF(I74="","",I74/F$2/3)</f>
        <v/>
      </c>
      <c r="K74" s="1">
        <f>IF(I74="","", 100*_xlfn.STDEV.P(I73:I74)/AVERAGE(I73:I74))</f>
        <v/>
      </c>
      <c r="L74" s="8">
        <f t="array" ref="L74">IF(I74="","", IFERROR(((IF(I$5&lt;&gt;"", I$5*A$5, 0) + SUMPRODUCT(--(I$6:I74&lt;&gt;""), I$6:I74, (A$6:A74-A$5:A73)))/1000), ""))</f>
        <v/>
      </c>
      <c r="M74" s="1">
        <f>M73+20</f>
        <v/>
      </c>
      <c r="N74" s="1">
        <f>O73</f>
        <v/>
      </c>
      <c r="Q74" t="inlineStr">
        <is>
          <t>60mL/3s/30s</t>
        </is>
      </c>
      <c r="U74" s="1">
        <f>IF(O74="", "", (N74-O74)*1000/(M74-M73))</f>
        <v/>
      </c>
      <c r="V74" s="1">
        <f>IF(U74="","",U74/R$2/3)</f>
        <v/>
      </c>
      <c r="W74" s="1">
        <f>IF(U74="","", 100*_xlfn.STDEV.P(U73:U74)/AVERAGE(U73:U74))</f>
        <v/>
      </c>
      <c r="X74" s="8">
        <f t="array" ref="X74">IF(U74="","", IFERROR(((IF(U$5&lt;&gt;"", U$5*M$5, 0) + SUMPRODUCT(--(U$6:U74&lt;&gt;""), U$6:U74, (M$6:M74-M$5:M73)))/1000), ""))</f>
        <v/>
      </c>
    </row>
    <row r="75">
      <c r="A75" s="1">
        <f>A74+20</f>
        <v/>
      </c>
      <c r="B75" s="1">
        <f>C74</f>
        <v/>
      </c>
      <c r="E75" t="inlineStr">
        <is>
          <t>60mL/3s/30s</t>
        </is>
      </c>
      <c r="I75" s="1">
        <f>IF(C75="", "", (B75-C75)*1000/(A75-A74))</f>
        <v/>
      </c>
      <c r="J75" s="1">
        <f>IF(I75="","",I75/F$2/3)</f>
        <v/>
      </c>
      <c r="K75" s="1">
        <f>IF(I75="","", 100*_xlfn.STDEV.P(I74:I75)/AVERAGE(I74:I75))</f>
        <v/>
      </c>
      <c r="L75" s="8">
        <f t="array" ref="L75">IF(I75="","", IFERROR(((IF(I$5&lt;&gt;"", I$5*A$5, 0) + SUMPRODUCT(--(I$6:I75&lt;&gt;""), I$6:I75, (A$6:A75-A$5:A74)))/1000), ""))</f>
        <v/>
      </c>
      <c r="M75" s="1">
        <f>M74+20</f>
        <v/>
      </c>
      <c r="N75" s="1">
        <f>O74</f>
        <v/>
      </c>
      <c r="Q75" t="inlineStr">
        <is>
          <t>60mL/3s/30s</t>
        </is>
      </c>
      <c r="U75" s="1">
        <f>IF(O75="", "", (N75-O75)*1000/(M75-M74))</f>
        <v/>
      </c>
      <c r="V75" s="1">
        <f>IF(U75="","",U75/R$2/3)</f>
        <v/>
      </c>
      <c r="W75" s="1">
        <f>IF(U75="","", 100*_xlfn.STDEV.P(U74:U75)/AVERAGE(U74:U75))</f>
        <v/>
      </c>
      <c r="X75" s="8">
        <f t="array" ref="X75">IF(U75="","", IFERROR(((IF(U$5&lt;&gt;"", U$5*M$5, 0) + SUMPRODUCT(--(U$6:U75&lt;&gt;""), U$6:U75, (M$6:M75-M$5:M74)))/1000), ""))</f>
        <v/>
      </c>
    </row>
    <row r="76">
      <c r="A76" s="1">
        <f>A75+20</f>
        <v/>
      </c>
      <c r="B76" s="1">
        <f>C75</f>
        <v/>
      </c>
      <c r="E76" t="inlineStr">
        <is>
          <t>60mL/3s/30s</t>
        </is>
      </c>
      <c r="I76" s="1">
        <f>IF(C76="", "", (B76-C76)*1000/(A76-A75))</f>
        <v/>
      </c>
      <c r="J76" s="1">
        <f>IF(I76="","",I76/F$2/3)</f>
        <v/>
      </c>
      <c r="K76" s="1">
        <f>IF(I76="","", 100*_xlfn.STDEV.P(I75:I76)/AVERAGE(I75:I76))</f>
        <v/>
      </c>
      <c r="L76" s="8">
        <f t="array" ref="L76">IF(I76="","", IFERROR(((IF(I$5&lt;&gt;"", I$5*A$5, 0) + SUMPRODUCT(--(I$6:I76&lt;&gt;""), I$6:I76, (A$6:A76-A$5:A75)))/1000), ""))</f>
        <v/>
      </c>
      <c r="M76" s="1">
        <f>M75+20</f>
        <v/>
      </c>
      <c r="N76" s="1">
        <f>O75</f>
        <v/>
      </c>
      <c r="Q76" t="inlineStr">
        <is>
          <t>60mL/3s/30s</t>
        </is>
      </c>
      <c r="U76" s="1">
        <f>IF(O76="", "", (N76-O76)*1000/(M76-M75))</f>
        <v/>
      </c>
      <c r="V76" s="1">
        <f>IF(U76="","",U76/R$2/3)</f>
        <v/>
      </c>
      <c r="W76" s="1">
        <f>IF(U76="","", 100*_xlfn.STDEV.P(U75:U76)/AVERAGE(U75:U76))</f>
        <v/>
      </c>
      <c r="X76" s="8">
        <f t="array" ref="X76">IF(U76="","", IFERROR(((IF(U$5&lt;&gt;"", U$5*M$5, 0) + SUMPRODUCT(--(U$6:U76&lt;&gt;""), U$6:U76, (M$6:M76-M$5:M75)))/1000), ""))</f>
        <v/>
      </c>
    </row>
    <row r="77">
      <c r="A77" s="1">
        <f>A76+20</f>
        <v/>
      </c>
      <c r="B77" s="1">
        <f>C76</f>
        <v/>
      </c>
      <c r="E77" t="inlineStr">
        <is>
          <t>60mL/3s/30s</t>
        </is>
      </c>
      <c r="I77" s="1">
        <f>IF(C77="", "", (B77-C77)*1000/(A77-A76))</f>
        <v/>
      </c>
      <c r="J77" s="1">
        <f>IF(I77="","",I77/F$2/3)</f>
        <v/>
      </c>
      <c r="K77" s="1">
        <f>IF(I77="","", 100*_xlfn.STDEV.P(I76:I77)/AVERAGE(I76:I77))</f>
        <v/>
      </c>
      <c r="L77" s="8">
        <f t="array" ref="L77">IF(I77="","", IFERROR(((IF(I$5&lt;&gt;"", I$5*A$5, 0) + SUMPRODUCT(--(I$6:I77&lt;&gt;""), I$6:I77, (A$6:A77-A$5:A76)))/1000), ""))</f>
        <v/>
      </c>
      <c r="M77" s="1">
        <f>M76+20</f>
        <v/>
      </c>
      <c r="N77" s="1">
        <f>O76</f>
        <v/>
      </c>
      <c r="Q77" t="inlineStr">
        <is>
          <t>60mL/3s/30s</t>
        </is>
      </c>
      <c r="U77" s="1">
        <f>IF(O77="", "", (N77-O77)*1000/(M77-M76))</f>
        <v/>
      </c>
      <c r="V77" s="1">
        <f>IF(U77="","",U77/R$2/3)</f>
        <v/>
      </c>
      <c r="W77" s="1">
        <f>IF(U77="","", 100*_xlfn.STDEV.P(U76:U77)/AVERAGE(U76:U77))</f>
        <v/>
      </c>
      <c r="X77" s="8">
        <f t="array" ref="X77">IF(U77="","", IFERROR(((IF(U$5&lt;&gt;"", U$5*M$5, 0) + SUMPRODUCT(--(U$6:U77&lt;&gt;""), U$6:U77, (M$6:M77-M$5:M76)))/1000), ""))</f>
        <v/>
      </c>
    </row>
    <row r="78">
      <c r="A78" s="1">
        <f>A77+20</f>
        <v/>
      </c>
      <c r="B78" s="1">
        <f>C77</f>
        <v/>
      </c>
      <c r="E78" t="inlineStr">
        <is>
          <t>60mL/3s/30s</t>
        </is>
      </c>
      <c r="I78" s="1">
        <f>IF(C78="", "", (B78-C78)*1000/(A78-A77))</f>
        <v/>
      </c>
      <c r="J78" s="1">
        <f>IF(I78="","",I78/F$2/3)</f>
        <v/>
      </c>
      <c r="K78" s="1">
        <f>IF(I78="","", 100*_xlfn.STDEV.P(I77:I78)/AVERAGE(I77:I78))</f>
        <v/>
      </c>
      <c r="L78" s="8">
        <f t="array" ref="L78">IF(I78="","", IFERROR(((IF(I$5&lt;&gt;"", I$5*A$5, 0) + SUMPRODUCT(--(I$6:I78&lt;&gt;""), I$6:I78, (A$6:A78-A$5:A77)))/1000), ""))</f>
        <v/>
      </c>
      <c r="M78" s="1">
        <f>M77+20</f>
        <v/>
      </c>
      <c r="N78" s="1">
        <f>O77</f>
        <v/>
      </c>
      <c r="Q78" t="inlineStr">
        <is>
          <t>60mL/3s/30s</t>
        </is>
      </c>
      <c r="U78" s="1">
        <f>IF(O78="", "", (N78-O78)*1000/(M78-M77))</f>
        <v/>
      </c>
      <c r="V78" s="1">
        <f>IF(U78="","",U78/R$2/3)</f>
        <v/>
      </c>
      <c r="W78" s="1">
        <f>IF(U78="","", 100*_xlfn.STDEV.P(U77:U78)/AVERAGE(U77:U78))</f>
        <v/>
      </c>
      <c r="X78" s="8">
        <f t="array" ref="X78">IF(U78="","", IFERROR(((IF(U$5&lt;&gt;"", U$5*M$5, 0) + SUMPRODUCT(--(U$6:U78&lt;&gt;""), U$6:U78, (M$6:M78-M$5:M77)))/1000), ""))</f>
        <v/>
      </c>
    </row>
    <row r="79">
      <c r="A79" s="1">
        <f>A78+20</f>
        <v/>
      </c>
      <c r="B79" s="1">
        <f>C78</f>
        <v/>
      </c>
      <c r="E79" t="inlineStr">
        <is>
          <t>60mL/3s/30s</t>
        </is>
      </c>
      <c r="I79" s="1">
        <f>IF(C79="", "", (B79-C79)*1000/(A79-A78))</f>
        <v/>
      </c>
      <c r="J79" s="1">
        <f>IF(I79="","",I79/F$2/3)</f>
        <v/>
      </c>
      <c r="K79" s="1">
        <f>IF(I79="","", 100*_xlfn.STDEV.P(I78:I79)/AVERAGE(I78:I79))</f>
        <v/>
      </c>
      <c r="L79" s="8">
        <f t="array" ref="L79">IF(I79="","", IFERROR(((IF(I$5&lt;&gt;"", I$5*A$5, 0) + SUMPRODUCT(--(I$6:I79&lt;&gt;""), I$6:I79, (A$6:A79-A$5:A78)))/1000), ""))</f>
        <v/>
      </c>
      <c r="M79" s="1">
        <f>M78+20</f>
        <v/>
      </c>
      <c r="N79" s="1">
        <f>O78</f>
        <v/>
      </c>
      <c r="Q79" t="inlineStr">
        <is>
          <t>60mL/3s/30s</t>
        </is>
      </c>
      <c r="U79" s="1">
        <f>IF(O79="", "", (N79-O79)*1000/(M79-M78))</f>
        <v/>
      </c>
      <c r="V79" s="1">
        <f>IF(U79="","",U79/R$2/3)</f>
        <v/>
      </c>
      <c r="W79" s="1">
        <f>IF(U79="","", 100*_xlfn.STDEV.P(U78:U79)/AVERAGE(U78:U79))</f>
        <v/>
      </c>
      <c r="X79" s="8">
        <f t="array" ref="X79">IF(U79="","", IFERROR(((IF(U$5&lt;&gt;"", U$5*M$5, 0) + SUMPRODUCT(--(U$6:U79&lt;&gt;""), U$6:U79, (M$6:M79-M$5:M78)))/1000), ""))</f>
        <v/>
      </c>
    </row>
    <row r="80">
      <c r="A80" s="1">
        <f>A79+20</f>
        <v/>
      </c>
      <c r="B80" s="1">
        <f>C79</f>
        <v/>
      </c>
      <c r="E80" t="inlineStr">
        <is>
          <t>60mL/3s/30s</t>
        </is>
      </c>
      <c r="I80" s="1">
        <f>IF(C80="", "", (B80-C80)*1000/(A80-A79))</f>
        <v/>
      </c>
      <c r="J80" s="1">
        <f>IF(I80="","",I80/F$2/3)</f>
        <v/>
      </c>
      <c r="K80" s="1">
        <f>IF(I80="","", 100*_xlfn.STDEV.P(I79:I80)/AVERAGE(I79:I80))</f>
        <v/>
      </c>
      <c r="L80" s="8">
        <f t="array" ref="L80">IF(I80="","", IFERROR(((IF(I$5&lt;&gt;"", I$5*A$5, 0) + SUMPRODUCT(--(I$6:I80&lt;&gt;""), I$6:I80, (A$6:A80-A$5:A79)))/1000), ""))</f>
        <v/>
      </c>
      <c r="M80" s="1">
        <f>M79+20</f>
        <v/>
      </c>
      <c r="N80" s="1">
        <f>O79</f>
        <v/>
      </c>
      <c r="Q80" t="inlineStr">
        <is>
          <t>60mL/3s/30s</t>
        </is>
      </c>
      <c r="U80" s="1">
        <f>IF(O80="", "", (N80-O80)*1000/(M80-M79))</f>
        <v/>
      </c>
      <c r="V80" s="1">
        <f>IF(U80="","",U80/R$2/3)</f>
        <v/>
      </c>
      <c r="W80" s="1">
        <f>IF(U80="","", 100*_xlfn.STDEV.P(U79:U80)/AVERAGE(U79:U80))</f>
        <v/>
      </c>
      <c r="X80" s="8">
        <f t="array" ref="X80">IF(U80="","", IFERROR(((IF(U$5&lt;&gt;"", U$5*M$5, 0) + SUMPRODUCT(--(U$6:U80&lt;&gt;""), U$6:U80, (M$6:M80-M$5:M79)))/1000), ""))</f>
        <v/>
      </c>
    </row>
    <row r="81">
      <c r="A81" s="1">
        <f>A80+20</f>
        <v/>
      </c>
      <c r="B81" s="1">
        <f>C80</f>
        <v/>
      </c>
      <c r="E81" t="inlineStr">
        <is>
          <t>60mL/3s/30s</t>
        </is>
      </c>
      <c r="I81" s="1">
        <f>IF(C81="", "", (B81-C81)*1000/(A81-A80))</f>
        <v/>
      </c>
      <c r="J81" s="1">
        <f>IF(I81="","",I81/F$2/3)</f>
        <v/>
      </c>
      <c r="K81" s="1">
        <f>IF(I81="","", 100*_xlfn.STDEV.P(I80:I81)/AVERAGE(I80:I81))</f>
        <v/>
      </c>
      <c r="L81" s="8">
        <f t="array" ref="L81">IF(I81="","", IFERROR(((IF(I$5&lt;&gt;"", I$5*A$5, 0) + SUMPRODUCT(--(I$6:I81&lt;&gt;""), I$6:I81, (A$6:A81-A$5:A80)))/1000), ""))</f>
        <v/>
      </c>
      <c r="M81" s="1">
        <f>M80+20</f>
        <v/>
      </c>
      <c r="N81" s="1">
        <f>O80</f>
        <v/>
      </c>
      <c r="Q81" t="inlineStr">
        <is>
          <t>60mL/3s/30s</t>
        </is>
      </c>
      <c r="U81" s="1">
        <f>IF(O81="", "", (N81-O81)*1000/(M81-M80))</f>
        <v/>
      </c>
      <c r="V81" s="1">
        <f>IF(U81="","",U81/R$2/3)</f>
        <v/>
      </c>
      <c r="W81" s="1">
        <f>IF(U81="","", 100*_xlfn.STDEV.P(U80:U81)/AVERAGE(U80:U81))</f>
        <v/>
      </c>
      <c r="X81" s="8">
        <f t="array" ref="X81">IF(U81="","", IFERROR(((IF(U$5&lt;&gt;"", U$5*M$5, 0) + SUMPRODUCT(--(U$6:U81&lt;&gt;""), U$6:U81, (M$6:M81-M$5:M80)))/1000), ""))</f>
        <v/>
      </c>
    </row>
    <row r="82">
      <c r="A82" s="1">
        <f>A81+20</f>
        <v/>
      </c>
      <c r="B82" s="1">
        <f>C81</f>
        <v/>
      </c>
      <c r="E82" t="inlineStr">
        <is>
          <t>60mL/3s/30s</t>
        </is>
      </c>
      <c r="I82" s="1">
        <f>IF(C82="", "", (B82-C82)*1000/(A82-A81))</f>
        <v/>
      </c>
      <c r="J82" s="1">
        <f>IF(I82="","",I82/F$2/3)</f>
        <v/>
      </c>
      <c r="K82" s="1">
        <f>IF(I82="","", 100*_xlfn.STDEV.P(I81:I82)/AVERAGE(I81:I82))</f>
        <v/>
      </c>
      <c r="L82" s="8">
        <f t="array" ref="L82">IF(I82="","", IFERROR(((IF(I$5&lt;&gt;"", I$5*A$5, 0) + SUMPRODUCT(--(I$6:I82&lt;&gt;""), I$6:I82, (A$6:A82-A$5:A81)))/1000), ""))</f>
        <v/>
      </c>
      <c r="M82" s="1">
        <f>M81+20</f>
        <v/>
      </c>
      <c r="N82" s="1">
        <f>O81</f>
        <v/>
      </c>
      <c r="Q82" t="inlineStr">
        <is>
          <t>60mL/3s/30s</t>
        </is>
      </c>
      <c r="U82" s="1">
        <f>IF(O82="", "", (N82-O82)*1000/(M82-M81))</f>
        <v/>
      </c>
      <c r="V82" s="1">
        <f>IF(U82="","",U82/R$2/3)</f>
        <v/>
      </c>
      <c r="W82" s="1">
        <f>IF(U82="","", 100*_xlfn.STDEV.P(U81:U82)/AVERAGE(U81:U82))</f>
        <v/>
      </c>
      <c r="X82" s="8">
        <f t="array" ref="X82">IF(U82="","", IFERROR(((IF(U$5&lt;&gt;"", U$5*M$5, 0) + SUMPRODUCT(--(U$6:U82&lt;&gt;""), U$6:U82, (M$6:M82-M$5:M81)))/1000), ""))</f>
        <v/>
      </c>
    </row>
    <row r="83">
      <c r="A83" s="1">
        <f>A82+20</f>
        <v/>
      </c>
      <c r="B83" s="1">
        <f>C82</f>
        <v/>
      </c>
      <c r="E83" t="inlineStr">
        <is>
          <t>60mL/3s/30s</t>
        </is>
      </c>
      <c r="I83" s="1">
        <f>IF(C83="", "", (B83-C83)*1000/(A83-A82))</f>
        <v/>
      </c>
      <c r="J83" s="1">
        <f>IF(I83="","",I83/F$2/3)</f>
        <v/>
      </c>
      <c r="K83" s="1">
        <f>IF(I83="","", 100*_xlfn.STDEV.P(I82:I83)/AVERAGE(I82:I83))</f>
        <v/>
      </c>
      <c r="L83" s="8">
        <f t="array" ref="L83">IF(I83="","", IFERROR(((IF(I$5&lt;&gt;"", I$5*A$5, 0) + SUMPRODUCT(--(I$6:I83&lt;&gt;""), I$6:I83, (A$6:A83-A$5:A82)))/1000), ""))</f>
        <v/>
      </c>
      <c r="M83" s="1">
        <f>M82+20</f>
        <v/>
      </c>
      <c r="N83" s="1">
        <f>O82</f>
        <v/>
      </c>
      <c r="Q83" t="inlineStr">
        <is>
          <t>60mL/3s/30s</t>
        </is>
      </c>
      <c r="U83" s="1">
        <f>IF(O83="", "", (N83-O83)*1000/(M83-M82))</f>
        <v/>
      </c>
      <c r="V83" s="1">
        <f>IF(U83="","",U83/R$2/3)</f>
        <v/>
      </c>
      <c r="W83" s="1">
        <f>IF(U83="","", 100*_xlfn.STDEV.P(U82:U83)/AVERAGE(U82:U83))</f>
        <v/>
      </c>
      <c r="X83" s="8">
        <f t="array" ref="X83">IF(U83="","", IFERROR(((IF(U$5&lt;&gt;"", U$5*M$5, 0) + SUMPRODUCT(--(U$6:U83&lt;&gt;""), U$6:U83, (M$6:M83-M$5:M82)))/1000), ""))</f>
        <v/>
      </c>
    </row>
    <row r="84">
      <c r="A84" s="1">
        <f>A83+20</f>
        <v/>
      </c>
      <c r="B84" s="1">
        <f>C83</f>
        <v/>
      </c>
      <c r="E84" t="inlineStr">
        <is>
          <t>60mL/3s/30s</t>
        </is>
      </c>
      <c r="I84" s="1">
        <f>IF(C84="", "", (B84-C84)*1000/(A84-A83))</f>
        <v/>
      </c>
      <c r="J84" s="1">
        <f>IF(I84="","",I84/F$2/3)</f>
        <v/>
      </c>
      <c r="K84" s="1">
        <f>IF(I84="","", 100*_xlfn.STDEV.P(I83:I84)/AVERAGE(I83:I84))</f>
        <v/>
      </c>
      <c r="L84" s="8">
        <f t="array" ref="L84">IF(I84="","", IFERROR(((IF(I$5&lt;&gt;"", I$5*A$5, 0) + SUMPRODUCT(--(I$6:I84&lt;&gt;""), I$6:I84, (A$6:A84-A$5:A83)))/1000), ""))</f>
        <v/>
      </c>
      <c r="M84" s="1">
        <f>M83+20</f>
        <v/>
      </c>
      <c r="N84" s="1">
        <f>O83</f>
        <v/>
      </c>
      <c r="Q84" t="inlineStr">
        <is>
          <t>60mL/3s/30s</t>
        </is>
      </c>
      <c r="U84" s="1">
        <f>IF(O84="", "", (N84-O84)*1000/(M84-M83))</f>
        <v/>
      </c>
      <c r="V84" s="1">
        <f>IF(U84="","",U84/R$2/3)</f>
        <v/>
      </c>
      <c r="W84" s="1">
        <f>IF(U84="","", 100*_xlfn.STDEV.P(U83:U84)/AVERAGE(U83:U84))</f>
        <v/>
      </c>
      <c r="X84" s="8">
        <f t="array" ref="X84">IF(U84="","", IFERROR(((IF(U$5&lt;&gt;"", U$5*M$5, 0) + SUMPRODUCT(--(U$6:U84&lt;&gt;""), U$6:U84, (M$6:M84-M$5:M83)))/1000), ""))</f>
        <v/>
      </c>
    </row>
    <row r="85">
      <c r="A85" s="1">
        <f>A84+20</f>
        <v/>
      </c>
      <c r="B85" s="1">
        <f>C84</f>
        <v/>
      </c>
      <c r="E85" t="inlineStr">
        <is>
          <t>60mL/3s/30s</t>
        </is>
      </c>
      <c r="I85" s="1">
        <f>IF(C85="", "", (B85-C85)*1000/(A85-A84))</f>
        <v/>
      </c>
      <c r="J85" s="1">
        <f>IF(I85="","",I85/F$2/3)</f>
        <v/>
      </c>
      <c r="K85" s="1">
        <f>IF(I85="","", 100*_xlfn.STDEV.P(I84:I85)/AVERAGE(I84:I85))</f>
        <v/>
      </c>
      <c r="L85" s="8">
        <f t="array" ref="L85">IF(I85="","", IFERROR(((IF(I$5&lt;&gt;"", I$5*A$5, 0) + SUMPRODUCT(--(I$6:I85&lt;&gt;""), I$6:I85, (A$6:A85-A$5:A84)))/1000), ""))</f>
        <v/>
      </c>
      <c r="M85" s="1">
        <f>M84+20</f>
        <v/>
      </c>
      <c r="N85" s="1">
        <f>O84</f>
        <v/>
      </c>
      <c r="Q85" t="inlineStr">
        <is>
          <t>60mL/3s/30s</t>
        </is>
      </c>
      <c r="U85" s="1">
        <f>IF(O85="", "", (N85-O85)*1000/(M85-M84))</f>
        <v/>
      </c>
      <c r="V85" s="1">
        <f>IF(U85="","",U85/R$2/3)</f>
        <v/>
      </c>
      <c r="W85" s="1">
        <f>IF(U85="","", 100*_xlfn.STDEV.P(U84:U85)/AVERAGE(U84:U85))</f>
        <v/>
      </c>
      <c r="X85" s="8">
        <f t="array" ref="X85">IF(U85="","", IFERROR(((IF(U$5&lt;&gt;"", U$5*M$5, 0) + SUMPRODUCT(--(U$6:U85&lt;&gt;""), U$6:U85, (M$6:M85-M$5:M84)))/1000), ""))</f>
        <v/>
      </c>
    </row>
    <row r="86">
      <c r="A86" s="1">
        <f>A85+20</f>
        <v/>
      </c>
      <c r="B86" s="1">
        <f>C85</f>
        <v/>
      </c>
      <c r="E86" t="inlineStr">
        <is>
          <t>60mL/3s/30s</t>
        </is>
      </c>
      <c r="I86" s="1">
        <f>IF(C86="", "", (B86-C86)*1000/(A86-A85))</f>
        <v/>
      </c>
      <c r="J86" s="1">
        <f>IF(I86="","",I86/F$2/3)</f>
        <v/>
      </c>
      <c r="K86" s="1">
        <f>IF(I86="","", 100*_xlfn.STDEV.P(I85:I86)/AVERAGE(I85:I86))</f>
        <v/>
      </c>
      <c r="L86" s="8">
        <f t="array" ref="L86">IF(I86="","", IFERROR(((IF(I$5&lt;&gt;"", I$5*A$5, 0) + SUMPRODUCT(--(I$6:I86&lt;&gt;""), I$6:I86, (A$6:A86-A$5:A85)))/1000), ""))</f>
        <v/>
      </c>
      <c r="M86" s="1">
        <f>M85+20</f>
        <v/>
      </c>
      <c r="N86" s="1">
        <f>O85</f>
        <v/>
      </c>
      <c r="Q86" t="inlineStr">
        <is>
          <t>60mL/3s/30s</t>
        </is>
      </c>
      <c r="U86" s="1">
        <f>IF(O86="", "", (N86-O86)*1000/(M86-M85))</f>
        <v/>
      </c>
      <c r="V86" s="1">
        <f>IF(U86="","",U86/R$2/3)</f>
        <v/>
      </c>
      <c r="W86" s="1">
        <f>IF(U86="","", 100*_xlfn.STDEV.P(U85:U86)/AVERAGE(U85:U86))</f>
        <v/>
      </c>
      <c r="X86" s="8">
        <f t="array" ref="X86">IF(U86="","", IFERROR(((IF(U$5&lt;&gt;"", U$5*M$5, 0) + SUMPRODUCT(--(U$6:U86&lt;&gt;""), U$6:U86, (M$6:M86-M$5:M85)))/1000), ""))</f>
        <v/>
      </c>
    </row>
    <row r="87">
      <c r="A87" s="1">
        <f>A86+20</f>
        <v/>
      </c>
      <c r="B87" s="1">
        <f>C86</f>
        <v/>
      </c>
      <c r="E87" t="inlineStr">
        <is>
          <t>60mL/3s/30s</t>
        </is>
      </c>
      <c r="I87" s="1">
        <f>IF(C87="", "", (B87-C87)*1000/(A87-A86))</f>
        <v/>
      </c>
      <c r="J87" s="1">
        <f>IF(I87="","",I87/F$2/3)</f>
        <v/>
      </c>
      <c r="K87" s="1">
        <f>IF(I87="","", 100*_xlfn.STDEV.P(I86:I87)/AVERAGE(I86:I87))</f>
        <v/>
      </c>
      <c r="L87" s="8">
        <f t="array" ref="L87">IF(I87="","", IFERROR(((IF(I$5&lt;&gt;"", I$5*A$5, 0) + SUMPRODUCT(--(I$6:I87&lt;&gt;""), I$6:I87, (A$6:A87-A$5:A86)))/1000), ""))</f>
        <v/>
      </c>
      <c r="M87" s="1">
        <f>M86+20</f>
        <v/>
      </c>
      <c r="N87" s="1">
        <f>O86</f>
        <v/>
      </c>
      <c r="Q87" t="inlineStr">
        <is>
          <t>60mL/3s/30s</t>
        </is>
      </c>
      <c r="U87" s="1">
        <f>IF(O87="", "", (N87-O87)*1000/(M87-M86))</f>
        <v/>
      </c>
      <c r="V87" s="1">
        <f>IF(U87="","",U87/R$2/3)</f>
        <v/>
      </c>
      <c r="W87" s="1">
        <f>IF(U87="","", 100*_xlfn.STDEV.P(U86:U87)/AVERAGE(U86:U87))</f>
        <v/>
      </c>
      <c r="X87" s="8">
        <f t="array" ref="X87">IF(U87="","", IFERROR(((IF(U$5&lt;&gt;"", U$5*M$5, 0) + SUMPRODUCT(--(U$6:U87&lt;&gt;""), U$6:U87, (M$6:M87-M$5:M86)))/1000), ""))</f>
        <v/>
      </c>
    </row>
    <row r="88">
      <c r="A88" s="1">
        <f>A87+20</f>
        <v/>
      </c>
      <c r="B88" s="1">
        <f>C87</f>
        <v/>
      </c>
      <c r="E88" t="inlineStr">
        <is>
          <t>60mL/3s/30s</t>
        </is>
      </c>
      <c r="I88" s="1">
        <f>IF(C88="", "", (B88-C88)*1000/(A88-A87))</f>
        <v/>
      </c>
      <c r="J88" s="1">
        <f>IF(I88="","",I88/F$2/3)</f>
        <v/>
      </c>
      <c r="K88" s="1">
        <f>IF(I88="","", 100*_xlfn.STDEV.P(I87:I88)/AVERAGE(I87:I88))</f>
        <v/>
      </c>
      <c r="L88" s="8">
        <f t="array" ref="L88">IF(I88="","", IFERROR(((IF(I$5&lt;&gt;"", I$5*A$5, 0) + SUMPRODUCT(--(I$6:I88&lt;&gt;""), I$6:I88, (A$6:A88-A$5:A87)))/1000), ""))</f>
        <v/>
      </c>
      <c r="M88" s="1">
        <f>M87+20</f>
        <v/>
      </c>
      <c r="N88" s="1">
        <f>O87</f>
        <v/>
      </c>
      <c r="Q88" t="inlineStr">
        <is>
          <t>60mL/3s/30s</t>
        </is>
      </c>
      <c r="U88" s="1">
        <f>IF(O88="", "", (N88-O88)*1000/(M88-M87))</f>
        <v/>
      </c>
      <c r="V88" s="1">
        <f>IF(U88="","",U88/R$2/3)</f>
        <v/>
      </c>
      <c r="W88" s="1">
        <f>IF(U88="","", 100*_xlfn.STDEV.P(U87:U88)/AVERAGE(U87:U88))</f>
        <v/>
      </c>
      <c r="X88" s="8">
        <f t="array" ref="X88">IF(U88="","", IFERROR(((IF(U$5&lt;&gt;"", U$5*M$5, 0) + SUMPRODUCT(--(U$6:U88&lt;&gt;""), U$6:U88, (M$6:M88-M$5:M87)))/1000), ""))</f>
        <v/>
      </c>
    </row>
    <row r="89">
      <c r="A89" s="1">
        <f>A88+20</f>
        <v/>
      </c>
      <c r="B89" s="1">
        <f>C88</f>
        <v/>
      </c>
      <c r="E89" t="inlineStr">
        <is>
          <t>60mL/3s/30s</t>
        </is>
      </c>
      <c r="I89" s="1">
        <f>IF(C89="", "", (B89-C89)*1000/(A89-A88))</f>
        <v/>
      </c>
      <c r="J89" s="1">
        <f>IF(I89="","",I89/F$2/3)</f>
        <v/>
      </c>
      <c r="K89" s="1">
        <f>IF(I89="","", 100*_xlfn.STDEV.P(I88:I89)/AVERAGE(I88:I89))</f>
        <v/>
      </c>
      <c r="L89" s="8">
        <f t="array" ref="L89">IF(I89="","", IFERROR(((IF(I$5&lt;&gt;"", I$5*A$5, 0) + SUMPRODUCT(--(I$6:I89&lt;&gt;""), I$6:I89, (A$6:A89-A$5:A88)))/1000), ""))</f>
        <v/>
      </c>
      <c r="M89" s="1">
        <f>M88+20</f>
        <v/>
      </c>
      <c r="N89" s="1">
        <f>O88</f>
        <v/>
      </c>
      <c r="Q89" t="inlineStr">
        <is>
          <t>60mL/3s/30s</t>
        </is>
      </c>
      <c r="U89" s="1">
        <f>IF(O89="", "", (N89-O89)*1000/(M89-M88))</f>
        <v/>
      </c>
      <c r="V89" s="1">
        <f>IF(U89="","",U89/R$2/3)</f>
        <v/>
      </c>
      <c r="W89" s="1">
        <f>IF(U89="","", 100*_xlfn.STDEV.P(U88:U89)/AVERAGE(U88:U89))</f>
        <v/>
      </c>
      <c r="X89" s="8">
        <f t="array" ref="X89">IF(U89="","", IFERROR(((IF(U$5&lt;&gt;"", U$5*M$5, 0) + SUMPRODUCT(--(U$6:U89&lt;&gt;""), U$6:U89, (M$6:M89-M$5:M88)))/1000), ""))</f>
        <v/>
      </c>
    </row>
    <row r="90">
      <c r="A90" s="1">
        <f>A89+20</f>
        <v/>
      </c>
      <c r="B90" s="1">
        <f>C89</f>
        <v/>
      </c>
      <c r="E90" t="inlineStr">
        <is>
          <t>60mL/3s/30s</t>
        </is>
      </c>
      <c r="I90" s="1">
        <f>IF(C90="", "", (B90-C90)*1000/(A90-A89))</f>
        <v/>
      </c>
      <c r="J90" s="1">
        <f>IF(I90="","",I90/F$2/3)</f>
        <v/>
      </c>
      <c r="K90" s="1">
        <f>IF(I90="","", 100*_xlfn.STDEV.P(I89:I90)/AVERAGE(I89:I90))</f>
        <v/>
      </c>
      <c r="L90" s="8">
        <f t="array" ref="L90">IF(I90="","", IFERROR(((IF(I$5&lt;&gt;"", I$5*A$5, 0) + SUMPRODUCT(--(I$6:I90&lt;&gt;""), I$6:I90, (A$6:A90-A$5:A89)))/1000), ""))</f>
        <v/>
      </c>
      <c r="M90" s="1">
        <f>M89+20</f>
        <v/>
      </c>
      <c r="N90" s="1">
        <f>O89</f>
        <v/>
      </c>
      <c r="Q90" t="inlineStr">
        <is>
          <t>60mL/3s/30s</t>
        </is>
      </c>
      <c r="U90" s="1">
        <f>IF(O90="", "", (N90-O90)*1000/(M90-M89))</f>
        <v/>
      </c>
      <c r="V90" s="1">
        <f>IF(U90="","",U90/R$2/3)</f>
        <v/>
      </c>
      <c r="W90" s="1">
        <f>IF(U90="","", 100*_xlfn.STDEV.P(U89:U90)/AVERAGE(U89:U90))</f>
        <v/>
      </c>
      <c r="X90" s="8">
        <f t="array" ref="X90">IF(U90="","", IFERROR(((IF(U$5&lt;&gt;"", U$5*M$5, 0) + SUMPRODUCT(--(U$6:U90&lt;&gt;""), U$6:U90, (M$6:M90-M$5:M89)))/1000), ""))</f>
        <v/>
      </c>
    </row>
    <row r="91">
      <c r="A91" s="1">
        <f>A90+20</f>
        <v/>
      </c>
      <c r="B91" s="1">
        <f>C90</f>
        <v/>
      </c>
      <c r="E91" t="inlineStr">
        <is>
          <t>60mL/3s/30s</t>
        </is>
      </c>
      <c r="I91" s="1">
        <f>IF(C91="", "", (B91-C91)*1000/(A91-A90))</f>
        <v/>
      </c>
      <c r="J91" s="1">
        <f>IF(I91="","",I91/F$2/3)</f>
        <v/>
      </c>
      <c r="K91" s="1">
        <f>IF(I91="","", 100*_xlfn.STDEV.P(I90:I91)/AVERAGE(I90:I91))</f>
        <v/>
      </c>
      <c r="L91" s="8">
        <f t="array" ref="L91">IF(I91="","", IFERROR(((IF(I$5&lt;&gt;"", I$5*A$5, 0) + SUMPRODUCT(--(I$6:I91&lt;&gt;""), I$6:I91, (A$6:A91-A$5:A90)))/1000), ""))</f>
        <v/>
      </c>
      <c r="M91" s="1">
        <f>M90+20</f>
        <v/>
      </c>
      <c r="N91" s="1">
        <f>O90</f>
        <v/>
      </c>
      <c r="Q91" t="inlineStr">
        <is>
          <t>60mL/3s/30s</t>
        </is>
      </c>
      <c r="U91" s="1">
        <f>IF(O91="", "", (N91-O91)*1000/(M91-M90))</f>
        <v/>
      </c>
      <c r="V91" s="1">
        <f>IF(U91="","",U91/R$2/3)</f>
        <v/>
      </c>
      <c r="W91" s="1">
        <f>IF(U91="","", 100*_xlfn.STDEV.P(U90:U91)/AVERAGE(U90:U91))</f>
        <v/>
      </c>
      <c r="X91" s="8">
        <f t="array" ref="X91">IF(U91="","", IFERROR(((IF(U$5&lt;&gt;"", U$5*M$5, 0) + SUMPRODUCT(--(U$6:U91&lt;&gt;""), U$6:U91, (M$6:M91-M$5:M90)))/1000), ""))</f>
        <v/>
      </c>
    </row>
    <row r="92">
      <c r="A92" s="1">
        <f>A91+20</f>
        <v/>
      </c>
      <c r="B92" s="1">
        <f>C91</f>
        <v/>
      </c>
      <c r="E92" t="inlineStr">
        <is>
          <t>60mL/3s/30s</t>
        </is>
      </c>
      <c r="I92" s="1">
        <f>IF(C92="", "", (B92-C92)*1000/(A92-A91))</f>
        <v/>
      </c>
      <c r="J92" s="1">
        <f>IF(I92="","",I92/F$2/3)</f>
        <v/>
      </c>
      <c r="K92" s="1">
        <f>IF(I92="","", 100*_xlfn.STDEV.P(I91:I92)/AVERAGE(I91:I92))</f>
        <v/>
      </c>
      <c r="L92" s="8">
        <f t="array" ref="L92">IF(I92="","", IFERROR(((IF(I$5&lt;&gt;"", I$5*A$5, 0) + SUMPRODUCT(--(I$6:I92&lt;&gt;""), I$6:I92, (A$6:A92-A$5:A91)))/1000), ""))</f>
        <v/>
      </c>
      <c r="M92" s="1">
        <f>M91+20</f>
        <v/>
      </c>
      <c r="N92" s="1">
        <f>O91</f>
        <v/>
      </c>
      <c r="Q92" t="inlineStr">
        <is>
          <t>60mL/3s/30s</t>
        </is>
      </c>
      <c r="U92" s="1">
        <f>IF(O92="", "", (N92-O92)*1000/(M92-M91))</f>
        <v/>
      </c>
      <c r="V92" s="1">
        <f>IF(U92="","",U92/R$2/3)</f>
        <v/>
      </c>
      <c r="W92" s="1">
        <f>IF(U92="","", 100*_xlfn.STDEV.P(U91:U92)/AVERAGE(U91:U92))</f>
        <v/>
      </c>
      <c r="X92" s="8">
        <f t="array" ref="X92">IF(U92="","", IFERROR(((IF(U$5&lt;&gt;"", U$5*M$5, 0) + SUMPRODUCT(--(U$6:U92&lt;&gt;""), U$6:U92, (M$6:M92-M$5:M91)))/1000), ""))</f>
        <v/>
      </c>
    </row>
    <row r="93">
      <c r="A93" s="1">
        <f>A92+20</f>
        <v/>
      </c>
      <c r="B93" s="1">
        <f>C92</f>
        <v/>
      </c>
      <c r="E93" t="inlineStr">
        <is>
          <t>60mL/3s/30s</t>
        </is>
      </c>
      <c r="I93" s="1">
        <f>IF(C93="", "", (B93-C93)*1000/(A93-A92))</f>
        <v/>
      </c>
      <c r="J93" s="1">
        <f>IF(I93="","",I93/F$2/3)</f>
        <v/>
      </c>
      <c r="K93" s="1">
        <f>IF(I93="","", 100*_xlfn.STDEV.P(I92:I93)/AVERAGE(I92:I93))</f>
        <v/>
      </c>
      <c r="L93" s="8">
        <f t="array" ref="L93">IF(I93="","", IFERROR(((IF(I$5&lt;&gt;"", I$5*A$5, 0) + SUMPRODUCT(--(I$6:I93&lt;&gt;""), I$6:I93, (A$6:A93-A$5:A92)))/1000), ""))</f>
        <v/>
      </c>
      <c r="M93" s="1">
        <f>M92+20</f>
        <v/>
      </c>
      <c r="N93" s="1">
        <f>O92</f>
        <v/>
      </c>
      <c r="Q93" t="inlineStr">
        <is>
          <t>60mL/3s/30s</t>
        </is>
      </c>
      <c r="U93" s="1">
        <f>IF(O93="", "", (N93-O93)*1000/(M93-M92))</f>
        <v/>
      </c>
      <c r="V93" s="1">
        <f>IF(U93="","",U93/R$2/3)</f>
        <v/>
      </c>
      <c r="W93" s="1">
        <f>IF(U93="","", 100*_xlfn.STDEV.P(U92:U93)/AVERAGE(U92:U93))</f>
        <v/>
      </c>
      <c r="X93" s="8">
        <f t="array" ref="X93">IF(U93="","", IFERROR(((IF(U$5&lt;&gt;"", U$5*M$5, 0) + SUMPRODUCT(--(U$6:U93&lt;&gt;""), U$6:U93, (M$6:M93-M$5:M92)))/1000), ""))</f>
        <v/>
      </c>
    </row>
    <row r="94">
      <c r="A94" s="1">
        <f>A93+20</f>
        <v/>
      </c>
      <c r="B94" s="1">
        <f>C93</f>
        <v/>
      </c>
      <c r="E94" t="inlineStr">
        <is>
          <t>60mL/3s/30s</t>
        </is>
      </c>
      <c r="I94" s="1">
        <f>IF(C94="", "", (B94-C94)*1000/(A94-A93))</f>
        <v/>
      </c>
      <c r="J94" s="1">
        <f>IF(I94="","",I94/F$2/3)</f>
        <v/>
      </c>
      <c r="K94" s="1">
        <f>IF(I94="","", 100*_xlfn.STDEV.P(I93:I94)/AVERAGE(I93:I94))</f>
        <v/>
      </c>
      <c r="L94" s="8">
        <f t="array" ref="L94">IF(I94="","", IFERROR(((IF(I$5&lt;&gt;"", I$5*A$5, 0) + SUMPRODUCT(--(I$6:I94&lt;&gt;""), I$6:I94, (A$6:A94-A$5:A93)))/1000), ""))</f>
        <v/>
      </c>
      <c r="M94" s="1">
        <f>M93+20</f>
        <v/>
      </c>
      <c r="N94" s="1">
        <f>O93</f>
        <v/>
      </c>
      <c r="Q94" t="inlineStr">
        <is>
          <t>60mL/3s/30s</t>
        </is>
      </c>
      <c r="U94" s="1">
        <f>IF(O94="", "", (N94-O94)*1000/(M94-M93))</f>
        <v/>
      </c>
      <c r="V94" s="1">
        <f>IF(U94="","",U94/R$2/3)</f>
        <v/>
      </c>
      <c r="W94" s="1">
        <f>IF(U94="","", 100*_xlfn.STDEV.P(U93:U94)/AVERAGE(U93:U94))</f>
        <v/>
      </c>
      <c r="X94" s="8">
        <f t="array" ref="X94">IF(U94="","", IFERROR(((IF(U$5&lt;&gt;"", U$5*M$5, 0) + SUMPRODUCT(--(U$6:U94&lt;&gt;""), U$6:U94, (M$6:M94-M$5:M93)))/1000), ""))</f>
        <v/>
      </c>
    </row>
    <row r="95">
      <c r="A95" s="1">
        <f>A94+20</f>
        <v/>
      </c>
      <c r="B95" s="1">
        <f>C94</f>
        <v/>
      </c>
      <c r="E95" t="inlineStr">
        <is>
          <t>60mL/3s/30s</t>
        </is>
      </c>
      <c r="I95" s="1">
        <f>IF(C95="", "", (B95-C95)*1000/(A95-A94))</f>
        <v/>
      </c>
      <c r="J95" s="1">
        <f>IF(I95="","",I95/F$2/3)</f>
        <v/>
      </c>
      <c r="K95" s="1">
        <f>IF(I95="","", 100*_xlfn.STDEV.P(I94:I95)/AVERAGE(I94:I95))</f>
        <v/>
      </c>
      <c r="L95" s="8">
        <f t="array" ref="L95">IF(I95="","", IFERROR(((IF(I$5&lt;&gt;"", I$5*A$5, 0) + SUMPRODUCT(--(I$6:I95&lt;&gt;""), I$6:I95, (A$6:A95-A$5:A94)))/1000), ""))</f>
        <v/>
      </c>
      <c r="M95" s="1">
        <f>M94+20</f>
        <v/>
      </c>
      <c r="N95" s="1">
        <f>O94</f>
        <v/>
      </c>
      <c r="Q95" t="inlineStr">
        <is>
          <t>60mL/3s/30s</t>
        </is>
      </c>
      <c r="U95" s="1">
        <f>IF(O95="", "", (N95-O95)*1000/(M95-M94))</f>
        <v/>
      </c>
      <c r="V95" s="1">
        <f>IF(U95="","",U95/R$2/3)</f>
        <v/>
      </c>
      <c r="W95" s="1">
        <f>IF(U95="","", 100*_xlfn.STDEV.P(U94:U95)/AVERAGE(U94:U95))</f>
        <v/>
      </c>
      <c r="X95" s="8">
        <f t="array" ref="X95">IF(U95="","", IFERROR(((IF(U$5&lt;&gt;"", U$5*M$5, 0) + SUMPRODUCT(--(U$6:U95&lt;&gt;""), U$6:U95, (M$6:M95-M$5:M94)))/1000), ""))</f>
        <v/>
      </c>
    </row>
    <row r="96">
      <c r="A96" s="1">
        <f>A95+20</f>
        <v/>
      </c>
      <c r="B96" s="1">
        <f>C95</f>
        <v/>
      </c>
      <c r="E96" t="inlineStr">
        <is>
          <t>60mL/3s/30s</t>
        </is>
      </c>
      <c r="I96" s="1">
        <f>IF(C96="", "", (B96-C96)*1000/(A96-A95))</f>
        <v/>
      </c>
      <c r="J96" s="1">
        <f>IF(I96="","",I96/F$2/3)</f>
        <v/>
      </c>
      <c r="K96" s="1">
        <f>IF(I96="","", 100*_xlfn.STDEV.P(I95:I96)/AVERAGE(I95:I96))</f>
        <v/>
      </c>
      <c r="L96" s="8">
        <f t="array" ref="L96">IF(I96="","", IFERROR(((IF(I$5&lt;&gt;"", I$5*A$5, 0) + SUMPRODUCT(--(I$6:I96&lt;&gt;""), I$6:I96, (A$6:A96-A$5:A95)))/1000), ""))</f>
        <v/>
      </c>
      <c r="M96" s="1">
        <f>M95+20</f>
        <v/>
      </c>
      <c r="N96" s="1">
        <f>O95</f>
        <v/>
      </c>
      <c r="Q96" t="inlineStr">
        <is>
          <t>60mL/3s/30s</t>
        </is>
      </c>
      <c r="U96" s="1">
        <f>IF(O96="", "", (N96-O96)*1000/(M96-M95))</f>
        <v/>
      </c>
      <c r="V96" s="1">
        <f>IF(U96="","",U96/R$2/3)</f>
        <v/>
      </c>
      <c r="W96" s="1">
        <f>IF(U96="","", 100*_xlfn.STDEV.P(U95:U96)/AVERAGE(U95:U96))</f>
        <v/>
      </c>
      <c r="X96" s="8">
        <f t="array" ref="X96">IF(U96="","", IFERROR(((IF(U$5&lt;&gt;"", U$5*M$5, 0) + SUMPRODUCT(--(U$6:U96&lt;&gt;""), U$6:U96, (M$6:M96-M$5:M95)))/1000), ""))</f>
        <v/>
      </c>
    </row>
    <row r="97">
      <c r="A97" s="1">
        <f>A96+20</f>
        <v/>
      </c>
      <c r="B97" s="1">
        <f>C96</f>
        <v/>
      </c>
      <c r="E97" t="inlineStr">
        <is>
          <t>60mL/3s/30s</t>
        </is>
      </c>
      <c r="I97" s="1">
        <f>IF(C97="", "", (B97-C97)*1000/(A97-A96))</f>
        <v/>
      </c>
      <c r="J97" s="1">
        <f>IF(I97="","",I97/F$2/3)</f>
        <v/>
      </c>
      <c r="K97" s="1">
        <f>IF(I97="","", 100*_xlfn.STDEV.P(I96:I97)/AVERAGE(I96:I97))</f>
        <v/>
      </c>
      <c r="L97" s="8">
        <f t="array" ref="L97">IF(I97="","", IFERROR(((IF(I$5&lt;&gt;"", I$5*A$5, 0) + SUMPRODUCT(--(I$6:I97&lt;&gt;""), I$6:I97, (A$6:A97-A$5:A96)))/1000), ""))</f>
        <v/>
      </c>
      <c r="M97" s="1">
        <f>M96+20</f>
        <v/>
      </c>
      <c r="N97" s="1">
        <f>O96</f>
        <v/>
      </c>
      <c r="Q97" t="inlineStr">
        <is>
          <t>60mL/3s/30s</t>
        </is>
      </c>
      <c r="U97" s="1">
        <f>IF(O97="", "", (N97-O97)*1000/(M97-M96))</f>
        <v/>
      </c>
      <c r="V97" s="1">
        <f>IF(U97="","",U97/R$2/3)</f>
        <v/>
      </c>
      <c r="W97" s="1">
        <f>IF(U97="","", 100*_xlfn.STDEV.P(U96:U97)/AVERAGE(U96:U97))</f>
        <v/>
      </c>
      <c r="X97" s="8">
        <f t="array" ref="X97">IF(U97="","", IFERROR(((IF(U$5&lt;&gt;"", U$5*M$5, 0) + SUMPRODUCT(--(U$6:U97&lt;&gt;""), U$6:U97, (M$6:M97-M$5:M96)))/1000), ""))</f>
        <v/>
      </c>
    </row>
    <row r="98">
      <c r="A98" s="1">
        <f>A97+20</f>
        <v/>
      </c>
      <c r="B98" s="1">
        <f>C97</f>
        <v/>
      </c>
      <c r="E98" t="inlineStr">
        <is>
          <t>60mL/3s/30s</t>
        </is>
      </c>
      <c r="I98" s="1">
        <f>IF(C98="", "", (B98-C98)*1000/(A98-A97))</f>
        <v/>
      </c>
      <c r="J98" s="1">
        <f>IF(I98="","",I98/F$2/3)</f>
        <v/>
      </c>
      <c r="K98" s="1">
        <f>IF(I98="","", 100*_xlfn.STDEV.P(I97:I98)/AVERAGE(I97:I98))</f>
        <v/>
      </c>
      <c r="L98" s="8">
        <f t="array" ref="L98">IF(I98="","", IFERROR(((IF(I$5&lt;&gt;"", I$5*A$5, 0) + SUMPRODUCT(--(I$6:I98&lt;&gt;""), I$6:I98, (A$6:A98-A$5:A97)))/1000), ""))</f>
        <v/>
      </c>
      <c r="M98" s="1">
        <f>M97+20</f>
        <v/>
      </c>
      <c r="N98" s="1">
        <f>O97</f>
        <v/>
      </c>
      <c r="Q98" t="inlineStr">
        <is>
          <t>60mL/3s/30s</t>
        </is>
      </c>
      <c r="U98" s="1">
        <f>IF(O98="", "", (N98-O98)*1000/(M98-M97))</f>
        <v/>
      </c>
      <c r="V98" s="1">
        <f>IF(U98="","",U98/R$2/3)</f>
        <v/>
      </c>
      <c r="W98" s="1">
        <f>IF(U98="","", 100*_xlfn.STDEV.P(U97:U98)/AVERAGE(U97:U98))</f>
        <v/>
      </c>
      <c r="X98" s="8">
        <f t="array" ref="X98">IF(U98="","", IFERROR(((IF(U$5&lt;&gt;"", U$5*M$5, 0) + SUMPRODUCT(--(U$6:U98&lt;&gt;""), U$6:U98, (M$6:M98-M$5:M97)))/1000), ""))</f>
        <v/>
      </c>
    </row>
    <row r="99">
      <c r="A99" s="1">
        <f>A98+20</f>
        <v/>
      </c>
      <c r="B99" s="1">
        <f>C98</f>
        <v/>
      </c>
      <c r="E99" t="inlineStr">
        <is>
          <t>60mL/3s/30s</t>
        </is>
      </c>
      <c r="I99" s="1">
        <f>IF(C99="", "", (B99-C99)*1000/(A99-A98))</f>
        <v/>
      </c>
      <c r="J99" s="1">
        <f>IF(I99="","",I99/F$2/3)</f>
        <v/>
      </c>
      <c r="K99" s="1">
        <f>IF(I99="","", 100*_xlfn.STDEV.P(I98:I99)/AVERAGE(I98:I99))</f>
        <v/>
      </c>
      <c r="L99" s="8">
        <f t="array" ref="L99">IF(I99="","", IFERROR(((IF(I$5&lt;&gt;"", I$5*A$5, 0) + SUMPRODUCT(--(I$6:I99&lt;&gt;""), I$6:I99, (A$6:A99-A$5:A98)))/1000), ""))</f>
        <v/>
      </c>
      <c r="M99" s="1">
        <f>M98+20</f>
        <v/>
      </c>
      <c r="N99" s="1">
        <f>O98</f>
        <v/>
      </c>
      <c r="Q99" t="inlineStr">
        <is>
          <t>60mL/3s/30s</t>
        </is>
      </c>
      <c r="U99" s="1">
        <f>IF(O99="", "", (N99-O99)*1000/(M99-M98))</f>
        <v/>
      </c>
      <c r="V99" s="1">
        <f>IF(U99="","",U99/R$2/3)</f>
        <v/>
      </c>
      <c r="W99" s="1">
        <f>IF(U99="","", 100*_xlfn.STDEV.P(U98:U99)/AVERAGE(U98:U99))</f>
        <v/>
      </c>
      <c r="X99" s="8">
        <f t="array" ref="X99">IF(U99="","", IFERROR(((IF(U$5&lt;&gt;"", U$5*M$5, 0) + SUMPRODUCT(--(U$6:U99&lt;&gt;""), U$6:U99, (M$6:M99-M$5:M98)))/1000), ""))</f>
        <v/>
      </c>
    </row>
    <row r="100">
      <c r="A100" s="1">
        <f>A99+20</f>
        <v/>
      </c>
      <c r="B100" s="1">
        <f>C99</f>
        <v/>
      </c>
      <c r="E100" t="inlineStr">
        <is>
          <t>60mL/3s/30s</t>
        </is>
      </c>
      <c r="I100" s="1">
        <f>IF(C100="", "", (B100-C100)*1000/(A100-A99))</f>
        <v/>
      </c>
      <c r="J100" s="1">
        <f>IF(I100="","",I100/F$2/3)</f>
        <v/>
      </c>
      <c r="K100" s="1">
        <f>IF(I100="","", 100*_xlfn.STDEV.P(I99:I100)/AVERAGE(I99:I100))</f>
        <v/>
      </c>
      <c r="L100" s="8">
        <f t="array" ref="L100">IF(I100="","", IFERROR(((IF(I$5&lt;&gt;"", I$5*A$5, 0) + SUMPRODUCT(--(I$6:I100&lt;&gt;""), I$6:I100, (A$6:A100-A$5:A99)))/1000), ""))</f>
        <v/>
      </c>
      <c r="M100" s="1">
        <f>M99+20</f>
        <v/>
      </c>
      <c r="N100" s="1">
        <f>O99</f>
        <v/>
      </c>
      <c r="Q100" t="inlineStr">
        <is>
          <t>60mL/3s/30s</t>
        </is>
      </c>
      <c r="U100" s="1">
        <f>IF(O100="", "", (N100-O100)*1000/(M100-M99))</f>
        <v/>
      </c>
      <c r="V100" s="1">
        <f>IF(U100="","",U100/R$2/3)</f>
        <v/>
      </c>
      <c r="W100" s="1">
        <f>IF(U100="","", 100*_xlfn.STDEV.P(U99:U100)/AVERAGE(U99:U100))</f>
        <v/>
      </c>
      <c r="X100" s="8">
        <f t="array" ref="X100">IF(U100="","", IFERROR(((IF(U$5&lt;&gt;"", U$5*M$5, 0) + SUMPRODUCT(--(U$6:U100&lt;&gt;""), U$6:U100, (M$6:M100-M$5:M99)))/1000), ""))</f>
        <v/>
      </c>
    </row>
    <row r="101">
      <c r="A101" s="1">
        <f>A100+20</f>
        <v/>
      </c>
      <c r="B101" s="1">
        <f>C100</f>
        <v/>
      </c>
      <c r="E101" t="inlineStr">
        <is>
          <t>60mL/3s/30s</t>
        </is>
      </c>
      <c r="I101" s="1">
        <f>IF(C101="", "", (B101-C101)*1000/(A101-A100))</f>
        <v/>
      </c>
      <c r="J101" s="1">
        <f>IF(I101="","",I101/F$2/3)</f>
        <v/>
      </c>
      <c r="K101" s="1">
        <f>IF(I101="","", 100*_xlfn.STDEV.P(I100:I101)/AVERAGE(I100:I101))</f>
        <v/>
      </c>
      <c r="L101" s="8">
        <f t="array" ref="L101">IF(I101="","", IFERROR(((IF(I$5&lt;&gt;"", I$5*A$5, 0) + SUMPRODUCT(--(I$6:I101&lt;&gt;""), I$6:I101, (A$6:A101-A$5:A100)))/1000), ""))</f>
        <v/>
      </c>
      <c r="M101" s="1">
        <f>M100+20</f>
        <v/>
      </c>
      <c r="N101" s="1">
        <f>O100</f>
        <v/>
      </c>
      <c r="Q101" t="inlineStr">
        <is>
          <t>60mL/3s/30s</t>
        </is>
      </c>
      <c r="U101" s="1">
        <f>IF(O101="", "", (N101-O101)*1000/(M101-M100))</f>
        <v/>
      </c>
      <c r="V101" s="1">
        <f>IF(U101="","",U101/R$2/3)</f>
        <v/>
      </c>
      <c r="W101" s="1">
        <f>IF(U101="","", 100*_xlfn.STDEV.P(U100:U101)/AVERAGE(U100:U101))</f>
        <v/>
      </c>
      <c r="X101" s="8">
        <f t="array" ref="X101">IF(U101="","", IFERROR(((IF(U$5&lt;&gt;"", U$5*M$5, 0) + SUMPRODUCT(--(U$6:U101&lt;&gt;""), U$6:U101, (M$6:M101-M$5:M100)))/1000), ""))</f>
        <v/>
      </c>
    </row>
    <row r="102">
      <c r="A102" s="1">
        <f>A101+20</f>
        <v/>
      </c>
      <c r="B102" s="1">
        <f>C101</f>
        <v/>
      </c>
      <c r="E102" t="inlineStr">
        <is>
          <t>60mL/3s/30s</t>
        </is>
      </c>
      <c r="I102" s="1">
        <f>IF(C102="", "", (B102-C102)*1000/(A102-A101))</f>
        <v/>
      </c>
      <c r="J102" s="1">
        <f>IF(I102="","",I102/F$2/3)</f>
        <v/>
      </c>
      <c r="K102" s="1">
        <f>IF(I102="","", 100*_xlfn.STDEV.P(I101:I102)/AVERAGE(I101:I102))</f>
        <v/>
      </c>
      <c r="L102" s="8">
        <f t="array" ref="L102">IF(I102="","", IFERROR(((IF(I$5&lt;&gt;"", I$5*A$5, 0) + SUMPRODUCT(--(I$6:I102&lt;&gt;""), I$6:I102, (A$6:A102-A$5:A101)))/1000), ""))</f>
        <v/>
      </c>
      <c r="M102" s="1">
        <f>M101+20</f>
        <v/>
      </c>
      <c r="N102" s="1">
        <f>O101</f>
        <v/>
      </c>
      <c r="Q102" t="inlineStr">
        <is>
          <t>60mL/3s/30s</t>
        </is>
      </c>
      <c r="U102" s="1">
        <f>IF(O102="", "", (N102-O102)*1000/(M102-M101))</f>
        <v/>
      </c>
      <c r="V102" s="1">
        <f>IF(U102="","",U102/R$2/3)</f>
        <v/>
      </c>
      <c r="W102" s="1">
        <f>IF(U102="","", 100*_xlfn.STDEV.P(U101:U102)/AVERAGE(U101:U102))</f>
        <v/>
      </c>
      <c r="X102" s="8">
        <f t="array" ref="X102">IF(U102="","", IFERROR(((IF(U$5&lt;&gt;"", U$5*M$5, 0) + SUMPRODUCT(--(U$6:U102&lt;&gt;""), U$6:U102, (M$6:M102-M$5:M101)))/1000), ""))</f>
        <v/>
      </c>
    </row>
    <row r="103">
      <c r="A103" s="1">
        <f>A102+20</f>
        <v/>
      </c>
      <c r="B103" s="1">
        <f>C102</f>
        <v/>
      </c>
      <c r="E103" t="inlineStr">
        <is>
          <t>60mL/3s/30s</t>
        </is>
      </c>
      <c r="I103" s="1">
        <f>IF(C103="", "", (B103-C103)*1000/(A103-A102))</f>
        <v/>
      </c>
      <c r="J103" s="1">
        <f>IF(I103="","",I103/F$2/3)</f>
        <v/>
      </c>
      <c r="K103" s="1">
        <f>IF(I103="","", 100*_xlfn.STDEV.P(I102:I103)/AVERAGE(I102:I103))</f>
        <v/>
      </c>
      <c r="L103" s="8">
        <f t="array" ref="L103">IF(I103="","", IFERROR(((IF(I$5&lt;&gt;"", I$5*A$5, 0) + SUMPRODUCT(--(I$6:I103&lt;&gt;""), I$6:I103, (A$6:A103-A$5:A102)))/1000), ""))</f>
        <v/>
      </c>
      <c r="M103" s="1">
        <f>M102+20</f>
        <v/>
      </c>
      <c r="N103" s="1">
        <f>O102</f>
        <v/>
      </c>
      <c r="Q103" t="inlineStr">
        <is>
          <t>60mL/3s/30s</t>
        </is>
      </c>
      <c r="U103" s="1">
        <f>IF(O103="", "", (N103-O103)*1000/(M103-M102))</f>
        <v/>
      </c>
      <c r="V103" s="1">
        <f>IF(U103="","",U103/R$2/3)</f>
        <v/>
      </c>
      <c r="W103" s="1">
        <f>IF(U103="","", 100*_xlfn.STDEV.P(U102:U103)/AVERAGE(U102:U103))</f>
        <v/>
      </c>
      <c r="X103" s="8">
        <f t="array" ref="X103">IF(U103="","", IFERROR(((IF(U$5&lt;&gt;"", U$5*M$5, 0) + SUMPRODUCT(--(U$6:U103&lt;&gt;""), U$6:U103, (M$6:M103-M$5:M102)))/1000), ""))</f>
        <v/>
      </c>
    </row>
    <row r="104">
      <c r="A104" s="1">
        <f>A103+20</f>
        <v/>
      </c>
      <c r="B104" s="1">
        <f>C103</f>
        <v/>
      </c>
      <c r="E104" t="inlineStr">
        <is>
          <t>60mL/3s/30s</t>
        </is>
      </c>
      <c r="I104" s="1">
        <f>IF(C104="", "", (B104-C104)*1000/(A104-A103))</f>
        <v/>
      </c>
      <c r="J104" s="1">
        <f>IF(I104="","",I104/F$2/3)</f>
        <v/>
      </c>
      <c r="K104" s="1">
        <f>IF(I104="","", 100*_xlfn.STDEV.P(I103:I104)/AVERAGE(I103:I104))</f>
        <v/>
      </c>
      <c r="L104" s="8">
        <f t="array" ref="L104">IF(I104="","", IFERROR(((IF(I$5&lt;&gt;"", I$5*A$5, 0) + SUMPRODUCT(--(I$6:I104&lt;&gt;""), I$6:I104, (A$6:A104-A$5:A103)))/1000), ""))</f>
        <v/>
      </c>
      <c r="M104" s="1">
        <f>M103+20</f>
        <v/>
      </c>
      <c r="N104" s="1">
        <f>O103</f>
        <v/>
      </c>
      <c r="Q104" t="inlineStr">
        <is>
          <t>60mL/3s/30s</t>
        </is>
      </c>
      <c r="U104" s="1">
        <f>IF(O104="", "", (N104-O104)*1000/(M104-M103))</f>
        <v/>
      </c>
      <c r="V104" s="1">
        <f>IF(U104="","",U104/R$2/3)</f>
        <v/>
      </c>
      <c r="W104" s="1">
        <f>IF(U104="","", 100*_xlfn.STDEV.P(U103:U104)/AVERAGE(U103:U104))</f>
        <v/>
      </c>
      <c r="X104" s="8">
        <f t="array" ref="X104">IF(U104="","", IFERROR(((IF(U$5&lt;&gt;"", U$5*M$5, 0) + SUMPRODUCT(--(U$6:U104&lt;&gt;""), U$6:U104, (M$6:M104-M$5:M103)))/1000), ""))</f>
        <v/>
      </c>
    </row>
    <row r="105">
      <c r="A105" s="1">
        <f>A104+20</f>
        <v/>
      </c>
      <c r="B105" s="1">
        <f>C104</f>
        <v/>
      </c>
      <c r="E105" t="inlineStr">
        <is>
          <t>60mL/3s/30s</t>
        </is>
      </c>
      <c r="I105" s="1">
        <f>IF(C105="", "", (B105-C105)*1000/(A105-A104))</f>
        <v/>
      </c>
      <c r="J105" s="1">
        <f>IF(I105="","",I105/F$2/3)</f>
        <v/>
      </c>
      <c r="K105" s="1">
        <f>IF(I105="","", 100*_xlfn.STDEV.P(I104:I105)/AVERAGE(I104:I105))</f>
        <v/>
      </c>
      <c r="L105" s="8">
        <f t="array" ref="L105">IF(I105="","", IFERROR(((IF(I$5&lt;&gt;"", I$5*A$5, 0) + SUMPRODUCT(--(I$6:I105&lt;&gt;""), I$6:I105, (A$6:A105-A$5:A104)))/1000), ""))</f>
        <v/>
      </c>
      <c r="M105" s="1">
        <f>M104+20</f>
        <v/>
      </c>
      <c r="N105" s="1">
        <f>O104</f>
        <v/>
      </c>
      <c r="Q105" t="inlineStr">
        <is>
          <t>60mL/3s/30s</t>
        </is>
      </c>
      <c r="U105" s="1">
        <f>IF(O105="", "", (N105-O105)*1000/(M105-M104))</f>
        <v/>
      </c>
      <c r="V105" s="1">
        <f>IF(U105="","",U105/R$2/3)</f>
        <v/>
      </c>
      <c r="W105" s="1">
        <f>IF(U105="","", 100*_xlfn.STDEV.P(U104:U105)/AVERAGE(U104:U105))</f>
        <v/>
      </c>
      <c r="X105" s="8">
        <f t="array" ref="X105">IF(U105="","", IFERROR(((IF(U$5&lt;&gt;"", U$5*M$5, 0) + SUMPRODUCT(--(U$6:U105&lt;&gt;""), U$6:U105, (M$6:M105-M$5:M104)))/1000), ""))</f>
        <v/>
      </c>
    </row>
    <row r="106">
      <c r="A106" s="1">
        <f>A105+20</f>
        <v/>
      </c>
      <c r="B106" s="1">
        <f>C105</f>
        <v/>
      </c>
      <c r="E106" t="inlineStr">
        <is>
          <t>60mL/3s/30s</t>
        </is>
      </c>
      <c r="I106" s="1">
        <f>IF(C106="", "", (B106-C106)*1000/(A106-A105))</f>
        <v/>
      </c>
      <c r="J106" s="1">
        <f>IF(I106="","",I106/F$2/3)</f>
        <v/>
      </c>
      <c r="K106" s="1">
        <f>IF(I106="","", 100*_xlfn.STDEV.P(I105:I106)/AVERAGE(I105:I106))</f>
        <v/>
      </c>
      <c r="L106" s="8">
        <f t="array" ref="L106">IF(I106="","", IFERROR(((IF(I$5&lt;&gt;"", I$5*A$5, 0) + SUMPRODUCT(--(I$6:I106&lt;&gt;""), I$6:I106, (A$6:A106-A$5:A105)))/1000), ""))</f>
        <v/>
      </c>
      <c r="M106" s="1">
        <f>M105+20</f>
        <v/>
      </c>
      <c r="N106" s="1">
        <f>O105</f>
        <v/>
      </c>
      <c r="Q106" t="inlineStr">
        <is>
          <t>60mL/3s/30s</t>
        </is>
      </c>
      <c r="U106" s="1">
        <f>IF(O106="", "", (N106-O106)*1000/(M106-M105))</f>
        <v/>
      </c>
      <c r="V106" s="1">
        <f>IF(U106="","",U106/R$2/3)</f>
        <v/>
      </c>
      <c r="W106" s="1">
        <f>IF(U106="","", 100*_xlfn.STDEV.P(U105:U106)/AVERAGE(U105:U106))</f>
        <v/>
      </c>
      <c r="X106" s="8">
        <f t="array" ref="X106">IF(U106="","", IFERROR(((IF(U$5&lt;&gt;"", U$5*M$5, 0) + SUMPRODUCT(--(U$6:U106&lt;&gt;""), U$6:U106, (M$6:M106-M$5:M105)))/1000), ""))</f>
        <v/>
      </c>
    </row>
    <row r="107">
      <c r="A107" s="1">
        <f>A106+20</f>
        <v/>
      </c>
      <c r="B107" s="1">
        <f>C106</f>
        <v/>
      </c>
      <c r="E107" t="inlineStr">
        <is>
          <t>60mL/3s/30s</t>
        </is>
      </c>
      <c r="I107" s="1">
        <f>IF(C107="", "", (B107-C107)*1000/(A107-A106))</f>
        <v/>
      </c>
      <c r="J107" s="1">
        <f>IF(I107="","",I107/F$2/3)</f>
        <v/>
      </c>
      <c r="K107" s="1">
        <f>IF(I107="","", 100*_xlfn.STDEV.P(I106:I107)/AVERAGE(I106:I107))</f>
        <v/>
      </c>
      <c r="L107" s="8">
        <f t="array" ref="L107">IF(I107="","", IFERROR(((IF(I$5&lt;&gt;"", I$5*A$5, 0) + SUMPRODUCT(--(I$6:I107&lt;&gt;""), I$6:I107, (A$6:A107-A$5:A106)))/1000), ""))</f>
        <v/>
      </c>
      <c r="M107" s="1">
        <f>M106+20</f>
        <v/>
      </c>
      <c r="N107" s="1">
        <f>O106</f>
        <v/>
      </c>
      <c r="Q107" t="inlineStr">
        <is>
          <t>60mL/3s/30s</t>
        </is>
      </c>
      <c r="U107" s="1">
        <f>IF(O107="", "", (N107-O107)*1000/(M107-M106))</f>
        <v/>
      </c>
      <c r="V107" s="1">
        <f>IF(U107="","",U107/R$2/3)</f>
        <v/>
      </c>
      <c r="W107" s="1">
        <f>IF(U107="","", 100*_xlfn.STDEV.P(U106:U107)/AVERAGE(U106:U107))</f>
        <v/>
      </c>
      <c r="X107" s="8">
        <f t="array" ref="X107">IF(U107="","", IFERROR(((IF(U$5&lt;&gt;"", U$5*M$5, 0) + SUMPRODUCT(--(U$6:U107&lt;&gt;""), U$6:U107, (M$6:M107-M$5:M106)))/1000), ""))</f>
        <v/>
      </c>
    </row>
    <row r="108">
      <c r="A108" s="1">
        <f>A107+20</f>
        <v/>
      </c>
      <c r="B108" s="1">
        <f>C107</f>
        <v/>
      </c>
      <c r="E108" t="inlineStr">
        <is>
          <t>60mL/3s/30s</t>
        </is>
      </c>
      <c r="I108" s="1">
        <f>IF(C108="", "", (B108-C108)*1000/(A108-A107))</f>
        <v/>
      </c>
      <c r="J108" s="1">
        <f>IF(I108="","",I108/F$2/3)</f>
        <v/>
      </c>
      <c r="K108" s="1">
        <f>IF(I108="","", 100*_xlfn.STDEV.P(I107:I108)/AVERAGE(I107:I108))</f>
        <v/>
      </c>
      <c r="L108" s="8">
        <f t="array" ref="L108">IF(I108="","", IFERROR(((IF(I$5&lt;&gt;"", I$5*A$5, 0) + SUMPRODUCT(--(I$6:I108&lt;&gt;""), I$6:I108, (A$6:A108-A$5:A107)))/1000), ""))</f>
        <v/>
      </c>
      <c r="M108" s="1">
        <f>M107+20</f>
        <v/>
      </c>
      <c r="N108" s="1">
        <f>O107</f>
        <v/>
      </c>
      <c r="Q108" t="inlineStr">
        <is>
          <t>60mL/3s/30s</t>
        </is>
      </c>
      <c r="U108" s="1">
        <f>IF(O108="", "", (N108-O108)*1000/(M108-M107))</f>
        <v/>
      </c>
      <c r="V108" s="1">
        <f>IF(U108="","",U108/R$2/3)</f>
        <v/>
      </c>
      <c r="W108" s="1">
        <f>IF(U108="","", 100*_xlfn.STDEV.P(U107:U108)/AVERAGE(U107:U108))</f>
        <v/>
      </c>
      <c r="X108" s="8">
        <f t="array" ref="X108">IF(U108="","", IFERROR(((IF(U$5&lt;&gt;"", U$5*M$5, 0) + SUMPRODUCT(--(U$6:U108&lt;&gt;""), U$6:U108, (M$6:M108-M$5:M107)))/1000), ""))</f>
        <v/>
      </c>
    </row>
    <row r="109">
      <c r="A109" s="1">
        <f>A108+20</f>
        <v/>
      </c>
      <c r="B109" s="1">
        <f>C108</f>
        <v/>
      </c>
      <c r="E109" t="inlineStr">
        <is>
          <t>60mL/3s/30s</t>
        </is>
      </c>
      <c r="I109" s="1">
        <f>IF(C109="", "", (B109-C109)*1000/(A109-A108))</f>
        <v/>
      </c>
      <c r="J109" s="1">
        <f>IF(I109="","",I109/F$2/3)</f>
        <v/>
      </c>
      <c r="K109" s="1">
        <f>IF(I109="","", 100*_xlfn.STDEV.P(I108:I109)/AVERAGE(I108:I109))</f>
        <v/>
      </c>
      <c r="L109" s="8">
        <f t="array" ref="L109">IF(I109="","", IFERROR(((IF(I$5&lt;&gt;"", I$5*A$5, 0) + SUMPRODUCT(--(I$6:I109&lt;&gt;""), I$6:I109, (A$6:A109-A$5:A108)))/1000), ""))</f>
        <v/>
      </c>
      <c r="M109" s="1">
        <f>M108+20</f>
        <v/>
      </c>
      <c r="N109" s="1">
        <f>O108</f>
        <v/>
      </c>
      <c r="Q109" t="inlineStr">
        <is>
          <t>60mL/3s/30s</t>
        </is>
      </c>
      <c r="U109" s="1">
        <f>IF(O109="", "", (N109-O109)*1000/(M109-M108))</f>
        <v/>
      </c>
      <c r="V109" s="1">
        <f>IF(U109="","",U109/R$2/3)</f>
        <v/>
      </c>
      <c r="W109" s="1">
        <f>IF(U109="","", 100*_xlfn.STDEV.P(U108:U109)/AVERAGE(U108:U109))</f>
        <v/>
      </c>
      <c r="X109" s="8">
        <f t="array" ref="X109">IF(U109="","", IFERROR(((IF(U$5&lt;&gt;"", U$5*M$5, 0) + SUMPRODUCT(--(U$6:U109&lt;&gt;""), U$6:U109, (M$6:M109-M$5:M108)))/1000), ""))</f>
        <v/>
      </c>
    </row>
    <row r="110">
      <c r="A110" s="1">
        <f>A109+20</f>
        <v/>
      </c>
      <c r="B110" s="1">
        <f>C109</f>
        <v/>
      </c>
      <c r="E110" t="inlineStr">
        <is>
          <t>60mL/3s/30s</t>
        </is>
      </c>
      <c r="I110" s="1">
        <f>IF(C110="", "", (B110-C110)*1000/(A110-A109))</f>
        <v/>
      </c>
      <c r="J110" s="1">
        <f>IF(I110="","",I110/F$2/3)</f>
        <v/>
      </c>
      <c r="K110" s="1">
        <f>IF(I110="","", 100*_xlfn.STDEV.P(I109:I110)/AVERAGE(I109:I110))</f>
        <v/>
      </c>
      <c r="L110" s="8">
        <f t="array" ref="L110">IF(I110="","", IFERROR(((IF(I$5&lt;&gt;"", I$5*A$5, 0) + SUMPRODUCT(--(I$6:I110&lt;&gt;""), I$6:I110, (A$6:A110-A$5:A109)))/1000), ""))</f>
        <v/>
      </c>
      <c r="M110" s="1">
        <f>M109+20</f>
        <v/>
      </c>
      <c r="N110" s="1">
        <f>O109</f>
        <v/>
      </c>
      <c r="Q110" t="inlineStr">
        <is>
          <t>60mL/3s/30s</t>
        </is>
      </c>
      <c r="U110" s="1">
        <f>IF(O110="", "", (N110-O110)*1000/(M110-M109))</f>
        <v/>
      </c>
      <c r="V110" s="1">
        <f>IF(U110="","",U110/R$2/3)</f>
        <v/>
      </c>
      <c r="W110" s="1">
        <f>IF(U110="","", 100*_xlfn.STDEV.P(U109:U110)/AVERAGE(U109:U110))</f>
        <v/>
      </c>
      <c r="X110" s="8">
        <f t="array" ref="X110">IF(U110="","", IFERROR(((IF(U$5&lt;&gt;"", U$5*M$5, 0) + SUMPRODUCT(--(U$6:U110&lt;&gt;""), U$6:U110, (M$6:M110-M$5:M109)))/1000), ""))</f>
        <v/>
      </c>
    </row>
    <row r="111">
      <c r="A111" s="1">
        <f>A110+20</f>
        <v/>
      </c>
      <c r="B111" s="1">
        <f>C110</f>
        <v/>
      </c>
      <c r="E111" t="inlineStr">
        <is>
          <t>60mL/3s/30s</t>
        </is>
      </c>
      <c r="I111" s="1">
        <f>IF(C111="", "", (B111-C111)*1000/(A111-A110))</f>
        <v/>
      </c>
      <c r="J111" s="1">
        <f>IF(I111="","",I111/F$2/3)</f>
        <v/>
      </c>
      <c r="K111" s="1">
        <f>IF(I111="","", 100*_xlfn.STDEV.P(I110:I111)/AVERAGE(I110:I111))</f>
        <v/>
      </c>
      <c r="L111" s="8">
        <f t="array" ref="L111">IF(I111="","", IFERROR(((IF(I$5&lt;&gt;"", I$5*A$5, 0) + SUMPRODUCT(--(I$6:I111&lt;&gt;""), I$6:I111, (A$6:A111-A$5:A110)))/1000), ""))</f>
        <v/>
      </c>
      <c r="M111" s="1">
        <f>M110+20</f>
        <v/>
      </c>
      <c r="N111" s="1">
        <f>O110</f>
        <v/>
      </c>
      <c r="Q111" t="inlineStr">
        <is>
          <t>60mL/3s/30s</t>
        </is>
      </c>
      <c r="U111" s="1">
        <f>IF(O111="", "", (N111-O111)*1000/(M111-M110))</f>
        <v/>
      </c>
      <c r="V111" s="1">
        <f>IF(U111="","",U111/R$2/3)</f>
        <v/>
      </c>
      <c r="W111" s="1">
        <f>IF(U111="","", 100*_xlfn.STDEV.P(U110:U111)/AVERAGE(U110:U111))</f>
        <v/>
      </c>
      <c r="X111" s="8">
        <f t="array" ref="X111">IF(U111="","", IFERROR(((IF(U$5&lt;&gt;"", U$5*M$5, 0) + SUMPRODUCT(--(U$6:U111&lt;&gt;""), U$6:U111, (M$6:M111-M$5:M110)))/1000), ""))</f>
        <v/>
      </c>
    </row>
    <row r="112">
      <c r="A112" s="1">
        <f>A111+20</f>
        <v/>
      </c>
      <c r="B112" s="1">
        <f>C111</f>
        <v/>
      </c>
      <c r="E112" t="inlineStr">
        <is>
          <t>60mL/3s/30s</t>
        </is>
      </c>
      <c r="I112" s="1">
        <f>IF(C112="", "", (B112-C112)*1000/(A112-A111))</f>
        <v/>
      </c>
      <c r="J112" s="1">
        <f>IF(I112="","",I112/F$2/3)</f>
        <v/>
      </c>
      <c r="K112" s="1">
        <f>IF(I112="","", 100*_xlfn.STDEV.P(I111:I112)/AVERAGE(I111:I112))</f>
        <v/>
      </c>
      <c r="L112" s="8">
        <f t="array" ref="L112">IF(I112="","", IFERROR(((IF(I$5&lt;&gt;"", I$5*A$5, 0) + SUMPRODUCT(--(I$6:I112&lt;&gt;""), I$6:I112, (A$6:A112-A$5:A111)))/1000), ""))</f>
        <v/>
      </c>
      <c r="M112" s="1">
        <f>M111+20</f>
        <v/>
      </c>
      <c r="N112" s="1">
        <f>O111</f>
        <v/>
      </c>
      <c r="Q112" t="inlineStr">
        <is>
          <t>60mL/3s/30s</t>
        </is>
      </c>
      <c r="U112" s="1">
        <f>IF(O112="", "", (N112-O112)*1000/(M112-M111))</f>
        <v/>
      </c>
      <c r="V112" s="1">
        <f>IF(U112="","",U112/R$2/3)</f>
        <v/>
      </c>
      <c r="W112" s="1">
        <f>IF(U112="","", 100*_xlfn.STDEV.P(U111:U112)/AVERAGE(U111:U112))</f>
        <v/>
      </c>
      <c r="X112" s="8">
        <f t="array" ref="X112">IF(U112="","", IFERROR(((IF(U$5&lt;&gt;"", U$5*M$5, 0) + SUMPRODUCT(--(U$6:U112&lt;&gt;""), U$6:U112, (M$6:M112-M$5:M111)))/1000), ""))</f>
        <v/>
      </c>
    </row>
    <row r="113">
      <c r="A113" s="1">
        <f>A112+20</f>
        <v/>
      </c>
      <c r="B113" s="1">
        <f>C112</f>
        <v/>
      </c>
      <c r="E113" t="inlineStr">
        <is>
          <t>60mL/3s/30s</t>
        </is>
      </c>
      <c r="I113" s="1">
        <f>IF(C113="", "", (B113-C113)*1000/(A113-A112))</f>
        <v/>
      </c>
      <c r="J113" s="1">
        <f>IF(I113="","",I113/F$2/3)</f>
        <v/>
      </c>
      <c r="K113" s="1">
        <f>IF(I113="","", 100*_xlfn.STDEV.P(I112:I113)/AVERAGE(I112:I113))</f>
        <v/>
      </c>
      <c r="L113" s="8">
        <f t="array" ref="L113">IF(I113="","", IFERROR(((IF(I$5&lt;&gt;"", I$5*A$5, 0) + SUMPRODUCT(--(I$6:I113&lt;&gt;""), I$6:I113, (A$6:A113-A$5:A112)))/1000), ""))</f>
        <v/>
      </c>
      <c r="M113" s="1">
        <f>M112+20</f>
        <v/>
      </c>
      <c r="N113" s="1">
        <f>O112</f>
        <v/>
      </c>
      <c r="Q113" t="inlineStr">
        <is>
          <t>60mL/3s/30s</t>
        </is>
      </c>
      <c r="U113" s="1">
        <f>IF(O113="", "", (N113-O113)*1000/(M113-M112))</f>
        <v/>
      </c>
      <c r="V113" s="1">
        <f>IF(U113="","",U113/R$2/3)</f>
        <v/>
      </c>
      <c r="W113" s="1">
        <f>IF(U113="","", 100*_xlfn.STDEV.P(U112:U113)/AVERAGE(U112:U113))</f>
        <v/>
      </c>
      <c r="X113" s="8">
        <f t="array" ref="X113">IF(U113="","", IFERROR(((IF(U$5&lt;&gt;"", U$5*M$5, 0) + SUMPRODUCT(--(U$6:U113&lt;&gt;""), U$6:U113, (M$6:M113-M$5:M112)))/1000), ""))</f>
        <v/>
      </c>
    </row>
    <row r="114">
      <c r="A114" s="1">
        <f>A113+20</f>
        <v/>
      </c>
      <c r="B114" s="1">
        <f>C113</f>
        <v/>
      </c>
      <c r="E114" t="inlineStr">
        <is>
          <t>60mL/3s/30s</t>
        </is>
      </c>
      <c r="I114" s="1">
        <f>IF(C114="", "", (B114-C114)*1000/(A114-A113))</f>
        <v/>
      </c>
      <c r="J114" s="1">
        <f>IF(I114="","",I114/F$2/3)</f>
        <v/>
      </c>
      <c r="K114" s="1">
        <f>IF(I114="","", 100*_xlfn.STDEV.P(I113:I114)/AVERAGE(I113:I114))</f>
        <v/>
      </c>
      <c r="L114" s="8">
        <f t="array" ref="L114">IF(I114="","", IFERROR(((IF(I$5&lt;&gt;"", I$5*A$5, 0) + SUMPRODUCT(--(I$6:I114&lt;&gt;""), I$6:I114, (A$6:A114-A$5:A113)))/1000), ""))</f>
        <v/>
      </c>
      <c r="M114" s="1">
        <f>M113+20</f>
        <v/>
      </c>
      <c r="N114" s="1">
        <f>O113</f>
        <v/>
      </c>
      <c r="Q114" t="inlineStr">
        <is>
          <t>60mL/3s/30s</t>
        </is>
      </c>
      <c r="U114" s="1">
        <f>IF(O114="", "", (N114-O114)*1000/(M114-M113))</f>
        <v/>
      </c>
      <c r="V114" s="1">
        <f>IF(U114="","",U114/R$2/3)</f>
        <v/>
      </c>
      <c r="W114" s="1">
        <f>IF(U114="","", 100*_xlfn.STDEV.P(U113:U114)/AVERAGE(U113:U114))</f>
        <v/>
      </c>
      <c r="X114" s="8">
        <f t="array" ref="X114">IF(U114="","", IFERROR(((IF(U$5&lt;&gt;"", U$5*M$5, 0) + SUMPRODUCT(--(U$6:U114&lt;&gt;""), U$6:U114, (M$6:M114-M$5:M113)))/1000), ""))</f>
        <v/>
      </c>
    </row>
    <row r="115">
      <c r="A115" s="1">
        <f>A114+20</f>
        <v/>
      </c>
      <c r="B115" s="1">
        <f>C114</f>
        <v/>
      </c>
      <c r="E115" t="inlineStr">
        <is>
          <t>60mL/3s/30s</t>
        </is>
      </c>
      <c r="I115" s="1">
        <f>IF(C115="", "", (B115-C115)*1000/(A115-A114))</f>
        <v/>
      </c>
      <c r="J115" s="1">
        <f>IF(I115="","",I115/F$2/3)</f>
        <v/>
      </c>
      <c r="K115" s="1">
        <f>IF(I115="","", 100*_xlfn.STDEV.P(I114:I115)/AVERAGE(I114:I115))</f>
        <v/>
      </c>
      <c r="L115" s="8">
        <f t="array" ref="L115">IF(I115="","", IFERROR(((IF(I$5&lt;&gt;"", I$5*A$5, 0) + SUMPRODUCT(--(I$6:I115&lt;&gt;""), I$6:I115, (A$6:A115-A$5:A114)))/1000), ""))</f>
        <v/>
      </c>
      <c r="M115" s="1">
        <f>M114+20</f>
        <v/>
      </c>
      <c r="N115" s="1">
        <f>O114</f>
        <v/>
      </c>
      <c r="Q115" t="inlineStr">
        <is>
          <t>60mL/3s/30s</t>
        </is>
      </c>
      <c r="U115" s="1">
        <f>IF(O115="", "", (N115-O115)*1000/(M115-M114))</f>
        <v/>
      </c>
      <c r="V115" s="1">
        <f>IF(U115="","",U115/R$2/3)</f>
        <v/>
      </c>
      <c r="W115" s="1">
        <f>IF(U115="","", 100*_xlfn.STDEV.P(U114:U115)/AVERAGE(U114:U115))</f>
        <v/>
      </c>
      <c r="X115" s="8">
        <f t="array" ref="X115">IF(U115="","", IFERROR(((IF(U$5&lt;&gt;"", U$5*M$5, 0) + SUMPRODUCT(--(U$6:U115&lt;&gt;""), U$6:U115, (M$6:M115-M$5:M114)))/1000), ""))</f>
        <v/>
      </c>
    </row>
    <row r="116"/>
  </sheetData>
  <conditionalFormatting sqref="I5:L115">
    <cfRule type="containsErrors" priority="2" dxfId="0">
      <formula>ISERROR(I5)</formula>
    </cfRule>
  </conditionalFormatting>
  <conditionalFormatting sqref="K6:K115">
    <cfRule type="cellIs" priority="16" operator="between" dxfId="29">
      <formula>0</formula>
      <formula>15</formula>
    </cfRule>
    <cfRule type="cellIs" priority="17" operator="between" dxfId="28">
      <formula>15</formula>
      <formula>25</formula>
    </cfRule>
    <cfRule type="cellIs" priority="18" operator="between" dxfId="27">
      <formula>25</formula>
      <formula>1000</formula>
    </cfRule>
  </conditionalFormatting>
  <conditionalFormatting sqref="L2:L3 X2:X3">
    <cfRule type="containsErrors" priority="10" dxfId="0">
      <formula>ISERROR(L2)</formula>
    </cfRule>
  </conditionalFormatting>
  <conditionalFormatting sqref="U5:U115 W5:X115">
    <cfRule type="containsErrors" priority="3" dxfId="0">
      <formula>ISERROR(U5)</formula>
    </cfRule>
  </conditionalFormatting>
  <conditionalFormatting sqref="W5:W115">
    <cfRule type="containsErrors" priority="19" dxfId="30">
      <formula>ISERROR(W5)</formula>
    </cfRule>
  </conditionalFormatting>
  <conditionalFormatting sqref="W6:W115">
    <cfRule type="cellIs" priority="13" operator="between" dxfId="29">
      <formula>0</formula>
      <formula>15</formula>
    </cfRule>
    <cfRule type="cellIs" priority="14" operator="between" dxfId="28">
      <formula>15</formula>
      <formula>25</formula>
    </cfRule>
    <cfRule type="cellIs" priority="15" operator="between" dxfId="27">
      <formula>25</formula>
      <formula>1000</formula>
    </cfRule>
  </conditionalFormatting>
  <conditionalFormatting sqref="V5:V115">
    <cfRule type="containsErrors" priority="1" dxfId="0">
      <formula>ISERROR(V5)</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X116"/>
  <sheetViews>
    <sheetView zoomScaleNormal="100" workbookViewId="0">
      <selection activeCell="A1" sqref="A1"/>
    </sheetView>
  </sheetViews>
  <sheetFormatPr baseColWidth="8" defaultRowHeight="15"/>
  <cols>
    <col width="11.710937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4.85546875" bestFit="1" customWidth="1" style="1" min="9" max="9"/>
    <col width="18" customWidth="1" style="1" min="10" max="10"/>
    <col width="12.140625" customWidth="1" style="1" min="11" max="11"/>
    <col width="14.140625" customWidth="1" style="7" min="12" max="12"/>
    <col width="11.710937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14.85546875" bestFit="1" customWidth="1" style="1" min="21" max="21"/>
    <col width="18" customWidth="1" style="1" min="22" max="22"/>
    <col width="12.140625" customWidth="1" style="1" min="23" max="23"/>
    <col width="14.140625" customWidth="1" style="7" min="24" max="24"/>
    <col width="9.140625" customWidth="1" style="1" min="25" max="16384"/>
  </cols>
  <sheetData>
    <row r="1" ht="45" customFormat="1" customHeight="1" s="27">
      <c r="A1" s="3" t="inlineStr">
        <is>
          <t>User Simulation Test</t>
        </is>
      </c>
      <c r="C1" s="4" t="inlineStr">
        <is>
          <t>Date:</t>
        </is>
      </c>
      <c r="E1" s="4" t="inlineStr">
        <is>
          <t>Sample ID:</t>
        </is>
      </c>
      <c r="G1" s="4" t="inlineStr">
        <is>
          <t>Heating Technology:</t>
        </is>
      </c>
      <c r="J1" s="4" t="inlineStr">
        <is>
          <t>Did this burn?</t>
        </is>
      </c>
      <c r="L1" s="6" t="inlineStr">
        <is>
          <t>Average TPM and Standard deviation</t>
        </is>
      </c>
      <c r="M1" s="3" t="inlineStr">
        <is>
          <t>User Simulation Test</t>
        </is>
      </c>
      <c r="O1" s="4" t="inlineStr">
        <is>
          <t>Date:</t>
        </is>
      </c>
      <c r="Q1" s="4" t="inlineStr">
        <is>
          <t>Sample ID:</t>
        </is>
      </c>
      <c r="S1" s="4" t="inlineStr">
        <is>
          <t>Heating Technology:</t>
        </is>
      </c>
      <c r="V1" s="4" t="inlineStr">
        <is>
          <t>Did this burn?</t>
        </is>
      </c>
      <c r="X1" s="6" t="inlineStr">
        <is>
          <t>Average TPM and Standard deviation</t>
        </is>
      </c>
    </row>
    <row r="2" ht="45"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100mL/2.5s/15s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100mL/2.5s/15s</t>
        </is>
      </c>
      <c r="U2" s="4" t="inlineStr">
        <is>
          <t>Usage Efficiency
                  ↓</t>
        </is>
      </c>
      <c r="V2" s="4" t="inlineStr">
        <is>
          <t>Did this clog?</t>
        </is>
      </c>
      <c r="X2" s="20">
        <f>IF(U5="","",AVERAGEIFS(U5:U115,U5:U115,"&lt;&gt;0",U5:U115,"&lt;&gt;"))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row>
    <row r="4" ht="45" customFormat="1" customHeight="1" s="27">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row>
    <row r="5">
      <c r="A5" s="1" t="n">
        <v>20</v>
      </c>
      <c r="B5" s="1" t="n">
        <v>0</v>
      </c>
      <c r="E5" t="inlineStr">
        <is>
          <t>100mL/2.5s/15s</t>
        </is>
      </c>
      <c r="I5" s="1">
        <f>IF(C5="", "", (B5-C5)*1000/A5)</f>
        <v/>
      </c>
      <c r="J5" s="1">
        <f>IF(I5="","",I5/F$2/2.5)</f>
        <v/>
      </c>
      <c r="L5" s="8">
        <f>IF(I5="","", IFERROR(((IF(I$5&lt;&gt;"", I$5*A$5, 0))/1000), ""))</f>
        <v/>
      </c>
      <c r="M5" s="1" t="n">
        <v>20</v>
      </c>
      <c r="Q5" t="inlineStr">
        <is>
          <t>100mL/2.5s/15s</t>
        </is>
      </c>
      <c r="U5" s="1">
        <f>IF(O5="", "", (N5-O5)*1000/M5)</f>
        <v/>
      </c>
      <c r="V5" s="1">
        <f>IF(U5="","",U5/R$2/2.5)</f>
        <v/>
      </c>
      <c r="X5" s="8">
        <f>IF(U5="","", IFERROR(((IF(U$5&lt;&gt;"", U$5*M$5, 0))/1000), ""))</f>
        <v/>
      </c>
    </row>
    <row r="6">
      <c r="A6" s="1">
        <f>A5+20</f>
        <v/>
      </c>
      <c r="B6" s="1">
        <f>C5</f>
        <v/>
      </c>
      <c r="E6" t="inlineStr">
        <is>
          <t>100mL/2.5s/15s</t>
        </is>
      </c>
      <c r="I6" s="1">
        <f>IF(C6="", "", (B6-C6)*1000/(A6-A5))</f>
        <v/>
      </c>
      <c r="J6" s="1">
        <f>IF(I6="","",I6/F$2/2.5)</f>
        <v/>
      </c>
      <c r="K6" s="1">
        <f>IF(I6="","", 100*_xlfn.STDEV.P(I5:I6)/AVERAGE(I5:I6))</f>
        <v/>
      </c>
      <c r="L6" s="8">
        <f t="array" ref="L6">IF(I6="","", IFERROR(((IF(I$5&lt;&gt;"", I$5*A$5, 0) + SUMPRODUCT(--(I$6:I6&lt;&gt;""), I$6:I6, (A$6:A6-A$5:A5)))/1000), ""))</f>
        <v/>
      </c>
      <c r="M6" s="1">
        <f>M5+20</f>
        <v/>
      </c>
      <c r="N6" s="1">
        <f>O5</f>
        <v/>
      </c>
      <c r="Q6" t="inlineStr">
        <is>
          <t>100mL/2.5s/15s</t>
        </is>
      </c>
      <c r="U6" s="1">
        <f>IF(O6="", "", (N6-O6)*1000/(M6-M5))</f>
        <v/>
      </c>
      <c r="V6" s="1">
        <f>IF(U6="","",U6/R$2/2.5)</f>
        <v/>
      </c>
      <c r="W6" s="1">
        <f>IF(U6="","", 100*_xlfn.STDEV.P(U5:U6)/AVERAGE(U5:U6))</f>
        <v/>
      </c>
      <c r="X6" s="8">
        <f t="array" ref="X6">IF(U6="","", IFERROR(((IF(U$5&lt;&gt;"", U$5*M$5, 0) + SUMPRODUCT(--(U$6:U6&lt;&gt;""), U$6:U6, (M$6:M6-M$5:M5)))/1000), ""))</f>
        <v/>
      </c>
    </row>
    <row r="7">
      <c r="A7" s="1">
        <f>A6+20</f>
        <v/>
      </c>
      <c r="B7" s="1">
        <f>C6</f>
        <v/>
      </c>
      <c r="E7" t="inlineStr">
        <is>
          <t>100mL/2.5s/15s</t>
        </is>
      </c>
      <c r="I7" s="1">
        <f>IF(C7="", "", (B7-C7)*1000/(A7-A6))</f>
        <v/>
      </c>
      <c r="J7" s="1">
        <f>IF(I7="","",I7/F$2/2.5)</f>
        <v/>
      </c>
      <c r="K7" s="1">
        <f>IF(I7="","", 100*_xlfn.STDEV.P(I6:I7)/AVERAGE(I6:I7))</f>
        <v/>
      </c>
      <c r="L7" s="8">
        <f t="array" ref="L7">IF(I7="","", IFERROR(((IF(I$5&lt;&gt;"", I$5*A$5, 0) + SUMPRODUCT(--(I$6:I7&lt;&gt;""), I$6:I7, (A$6:A7-A$5:A6)))/1000), ""))</f>
        <v/>
      </c>
      <c r="M7" s="1">
        <f>M6+20</f>
        <v/>
      </c>
      <c r="N7" s="1">
        <f>O6</f>
        <v/>
      </c>
      <c r="Q7" t="inlineStr">
        <is>
          <t>100mL/2.5s/15s</t>
        </is>
      </c>
      <c r="U7" s="1">
        <f>IF(O7="", "", (N7-O7)*1000/(M7-M6))</f>
        <v/>
      </c>
      <c r="V7" s="1">
        <f>IF(U7="","",U7/R$2/2.5)</f>
        <v/>
      </c>
      <c r="W7" s="1">
        <f>IF(U7="","", 100*_xlfn.STDEV.P(U6:U7)/AVERAGE(U6:U7))</f>
        <v/>
      </c>
      <c r="X7" s="8">
        <f t="array" ref="X7">IF(U7="","", IFERROR(((IF(U$5&lt;&gt;"", U$5*M$5, 0) + SUMPRODUCT(--(U$6:U7&lt;&gt;""), U$6:U7, (M$6:M7-M$5:M6)))/1000), ""))</f>
        <v/>
      </c>
    </row>
    <row r="8">
      <c r="A8" s="1">
        <f>A7+20</f>
        <v/>
      </c>
      <c r="B8" s="1">
        <f>C7</f>
        <v/>
      </c>
      <c r="E8" t="inlineStr">
        <is>
          <t>100mL/2.5s/15s</t>
        </is>
      </c>
      <c r="I8" s="1">
        <f>IF(C8="", "", (B8-C8)*1000/(A8-A7))</f>
        <v/>
      </c>
      <c r="J8" s="1">
        <f>IF(I8="","",I8/F$2/2.5)</f>
        <v/>
      </c>
      <c r="K8" s="1">
        <f>IF(I8="","", 100*_xlfn.STDEV.P(I7:I8)/AVERAGE(I7:I8))</f>
        <v/>
      </c>
      <c r="L8" s="8">
        <f t="array" ref="L8">IF(I8="","", IFERROR(((IF(I$5&lt;&gt;"", I$5*A$5, 0) + SUMPRODUCT(--(I$6:I8&lt;&gt;""), I$6:I8, (A$6:A8-A$5:A7)))/1000), ""))</f>
        <v/>
      </c>
      <c r="M8" s="1">
        <f>M7+20</f>
        <v/>
      </c>
      <c r="N8" s="1">
        <f>O7</f>
        <v/>
      </c>
      <c r="Q8" t="inlineStr">
        <is>
          <t>100mL/2.5s/15s</t>
        </is>
      </c>
      <c r="U8" s="1">
        <f>IF(O8="", "", (N8-O8)*1000/(M8-M7))</f>
        <v/>
      </c>
      <c r="V8" s="1">
        <f>IF(U8="","",U8/R$2/2.5)</f>
        <v/>
      </c>
      <c r="W8" s="1">
        <f>IF(U8="","", 100*_xlfn.STDEV.P(U7:U8)/AVERAGE(U7:U8))</f>
        <v/>
      </c>
      <c r="X8" s="8">
        <f t="array" ref="X8">IF(U8="","", IFERROR(((IF(U$5&lt;&gt;"", U$5*M$5, 0) + SUMPRODUCT(--(U$6:U8&lt;&gt;""), U$6:U8, (M$6:M8-M$5:M7)))/1000), ""))</f>
        <v/>
      </c>
    </row>
    <row r="9">
      <c r="A9" s="1">
        <f>A8+20</f>
        <v/>
      </c>
      <c r="B9" s="1">
        <f>C8</f>
        <v/>
      </c>
      <c r="E9" t="inlineStr">
        <is>
          <t>100mL/2.5s/15s</t>
        </is>
      </c>
      <c r="I9" s="1">
        <f>IF(C9="", "", (B9-C9)*1000/(A9-A8))</f>
        <v/>
      </c>
      <c r="J9" s="1">
        <f>IF(I9="","",I9/F$2/2.5)</f>
        <v/>
      </c>
      <c r="K9" s="1">
        <f>IF(I9="","", 100*_xlfn.STDEV.P(I8:I9)/AVERAGE(I8:I9))</f>
        <v/>
      </c>
      <c r="L9" s="8">
        <f t="array" ref="L9">IF(I9="","", IFERROR(((IF(I$5&lt;&gt;"", I$5*A$5, 0) + SUMPRODUCT(--(I$6:I9&lt;&gt;""), I$6:I9, (A$6:A9-A$5:A8)))/1000), ""))</f>
        <v/>
      </c>
      <c r="M9" s="1">
        <f>M8+20</f>
        <v/>
      </c>
      <c r="N9" s="1">
        <f>O8</f>
        <v/>
      </c>
      <c r="Q9" t="inlineStr">
        <is>
          <t>100mL/2.5s/15s</t>
        </is>
      </c>
      <c r="U9" s="1">
        <f>IF(O9="", "", (N9-O9)*1000/(M9-M8))</f>
        <v/>
      </c>
      <c r="V9" s="1">
        <f>IF(U9="","",U9/R$2/2.5)</f>
        <v/>
      </c>
      <c r="W9" s="1">
        <f>IF(U9="","", 100*_xlfn.STDEV.P(U8:U9)/AVERAGE(U8:U9))</f>
        <v/>
      </c>
      <c r="X9" s="8">
        <f t="array" ref="X9">IF(U9="","", IFERROR(((IF(U$5&lt;&gt;"", U$5*M$5, 0) + SUMPRODUCT(--(U$6:U9&lt;&gt;""), U$6:U9, (M$6:M9-M$5:M8)))/1000), ""))</f>
        <v/>
      </c>
    </row>
    <row r="10">
      <c r="A10" s="1">
        <f>A9+20</f>
        <v/>
      </c>
      <c r="B10" s="1">
        <f>C9</f>
        <v/>
      </c>
      <c r="E10" t="inlineStr">
        <is>
          <t>100mL/2.5s/15s</t>
        </is>
      </c>
      <c r="I10" s="1">
        <f>IF(C10="", "", (B10-C10)*1000/(A10-A9))</f>
        <v/>
      </c>
      <c r="J10" s="1">
        <f>IF(I10="","",I10/F$2/2.5)</f>
        <v/>
      </c>
      <c r="K10" s="1">
        <f>IF(I10="","", 100*_xlfn.STDEV.P(I9:I10)/AVERAGE(I9:I10))</f>
        <v/>
      </c>
      <c r="L10" s="8">
        <f t="array" ref="L10">IF(I10="","", IFERROR(((IF(I$5&lt;&gt;"", I$5*A$5, 0) + SUMPRODUCT(--(I$6:I10&lt;&gt;""), I$6:I10, (A$6:A10-A$5:A9)))/1000), ""))</f>
        <v/>
      </c>
      <c r="M10" s="1">
        <f>M9+20</f>
        <v/>
      </c>
      <c r="N10" s="1">
        <f>O9</f>
        <v/>
      </c>
      <c r="Q10" t="inlineStr">
        <is>
          <t>100mL/2.5s/15s</t>
        </is>
      </c>
      <c r="U10" s="1">
        <f>IF(O10="", "", (N10-O10)*1000/(M10-M9))</f>
        <v/>
      </c>
      <c r="V10" s="1">
        <f>IF(U10="","",U10/R$2/2.5)</f>
        <v/>
      </c>
      <c r="W10" s="1">
        <f>IF(U10="","", 100*_xlfn.STDEV.P(U9:U10)/AVERAGE(U9:U10))</f>
        <v/>
      </c>
      <c r="X10" s="8">
        <f t="array" ref="X10">IF(U10="","", IFERROR(((IF(U$5&lt;&gt;"", U$5*M$5, 0) + SUMPRODUCT(--(U$6:U10&lt;&gt;""), U$6:U10, (M$6:M10-M$5:M9)))/1000), ""))</f>
        <v/>
      </c>
    </row>
    <row r="11">
      <c r="A11" s="1">
        <f>A10+20</f>
        <v/>
      </c>
      <c r="B11" s="1">
        <f>C10</f>
        <v/>
      </c>
      <c r="E11" t="inlineStr">
        <is>
          <t>100mL/2.5s/15s</t>
        </is>
      </c>
      <c r="I11" s="1">
        <f>IF(C11="", "", (B11-C11)*1000/(A11-A10))</f>
        <v/>
      </c>
      <c r="J11" s="1">
        <f>IF(I11="","",I11/F$2/2.5)</f>
        <v/>
      </c>
      <c r="K11" s="1">
        <f>IF(I11="","", 100*_xlfn.STDEV.P(I10:I11)/AVERAGE(I10:I11))</f>
        <v/>
      </c>
      <c r="L11" s="8">
        <f t="array" ref="L11">IF(I11="","", IFERROR(((IF(I$5&lt;&gt;"", I$5*A$5, 0) + SUMPRODUCT(--(I$6:I11&lt;&gt;""), I$6:I11, (A$6:A11-A$5:A10)))/1000), ""))</f>
        <v/>
      </c>
      <c r="M11" s="1">
        <f>M10+20</f>
        <v/>
      </c>
      <c r="N11" s="1">
        <f>O10</f>
        <v/>
      </c>
      <c r="Q11" t="inlineStr">
        <is>
          <t>100mL/2.5s/15s</t>
        </is>
      </c>
      <c r="U11" s="1">
        <f>IF(O11="", "", (N11-O11)*1000/(M11-M10))</f>
        <v/>
      </c>
      <c r="V11" s="1">
        <f>IF(U11="","",U11/R$2/2.5)</f>
        <v/>
      </c>
      <c r="W11" s="1">
        <f>IF(U11="","", 100*_xlfn.STDEV.P(U10:U11)/AVERAGE(U10:U11))</f>
        <v/>
      </c>
      <c r="X11" s="8">
        <f t="array" ref="X11">IF(U11="","", IFERROR(((IF(U$5&lt;&gt;"", U$5*M$5, 0) + SUMPRODUCT(--(U$6:U11&lt;&gt;""), U$6:U11, (M$6:M11-M$5:M10)))/1000), ""))</f>
        <v/>
      </c>
    </row>
    <row r="12">
      <c r="A12" s="1">
        <f>A11+20</f>
        <v/>
      </c>
      <c r="B12" s="1">
        <f>C11</f>
        <v/>
      </c>
      <c r="E12" t="inlineStr">
        <is>
          <t>100mL/2.5s/15s</t>
        </is>
      </c>
      <c r="I12" s="1">
        <f>IF(C12="", "", (B12-C12)*1000/(A12-A11))</f>
        <v/>
      </c>
      <c r="J12" s="1">
        <f>IF(I12="","",I12/F$2/2.5)</f>
        <v/>
      </c>
      <c r="K12" s="1">
        <f>IF(I12="","", 100*_xlfn.STDEV.P(I11:I12)/AVERAGE(I11:I12))</f>
        <v/>
      </c>
      <c r="L12" s="8">
        <f t="array" ref="L12">IF(I12="","", IFERROR(((IF(I$5&lt;&gt;"", I$5*A$5, 0) + SUMPRODUCT(--(I$6:I12&lt;&gt;""), I$6:I12, (A$6:A12-A$5:A11)))/1000), ""))</f>
        <v/>
      </c>
      <c r="M12" s="1">
        <f>M11+20</f>
        <v/>
      </c>
      <c r="N12" s="1">
        <f>O11</f>
        <v/>
      </c>
      <c r="Q12" t="inlineStr">
        <is>
          <t>100mL/2.5s/15s</t>
        </is>
      </c>
      <c r="U12" s="1">
        <f>IF(O12="", "", (N12-O12)*1000/(M12-M11))</f>
        <v/>
      </c>
      <c r="V12" s="1">
        <f>IF(U12="","",U12/R$2/2.5)</f>
        <v/>
      </c>
      <c r="W12" s="1">
        <f>IF(U12="","", 100*_xlfn.STDEV.P(U11:U12)/AVERAGE(U11:U12))</f>
        <v/>
      </c>
      <c r="X12" s="8">
        <f t="array" ref="X12">IF(U12="","", IFERROR(((IF(U$5&lt;&gt;"", U$5*M$5, 0) + SUMPRODUCT(--(U$6:U12&lt;&gt;""), U$6:U12, (M$6:M12-M$5:M11)))/1000), ""))</f>
        <v/>
      </c>
    </row>
    <row r="13">
      <c r="A13" s="1">
        <f>A12+20</f>
        <v/>
      </c>
      <c r="B13" s="1">
        <f>C12</f>
        <v/>
      </c>
      <c r="E13" t="inlineStr">
        <is>
          <t>100mL/2.5s/15s</t>
        </is>
      </c>
      <c r="I13" s="1">
        <f>IF(C13="", "", (B13-C13)*1000/(A13-A12))</f>
        <v/>
      </c>
      <c r="J13" s="1">
        <f>IF(I13="","",I13/F$2/2.5)</f>
        <v/>
      </c>
      <c r="K13" s="1">
        <f>IF(I13="","", 100*_xlfn.STDEV.P(I12:I13)/AVERAGE(I12:I13))</f>
        <v/>
      </c>
      <c r="L13" s="8">
        <f t="array" ref="L13">IF(I13="","", IFERROR(((IF(I$5&lt;&gt;"", I$5*A$5, 0) + SUMPRODUCT(--(I$6:I13&lt;&gt;""), I$6:I13, (A$6:A13-A$5:A12)))/1000), ""))</f>
        <v/>
      </c>
      <c r="M13" s="1">
        <f>M12+20</f>
        <v/>
      </c>
      <c r="N13" s="1">
        <f>O12</f>
        <v/>
      </c>
      <c r="Q13" t="inlineStr">
        <is>
          <t>100mL/2.5s/15s</t>
        </is>
      </c>
      <c r="U13" s="1">
        <f>IF(O13="", "", (N13-O13)*1000/(M13-M12))</f>
        <v/>
      </c>
      <c r="V13" s="1">
        <f>IF(U13="","",U13/R$2/2.5)</f>
        <v/>
      </c>
      <c r="W13" s="1">
        <f>IF(U13="","", 100*_xlfn.STDEV.P(U12:U13)/AVERAGE(U12:U13))</f>
        <v/>
      </c>
      <c r="X13" s="8">
        <f t="array" ref="X13">IF(U13="","", IFERROR(((IF(U$5&lt;&gt;"", U$5*M$5, 0) + SUMPRODUCT(--(U$6:U13&lt;&gt;""), U$6:U13, (M$6:M13-M$5:M12)))/1000), ""))</f>
        <v/>
      </c>
    </row>
    <row r="14">
      <c r="A14" s="1">
        <f>A13+20</f>
        <v/>
      </c>
      <c r="B14" s="1">
        <f>C13</f>
        <v/>
      </c>
      <c r="E14" t="inlineStr">
        <is>
          <t>100mL/2.5s/15s</t>
        </is>
      </c>
      <c r="I14" s="1">
        <f>IF(C14="", "", (B14-C14)*1000/(A14-A13))</f>
        <v/>
      </c>
      <c r="J14" s="1">
        <f>IF(I14="","",I14/F$2/2.5)</f>
        <v/>
      </c>
      <c r="K14" s="1">
        <f>IF(I14="","", 100*_xlfn.STDEV.P(I13:I14)/AVERAGE(I13:I14))</f>
        <v/>
      </c>
      <c r="L14" s="8">
        <f t="array" ref="L14">IF(I14="","", IFERROR(((IF(I$5&lt;&gt;"", I$5*A$5, 0) + SUMPRODUCT(--(I$6:I14&lt;&gt;""), I$6:I14, (A$6:A14-A$5:A13)))/1000), ""))</f>
        <v/>
      </c>
      <c r="M14" s="1">
        <f>M13+20</f>
        <v/>
      </c>
      <c r="N14" s="1">
        <f>O13</f>
        <v/>
      </c>
      <c r="Q14" t="inlineStr">
        <is>
          <t>100mL/2.5s/15s</t>
        </is>
      </c>
      <c r="U14" s="1">
        <f>IF(O14="", "", (N14-O14)*1000/(M14-M13))</f>
        <v/>
      </c>
      <c r="V14" s="1">
        <f>IF(U14="","",U14/R$2/2.5)</f>
        <v/>
      </c>
      <c r="W14" s="1">
        <f>IF(U14="","", 100*_xlfn.STDEV.P(U13:U14)/AVERAGE(U13:U14))</f>
        <v/>
      </c>
      <c r="X14" s="8">
        <f t="array" ref="X14">IF(U14="","", IFERROR(((IF(U$5&lt;&gt;"", U$5*M$5, 0) + SUMPRODUCT(--(U$6:U14&lt;&gt;""), U$6:U14, (M$6:M14-M$5:M13)))/1000), ""))</f>
        <v/>
      </c>
    </row>
    <row r="15">
      <c r="A15" s="1">
        <f>A14+20</f>
        <v/>
      </c>
      <c r="B15" s="1">
        <f>C14</f>
        <v/>
      </c>
      <c r="E15" t="inlineStr">
        <is>
          <t>100mL/2.5s/15s</t>
        </is>
      </c>
      <c r="I15" s="1">
        <f>IF(C15="", "", (B15-C15)*1000/(A15-A14))</f>
        <v/>
      </c>
      <c r="J15" s="1">
        <f>IF(I15="","",I15/F$2/2.5)</f>
        <v/>
      </c>
      <c r="K15" s="1">
        <f>IF(I15="","", 100*_xlfn.STDEV.P(I14:I15)/AVERAGE(I14:I15))</f>
        <v/>
      </c>
      <c r="L15" s="8">
        <f t="array" ref="L15">IF(I15="","", IFERROR(((IF(I$5&lt;&gt;"", I$5*A$5, 0) + SUMPRODUCT(--(I$6:I15&lt;&gt;""), I$6:I15, (A$6:A15-A$5:A14)))/1000), ""))</f>
        <v/>
      </c>
      <c r="M15" s="1">
        <f>M14+20</f>
        <v/>
      </c>
      <c r="N15" s="1">
        <f>O14</f>
        <v/>
      </c>
      <c r="Q15" t="inlineStr">
        <is>
          <t>100mL/2.5s/15s</t>
        </is>
      </c>
      <c r="U15" s="1">
        <f>IF(O15="", "", (N15-O15)*1000/(M15-M14))</f>
        <v/>
      </c>
      <c r="V15" s="1">
        <f>IF(U15="","",U15/R$2/2.5)</f>
        <v/>
      </c>
      <c r="W15" s="1">
        <f>IF(U15="","", 100*_xlfn.STDEV.P(U14:U15)/AVERAGE(U14:U15))</f>
        <v/>
      </c>
      <c r="X15" s="8">
        <f t="array" ref="X15">IF(U15="","", IFERROR(((IF(U$5&lt;&gt;"", U$5*M$5, 0) + SUMPRODUCT(--(U$6:U15&lt;&gt;""), U$6:U15, (M$6:M15-M$5:M14)))/1000), ""))</f>
        <v/>
      </c>
    </row>
    <row r="16">
      <c r="A16" s="1">
        <f>A15+20</f>
        <v/>
      </c>
      <c r="B16" s="1">
        <f>C15</f>
        <v/>
      </c>
      <c r="E16" t="inlineStr">
        <is>
          <t>100mL/2.5s/15s</t>
        </is>
      </c>
      <c r="I16" s="1">
        <f>IF(C16="", "", (B16-C16)*1000/(A16-A15))</f>
        <v/>
      </c>
      <c r="J16" s="1">
        <f>IF(I16="","",I16/F$2/2.5)</f>
        <v/>
      </c>
      <c r="K16" s="1">
        <f>IF(I16="","", 100*_xlfn.STDEV.P(I15:I16)/AVERAGE(I15:I16))</f>
        <v/>
      </c>
      <c r="L16" s="8">
        <f t="array" ref="L16">IF(I16="","", IFERROR(((IF(I$5&lt;&gt;"", I$5*A$5, 0) + SUMPRODUCT(--(I$6:I16&lt;&gt;""), I$6:I16, (A$6:A16-A$5:A15)))/1000), ""))</f>
        <v/>
      </c>
      <c r="M16" s="1">
        <f>M15+20</f>
        <v/>
      </c>
      <c r="N16" s="1">
        <f>O15</f>
        <v/>
      </c>
      <c r="Q16" t="inlineStr">
        <is>
          <t>100mL/2.5s/15s</t>
        </is>
      </c>
      <c r="U16" s="1">
        <f>IF(O16="", "", (N16-O16)*1000/(M16-M15))</f>
        <v/>
      </c>
      <c r="V16" s="1">
        <f>IF(U16="","",U16/R$2/2.5)</f>
        <v/>
      </c>
      <c r="W16" s="1">
        <f>IF(U16="","", 100*_xlfn.STDEV.P(U15:U16)/AVERAGE(U15:U16))</f>
        <v/>
      </c>
      <c r="X16" s="8">
        <f t="array" ref="X16">IF(U16="","", IFERROR(((IF(U$5&lt;&gt;"", U$5*M$5, 0) + SUMPRODUCT(--(U$6:U16&lt;&gt;""), U$6:U16, (M$6:M16-M$5:M15)))/1000), ""))</f>
        <v/>
      </c>
    </row>
    <row r="17">
      <c r="A17" s="1">
        <f>A16+20</f>
        <v/>
      </c>
      <c r="B17" s="1">
        <f>C16</f>
        <v/>
      </c>
      <c r="E17" t="inlineStr">
        <is>
          <t>100mL/2.5s/15s</t>
        </is>
      </c>
      <c r="I17" s="1">
        <f>IF(C17="", "", (B17-C17)*1000/(A17-A16))</f>
        <v/>
      </c>
      <c r="J17" s="1">
        <f>IF(I17="","",I17/F$2/2.5)</f>
        <v/>
      </c>
      <c r="K17" s="1">
        <f>IF(I17="","", 100*_xlfn.STDEV.P(I16:I17)/AVERAGE(I16:I17))</f>
        <v/>
      </c>
      <c r="L17" s="8">
        <f t="array" ref="L17">IF(I17="","", IFERROR(((IF(I$5&lt;&gt;"", I$5*A$5, 0) + SUMPRODUCT(--(I$6:I17&lt;&gt;""), I$6:I17, (A$6:A17-A$5:A16)))/1000), ""))</f>
        <v/>
      </c>
      <c r="M17" s="1">
        <f>M16+20</f>
        <v/>
      </c>
      <c r="N17" s="1">
        <f>O16</f>
        <v/>
      </c>
      <c r="Q17" t="inlineStr">
        <is>
          <t>100mL/2.5s/15s</t>
        </is>
      </c>
      <c r="U17" s="1">
        <f>IF(O17="", "", (N17-O17)*1000/(M17-M16))</f>
        <v/>
      </c>
      <c r="V17" s="1">
        <f>IF(U17="","",U17/R$2/2.5)</f>
        <v/>
      </c>
      <c r="W17" s="1">
        <f>IF(U17="","", 100*_xlfn.STDEV.P(U16:U17)/AVERAGE(U16:U17))</f>
        <v/>
      </c>
      <c r="X17" s="8">
        <f t="array" ref="X17">IF(U17="","", IFERROR(((IF(U$5&lt;&gt;"", U$5*M$5, 0) + SUMPRODUCT(--(U$6:U17&lt;&gt;""), U$6:U17, (M$6:M17-M$5:M16)))/1000), ""))</f>
        <v/>
      </c>
    </row>
    <row r="18">
      <c r="A18" s="1">
        <f>A17+20</f>
        <v/>
      </c>
      <c r="B18" s="1">
        <f>C17</f>
        <v/>
      </c>
      <c r="E18" t="inlineStr">
        <is>
          <t>100mL/2.5s/15s</t>
        </is>
      </c>
      <c r="I18" s="1">
        <f>IF(C18="", "", (B18-C18)*1000/(A18-A17))</f>
        <v/>
      </c>
      <c r="J18" s="1">
        <f>IF(I18="","",I18/F$2/2.5)</f>
        <v/>
      </c>
      <c r="K18" s="1">
        <f>IF(I18="","", 100*_xlfn.STDEV.P(I17:I18)/AVERAGE(I17:I18))</f>
        <v/>
      </c>
      <c r="L18" s="8">
        <f t="array" ref="L18">IF(I18="","", IFERROR(((IF(I$5&lt;&gt;"", I$5*A$5, 0) + SUMPRODUCT(--(I$6:I18&lt;&gt;""), I$6:I18, (A$6:A18-A$5:A17)))/1000), ""))</f>
        <v/>
      </c>
      <c r="M18" s="1">
        <f>M17+20</f>
        <v/>
      </c>
      <c r="N18" s="1">
        <f>O17</f>
        <v/>
      </c>
      <c r="Q18" t="inlineStr">
        <is>
          <t>100mL/2.5s/15s</t>
        </is>
      </c>
      <c r="U18" s="1">
        <f>IF(O18="", "", (N18-O18)*1000/(M18-M17))</f>
        <v/>
      </c>
      <c r="V18" s="1">
        <f>IF(U18="","",U18/R$2/2.5)</f>
        <v/>
      </c>
      <c r="W18" s="1">
        <f>IF(U18="","", 100*_xlfn.STDEV.P(U17:U18)/AVERAGE(U17:U18))</f>
        <v/>
      </c>
      <c r="X18" s="8">
        <f t="array" ref="X18">IF(U18="","", IFERROR(((IF(U$5&lt;&gt;"", U$5*M$5, 0) + SUMPRODUCT(--(U$6:U18&lt;&gt;""), U$6:U18, (M$6:M18-M$5:M17)))/1000), ""))</f>
        <v/>
      </c>
    </row>
    <row r="19">
      <c r="A19" s="1">
        <f>A18+20</f>
        <v/>
      </c>
      <c r="B19" s="1">
        <f>C18</f>
        <v/>
      </c>
      <c r="E19" t="inlineStr">
        <is>
          <t>100mL/2.5s/15s</t>
        </is>
      </c>
      <c r="I19" s="1">
        <f>IF(C19="", "", (B19-C19)*1000/(A19-A18))</f>
        <v/>
      </c>
      <c r="J19" s="1">
        <f>IF(I19="","",I19/F$2/2.5)</f>
        <v/>
      </c>
      <c r="K19" s="1">
        <f>IF(I19="","", 100*_xlfn.STDEV.P(I18:I19)/AVERAGE(I18:I19))</f>
        <v/>
      </c>
      <c r="L19" s="8">
        <f t="array" ref="L19">IF(I19="","", IFERROR(((IF(I$5&lt;&gt;"", I$5*A$5, 0) + SUMPRODUCT(--(I$6:I19&lt;&gt;""), I$6:I19, (A$6:A19-A$5:A18)))/1000), ""))</f>
        <v/>
      </c>
      <c r="M19" s="1">
        <f>M18+20</f>
        <v/>
      </c>
      <c r="N19" s="1">
        <f>O18</f>
        <v/>
      </c>
      <c r="Q19" t="inlineStr">
        <is>
          <t>100mL/2.5s/15s</t>
        </is>
      </c>
      <c r="U19" s="1">
        <f>IF(O19="", "", (N19-O19)*1000/(M19-M18))</f>
        <v/>
      </c>
      <c r="V19" s="1">
        <f>IF(U19="","",U19/R$2/2.5)</f>
        <v/>
      </c>
      <c r="W19" s="1">
        <f>IF(U19="","", 100*_xlfn.STDEV.P(U18:U19)/AVERAGE(U18:U19))</f>
        <v/>
      </c>
      <c r="X19" s="8">
        <f t="array" ref="X19">IF(U19="","", IFERROR(((IF(U$5&lt;&gt;"", U$5*M$5, 0) + SUMPRODUCT(--(U$6:U19&lt;&gt;""), U$6:U19, (M$6:M19-M$5:M18)))/1000), ""))</f>
        <v/>
      </c>
    </row>
    <row r="20">
      <c r="A20" s="1">
        <f>A19+20</f>
        <v/>
      </c>
      <c r="B20" s="1">
        <f>C19</f>
        <v/>
      </c>
      <c r="E20" t="inlineStr">
        <is>
          <t>100mL/2.5s/15s</t>
        </is>
      </c>
      <c r="I20" s="1">
        <f>IF(C20="", "", (B20-C20)*1000/(A20-A19))</f>
        <v/>
      </c>
      <c r="J20" s="1">
        <f>IF(I20="","",I20/F$2/2.5)</f>
        <v/>
      </c>
      <c r="K20" s="1">
        <f>IF(I20="","", 100*_xlfn.STDEV.P(I19:I20)/AVERAGE(I19:I20))</f>
        <v/>
      </c>
      <c r="L20" s="8">
        <f t="array" ref="L20">IF(I20="","", IFERROR(((IF(I$5&lt;&gt;"", I$5*A$5, 0) + SUMPRODUCT(--(I$6:I20&lt;&gt;""), I$6:I20, (A$6:A20-A$5:A19)))/1000), ""))</f>
        <v/>
      </c>
      <c r="M20" s="1">
        <f>M19+20</f>
        <v/>
      </c>
      <c r="N20" s="1">
        <f>O19</f>
        <v/>
      </c>
      <c r="Q20" t="inlineStr">
        <is>
          <t>100mL/2.5s/15s</t>
        </is>
      </c>
      <c r="U20" s="1">
        <f>IF(O20="", "", (N20-O20)*1000/(M20-M19))</f>
        <v/>
      </c>
      <c r="V20" s="1">
        <f>IF(U20="","",U20/R$2/2.5)</f>
        <v/>
      </c>
      <c r="W20" s="1">
        <f>IF(U20="","", 100*_xlfn.STDEV.P(U19:U20)/AVERAGE(U19:U20))</f>
        <v/>
      </c>
      <c r="X20" s="8">
        <f t="array" ref="X20">IF(U20="","", IFERROR(((IF(U$5&lt;&gt;"", U$5*M$5, 0) + SUMPRODUCT(--(U$6:U20&lt;&gt;""), U$6:U20, (M$6:M20-M$5:M19)))/1000), ""))</f>
        <v/>
      </c>
    </row>
    <row r="21">
      <c r="A21" s="1">
        <f>A20+20</f>
        <v/>
      </c>
      <c r="B21" s="1">
        <f>C20</f>
        <v/>
      </c>
      <c r="E21" t="inlineStr">
        <is>
          <t>100mL/2.5s/15s</t>
        </is>
      </c>
      <c r="I21" s="1">
        <f>IF(C21="", "", (B21-C21)*1000/(A21-A20))</f>
        <v/>
      </c>
      <c r="J21" s="1">
        <f>IF(I21="","",I21/F$2/2.5)</f>
        <v/>
      </c>
      <c r="K21" s="1">
        <f>IF(I21="","", 100*_xlfn.STDEV.P(I20:I21)/AVERAGE(I20:I21))</f>
        <v/>
      </c>
      <c r="L21" s="8">
        <f t="array" ref="L21">IF(I21="","", IFERROR(((IF(I$5&lt;&gt;"", I$5*A$5, 0) + SUMPRODUCT(--(I$6:I21&lt;&gt;""), I$6:I21, (A$6:A21-A$5:A20)))/1000), ""))</f>
        <v/>
      </c>
      <c r="M21" s="1">
        <f>M20+20</f>
        <v/>
      </c>
      <c r="N21" s="1">
        <f>O20</f>
        <v/>
      </c>
      <c r="Q21" t="inlineStr">
        <is>
          <t>100mL/2.5s/15s</t>
        </is>
      </c>
      <c r="U21" s="1">
        <f>IF(O21="", "", (N21-O21)*1000/(M21-M20))</f>
        <v/>
      </c>
      <c r="V21" s="1">
        <f>IF(U21="","",U21/R$2/2.5)</f>
        <v/>
      </c>
      <c r="W21" s="1">
        <f>IF(U21="","", 100*_xlfn.STDEV.P(U20:U21)/AVERAGE(U20:U21))</f>
        <v/>
      </c>
      <c r="X21" s="8">
        <f t="array" ref="X21">IF(U21="","", IFERROR(((IF(U$5&lt;&gt;"", U$5*M$5, 0) + SUMPRODUCT(--(U$6:U21&lt;&gt;""), U$6:U21, (M$6:M21-M$5:M20)))/1000), ""))</f>
        <v/>
      </c>
    </row>
    <row r="22">
      <c r="A22" s="1">
        <f>A21+20</f>
        <v/>
      </c>
      <c r="B22" s="1">
        <f>C21</f>
        <v/>
      </c>
      <c r="E22" t="inlineStr">
        <is>
          <t>100mL/2.5s/15s</t>
        </is>
      </c>
      <c r="I22" s="1">
        <f>IF(C22="", "", (B22-C22)*1000/(A22-A21))</f>
        <v/>
      </c>
      <c r="J22" s="1">
        <f>IF(I22="","",I22/F$2/2.5)</f>
        <v/>
      </c>
      <c r="K22" s="1">
        <f>IF(I22="","", 100*_xlfn.STDEV.P(I21:I22)/AVERAGE(I21:I22))</f>
        <v/>
      </c>
      <c r="L22" s="8">
        <f t="array" ref="L22">IF(I22="","", IFERROR(((IF(I$5&lt;&gt;"", I$5*A$5, 0) + SUMPRODUCT(--(I$6:I22&lt;&gt;""), I$6:I22, (A$6:A22-A$5:A21)))/1000), ""))</f>
        <v/>
      </c>
      <c r="M22" s="1">
        <f>M21+20</f>
        <v/>
      </c>
      <c r="N22" s="1">
        <f>O21</f>
        <v/>
      </c>
      <c r="Q22" t="inlineStr">
        <is>
          <t>100mL/2.5s/15s</t>
        </is>
      </c>
      <c r="U22" s="1">
        <f>IF(O22="", "", (N22-O22)*1000/(M22-M21))</f>
        <v/>
      </c>
      <c r="V22" s="1">
        <f>IF(U22="","",U22/R$2/2.5)</f>
        <v/>
      </c>
      <c r="W22" s="1">
        <f>IF(U22="","", 100*_xlfn.STDEV.P(U21:U22)/AVERAGE(U21:U22))</f>
        <v/>
      </c>
      <c r="X22" s="8">
        <f t="array" ref="X22">IF(U22="","", IFERROR(((IF(U$5&lt;&gt;"", U$5*M$5, 0) + SUMPRODUCT(--(U$6:U22&lt;&gt;""), U$6:U22, (M$6:M22-M$5:M21)))/1000), ""))</f>
        <v/>
      </c>
    </row>
    <row r="23">
      <c r="A23" s="1">
        <f>A22+20</f>
        <v/>
      </c>
      <c r="B23" s="1">
        <f>C22</f>
        <v/>
      </c>
      <c r="E23" t="inlineStr">
        <is>
          <t>100mL/2.5s/15s</t>
        </is>
      </c>
      <c r="I23" s="1">
        <f>IF(C23="", "", (B23-C23)*1000/(A23-A22))</f>
        <v/>
      </c>
      <c r="J23" s="1">
        <f>IF(I23="","",I23/F$2/2.5)</f>
        <v/>
      </c>
      <c r="K23" s="1">
        <f>IF(I23="","", 100*_xlfn.STDEV.P(I22:I23)/AVERAGE(I22:I23))</f>
        <v/>
      </c>
      <c r="L23" s="8">
        <f t="array" ref="L23">IF(I23="","", IFERROR(((IF(I$5&lt;&gt;"", I$5*A$5, 0) + SUMPRODUCT(--(I$6:I23&lt;&gt;""), I$6:I23, (A$6:A23-A$5:A22)))/1000), ""))</f>
        <v/>
      </c>
      <c r="M23" s="1">
        <f>M22+20</f>
        <v/>
      </c>
      <c r="N23" s="1">
        <f>O22</f>
        <v/>
      </c>
      <c r="Q23" t="inlineStr">
        <is>
          <t>100mL/2.5s/15s</t>
        </is>
      </c>
      <c r="U23" s="1">
        <f>IF(O23="", "", (N23-O23)*1000/(M23-M22))</f>
        <v/>
      </c>
      <c r="V23" s="1">
        <f>IF(U23="","",U23/R$2/2.5)</f>
        <v/>
      </c>
      <c r="W23" s="1">
        <f>IF(U23="","", 100*_xlfn.STDEV.P(U22:U23)/AVERAGE(U22:U23))</f>
        <v/>
      </c>
      <c r="X23" s="8">
        <f t="array" ref="X23">IF(U23="","", IFERROR(((IF(U$5&lt;&gt;"", U$5*M$5, 0) + SUMPRODUCT(--(U$6:U23&lt;&gt;""), U$6:U23, (M$6:M23-M$5:M22)))/1000), ""))</f>
        <v/>
      </c>
    </row>
    <row r="24">
      <c r="A24" s="1">
        <f>A23+20</f>
        <v/>
      </c>
      <c r="B24" s="1">
        <f>C23</f>
        <v/>
      </c>
      <c r="E24" t="inlineStr">
        <is>
          <t>100mL/2.5s/15s</t>
        </is>
      </c>
      <c r="I24" s="1">
        <f>IF(C24="", "", (B24-C24)*1000/(A24-A23))</f>
        <v/>
      </c>
      <c r="J24" s="1">
        <f>IF(I24="","",I24/F$2/2.5)</f>
        <v/>
      </c>
      <c r="K24" s="1">
        <f>IF(I24="","", 100*_xlfn.STDEV.P(I23:I24)/AVERAGE(I23:I24))</f>
        <v/>
      </c>
      <c r="L24" s="8">
        <f t="array" ref="L24">IF(I24="","", IFERROR(((IF(I$5&lt;&gt;"", I$5*A$5, 0) + SUMPRODUCT(--(I$6:I24&lt;&gt;""), I$6:I24, (A$6:A24-A$5:A23)))/1000), ""))</f>
        <v/>
      </c>
      <c r="M24" s="1">
        <f>M23+20</f>
        <v/>
      </c>
      <c r="N24" s="1">
        <f>O23</f>
        <v/>
      </c>
      <c r="Q24" t="inlineStr">
        <is>
          <t>100mL/2.5s/15s</t>
        </is>
      </c>
      <c r="U24" s="1">
        <f>IF(O24="", "", (N24-O24)*1000/(M24-M23))</f>
        <v/>
      </c>
      <c r="V24" s="1">
        <f>IF(U24="","",U24/R$2/2.5)</f>
        <v/>
      </c>
      <c r="W24" s="1">
        <f>IF(U24="","", 100*_xlfn.STDEV.P(U23:U24)/AVERAGE(U23:U24))</f>
        <v/>
      </c>
      <c r="X24" s="8">
        <f t="array" ref="X24">IF(U24="","", IFERROR(((IF(U$5&lt;&gt;"", U$5*M$5, 0) + SUMPRODUCT(--(U$6:U24&lt;&gt;""), U$6:U24, (M$6:M24-M$5:M23)))/1000), ""))</f>
        <v/>
      </c>
    </row>
    <row r="25">
      <c r="A25" s="1">
        <f>A24+20</f>
        <v/>
      </c>
      <c r="B25" s="1">
        <f>C24</f>
        <v/>
      </c>
      <c r="E25" t="inlineStr">
        <is>
          <t>100mL/2.5s/15s</t>
        </is>
      </c>
      <c r="I25" s="1">
        <f>IF(C25="", "", (B25-C25)*1000/(A25-A24))</f>
        <v/>
      </c>
      <c r="J25" s="1">
        <f>IF(I25="","",I25/F$2/2.5)</f>
        <v/>
      </c>
      <c r="K25" s="1">
        <f>IF(I25="","", 100*_xlfn.STDEV.P(I24:I25)/AVERAGE(I24:I25))</f>
        <v/>
      </c>
      <c r="L25" s="8">
        <f t="array" ref="L25">IF(I25="","", IFERROR(((IF(I$5&lt;&gt;"", I$5*A$5, 0) + SUMPRODUCT(--(I$6:I25&lt;&gt;""), I$6:I25, (A$6:A25-A$5:A24)))/1000), ""))</f>
        <v/>
      </c>
      <c r="M25" s="1">
        <f>M24+20</f>
        <v/>
      </c>
      <c r="N25" s="1">
        <f>O24</f>
        <v/>
      </c>
      <c r="Q25" t="inlineStr">
        <is>
          <t>100mL/2.5s/15s</t>
        </is>
      </c>
      <c r="U25" s="1">
        <f>IF(O25="", "", (N25-O25)*1000/(M25-M24))</f>
        <v/>
      </c>
      <c r="V25" s="1">
        <f>IF(U25="","",U25/R$2/2.5)</f>
        <v/>
      </c>
      <c r="W25" s="1">
        <f>IF(U25="","", 100*_xlfn.STDEV.P(U24:U25)/AVERAGE(U24:U25))</f>
        <v/>
      </c>
      <c r="X25" s="8">
        <f t="array" ref="X25">IF(U25="","", IFERROR(((IF(U$5&lt;&gt;"", U$5*M$5, 0) + SUMPRODUCT(--(U$6:U25&lt;&gt;""), U$6:U25, (M$6:M25-M$5:M24)))/1000), ""))</f>
        <v/>
      </c>
    </row>
    <row r="26">
      <c r="A26" s="1">
        <f>A25+20</f>
        <v/>
      </c>
      <c r="B26" s="1">
        <f>C25</f>
        <v/>
      </c>
      <c r="E26" t="inlineStr">
        <is>
          <t>100mL/2.5s/15s</t>
        </is>
      </c>
      <c r="I26" s="1">
        <f>IF(C26="", "", (B26-C26)*1000/(A26-A25))</f>
        <v/>
      </c>
      <c r="J26" s="1">
        <f>IF(I26="","",I26/F$2/2.5)</f>
        <v/>
      </c>
      <c r="K26" s="1">
        <f>IF(I26="","", 100*_xlfn.STDEV.P(I25:I26)/AVERAGE(I25:I26))</f>
        <v/>
      </c>
      <c r="L26" s="8">
        <f t="array" ref="L26">IF(I26="","", IFERROR(((IF(I$5&lt;&gt;"", I$5*A$5, 0) + SUMPRODUCT(--(I$6:I26&lt;&gt;""), I$6:I26, (A$6:A26-A$5:A25)))/1000), ""))</f>
        <v/>
      </c>
      <c r="M26" s="1">
        <f>M25+20</f>
        <v/>
      </c>
      <c r="N26" s="1">
        <f>O25</f>
        <v/>
      </c>
      <c r="Q26" t="inlineStr">
        <is>
          <t>100mL/2.5s/15s</t>
        </is>
      </c>
      <c r="U26" s="1">
        <f>IF(O26="", "", (N26-O26)*1000/(M26-M25))</f>
        <v/>
      </c>
      <c r="V26" s="1">
        <f>IF(U26="","",U26/R$2/2.5)</f>
        <v/>
      </c>
      <c r="W26" s="1">
        <f>IF(U26="","", 100*_xlfn.STDEV.P(U25:U26)/AVERAGE(U25:U26))</f>
        <v/>
      </c>
      <c r="X26" s="8">
        <f t="array" ref="X26">IF(U26="","", IFERROR(((IF(U$5&lt;&gt;"", U$5*M$5, 0) + SUMPRODUCT(--(U$6:U26&lt;&gt;""), U$6:U26, (M$6:M26-M$5:M25)))/1000), ""))</f>
        <v/>
      </c>
    </row>
    <row r="27">
      <c r="A27" s="1">
        <f>A26+20</f>
        <v/>
      </c>
      <c r="B27" s="1">
        <f>C26</f>
        <v/>
      </c>
      <c r="E27" t="inlineStr">
        <is>
          <t>100mL/2.5s/15s</t>
        </is>
      </c>
      <c r="I27" s="1">
        <f>IF(C27="", "", (B27-C27)*1000/(A27-A26))</f>
        <v/>
      </c>
      <c r="J27" s="1">
        <f>IF(I27="","",I27/F$2/2.5)</f>
        <v/>
      </c>
      <c r="K27" s="1">
        <f>IF(I27="","", 100*_xlfn.STDEV.P(I26:I27)/AVERAGE(I26:I27))</f>
        <v/>
      </c>
      <c r="L27" s="8">
        <f t="array" ref="L27">IF(I27="","", IFERROR(((IF(I$5&lt;&gt;"", I$5*A$5, 0) + SUMPRODUCT(--(I$6:I27&lt;&gt;""), I$6:I27, (A$6:A27-A$5:A26)))/1000), ""))</f>
        <v/>
      </c>
      <c r="M27" s="1">
        <f>M26+20</f>
        <v/>
      </c>
      <c r="N27" s="1">
        <f>O26</f>
        <v/>
      </c>
      <c r="Q27" t="inlineStr">
        <is>
          <t>100mL/2.5s/15s</t>
        </is>
      </c>
      <c r="U27" s="1">
        <f>IF(O27="", "", (N27-O27)*1000/(M27-M26))</f>
        <v/>
      </c>
      <c r="V27" s="1">
        <f>IF(U27="","",U27/R$2/2.5)</f>
        <v/>
      </c>
      <c r="W27" s="1">
        <f>IF(U27="","", 100*_xlfn.STDEV.P(U26:U27)/AVERAGE(U26:U27))</f>
        <v/>
      </c>
      <c r="X27" s="8">
        <f t="array" ref="X27">IF(U27="","", IFERROR(((IF(U$5&lt;&gt;"", U$5*M$5, 0) + SUMPRODUCT(--(U$6:U27&lt;&gt;""), U$6:U27, (M$6:M27-M$5:M26)))/1000), ""))</f>
        <v/>
      </c>
    </row>
    <row r="28">
      <c r="A28" s="1">
        <f>A27+20</f>
        <v/>
      </c>
      <c r="B28" s="1">
        <f>C27</f>
        <v/>
      </c>
      <c r="E28" t="inlineStr">
        <is>
          <t>100mL/2.5s/15s</t>
        </is>
      </c>
      <c r="I28" s="1">
        <f>IF(C28="", "", (B28-C28)*1000/(A28-A27))</f>
        <v/>
      </c>
      <c r="J28" s="1">
        <f>IF(I28="","",I28/F$2/2.5)</f>
        <v/>
      </c>
      <c r="K28" s="1">
        <f>IF(I28="","", 100*_xlfn.STDEV.P(I27:I28)/AVERAGE(I27:I28))</f>
        <v/>
      </c>
      <c r="L28" s="8">
        <f t="array" ref="L28">IF(I28="","", IFERROR(((IF(I$5&lt;&gt;"", I$5*A$5, 0) + SUMPRODUCT(--(I$6:I28&lt;&gt;""), I$6:I28, (A$6:A28-A$5:A27)))/1000), ""))</f>
        <v/>
      </c>
      <c r="M28" s="1">
        <f>M27+20</f>
        <v/>
      </c>
      <c r="N28" s="1">
        <f>O27</f>
        <v/>
      </c>
      <c r="Q28" t="inlineStr">
        <is>
          <t>100mL/2.5s/15s</t>
        </is>
      </c>
      <c r="U28" s="1">
        <f>IF(O28="", "", (N28-O28)*1000/(M28-M27))</f>
        <v/>
      </c>
      <c r="V28" s="1">
        <f>IF(U28="","",U28/R$2/2.5)</f>
        <v/>
      </c>
      <c r="W28" s="1">
        <f>IF(U28="","", 100*_xlfn.STDEV.P(U27:U28)/AVERAGE(U27:U28))</f>
        <v/>
      </c>
      <c r="X28" s="8">
        <f t="array" ref="X28">IF(U28="","", IFERROR(((IF(U$5&lt;&gt;"", U$5*M$5, 0) + SUMPRODUCT(--(U$6:U28&lt;&gt;""), U$6:U28, (M$6:M28-M$5:M27)))/1000), ""))</f>
        <v/>
      </c>
    </row>
    <row r="29">
      <c r="A29" s="1">
        <f>A28+20</f>
        <v/>
      </c>
      <c r="B29" s="1">
        <f>C28</f>
        <v/>
      </c>
      <c r="E29" t="inlineStr">
        <is>
          <t>100mL/2.5s/15s</t>
        </is>
      </c>
      <c r="F29" s="9" t="n"/>
      <c r="G29" s="9" t="n"/>
      <c r="H29" s="9" t="n"/>
      <c r="I29" s="1">
        <f>IF(C29="", "", (B29-C29)*1000/(A29-A28))</f>
        <v/>
      </c>
      <c r="J29" s="1">
        <f>IF(I29="","",I29/F$2/2.5)</f>
        <v/>
      </c>
      <c r="K29" s="1">
        <f>IF(I29="","", 100*_xlfn.STDEV.P(I28:I29)/AVERAGE(I28:I29))</f>
        <v/>
      </c>
      <c r="L29" s="8">
        <f t="array" ref="L29">IF(I29="","", IFERROR(((IF(I$5&lt;&gt;"", I$5*A$5, 0) + SUMPRODUCT(--(I$6:I29&lt;&gt;""), I$6:I29, (A$6:A29-A$5:A28)))/1000), ""))</f>
        <v/>
      </c>
      <c r="M29" s="1">
        <f>M28+20</f>
        <v/>
      </c>
      <c r="N29" s="1">
        <f>O28</f>
        <v/>
      </c>
      <c r="Q29" t="inlineStr">
        <is>
          <t>100mL/2.5s/15s</t>
        </is>
      </c>
      <c r="R29" s="9" t="n"/>
      <c r="S29" s="9" t="n"/>
      <c r="T29" s="9" t="n"/>
      <c r="U29" s="1">
        <f>IF(O29="", "", (N29-O29)*1000/(M29-M28))</f>
        <v/>
      </c>
      <c r="V29" s="1">
        <f>IF(U29="","",U29/R$2/2.5)</f>
        <v/>
      </c>
      <c r="W29" s="1">
        <f>IF(U29="","", 100*_xlfn.STDEV.P(U28:U29)/AVERAGE(U28:U29))</f>
        <v/>
      </c>
      <c r="X29" s="8">
        <f t="array" ref="X29">IF(U29="","", IFERROR(((IF(U$5&lt;&gt;"", U$5*M$5, 0) + SUMPRODUCT(--(U$6:U29&lt;&gt;""), U$6:U29, (M$6:M29-M$5:M28)))/1000), ""))</f>
        <v/>
      </c>
    </row>
    <row r="30">
      <c r="A30" s="1">
        <f>A29+20</f>
        <v/>
      </c>
      <c r="B30" s="1">
        <f>C29</f>
        <v/>
      </c>
      <c r="E30" t="inlineStr">
        <is>
          <t>100mL/2.5s/15s</t>
        </is>
      </c>
      <c r="I30" s="1">
        <f>IF(C30="", "", (B30-C30)*1000/(A30-A29))</f>
        <v/>
      </c>
      <c r="J30" s="1">
        <f>IF(I30="","",I30/F$2/2.5)</f>
        <v/>
      </c>
      <c r="K30" s="1">
        <f>IF(I30="","", 100*_xlfn.STDEV.P(I29:I30)/AVERAGE(I29:I30))</f>
        <v/>
      </c>
      <c r="L30" s="8">
        <f t="array" ref="L30">IF(I30="","", IFERROR(((IF(I$5&lt;&gt;"", I$5*A$5, 0) + SUMPRODUCT(--(I$6:I30&lt;&gt;""), I$6:I30, (A$6:A30-A$5:A29)))/1000), ""))</f>
        <v/>
      </c>
      <c r="M30" s="1">
        <f>M29+20</f>
        <v/>
      </c>
      <c r="N30" s="1">
        <f>O29</f>
        <v/>
      </c>
      <c r="Q30" t="inlineStr">
        <is>
          <t>100mL/2.5s/15s</t>
        </is>
      </c>
      <c r="U30" s="1">
        <f>IF(O30="", "", (N30-O30)*1000/(M30-M29))</f>
        <v/>
      </c>
      <c r="V30" s="1">
        <f>IF(U30="","",U30/R$2/2.5)</f>
        <v/>
      </c>
      <c r="W30" s="1">
        <f>IF(U30="","", 100*_xlfn.STDEV.P(U29:U30)/AVERAGE(U29:U30))</f>
        <v/>
      </c>
      <c r="X30" s="8">
        <f t="array" ref="X30">IF(U30="","", IFERROR(((IF(U$5&lt;&gt;"", U$5*M$5, 0) + SUMPRODUCT(--(U$6:U30&lt;&gt;""), U$6:U30, (M$6:M30-M$5:M29)))/1000), ""))</f>
        <v/>
      </c>
    </row>
    <row r="31">
      <c r="A31" s="1">
        <f>A30+20</f>
        <v/>
      </c>
      <c r="B31" s="1">
        <f>C30</f>
        <v/>
      </c>
      <c r="E31" t="inlineStr">
        <is>
          <t>100mL/2.5s/15s</t>
        </is>
      </c>
      <c r="I31" s="1">
        <f>IF(C31="", "", (B31-C31)*1000/(A31-A30))</f>
        <v/>
      </c>
      <c r="J31" s="1">
        <f>IF(I31="","",I31/F$2/2.5)</f>
        <v/>
      </c>
      <c r="K31" s="1">
        <f>IF(I31="","", 100*_xlfn.STDEV.P(I30:I31)/AVERAGE(I30:I31))</f>
        <v/>
      </c>
      <c r="L31" s="8">
        <f t="array" ref="L31">IF(I31="","", IFERROR(((IF(I$5&lt;&gt;"", I$5*A$5, 0) + SUMPRODUCT(--(I$6:I31&lt;&gt;""), I$6:I31, (A$6:A31-A$5:A30)))/1000), ""))</f>
        <v/>
      </c>
      <c r="M31" s="1">
        <f>M30+20</f>
        <v/>
      </c>
      <c r="N31" s="1">
        <f>O30</f>
        <v/>
      </c>
      <c r="Q31" t="inlineStr">
        <is>
          <t>100mL/2.5s/15s</t>
        </is>
      </c>
      <c r="U31" s="1">
        <f>IF(O31="", "", (N31-O31)*1000/(M31-M30))</f>
        <v/>
      </c>
      <c r="V31" s="1">
        <f>IF(U31="","",U31/R$2/2.5)</f>
        <v/>
      </c>
      <c r="W31" s="1">
        <f>IF(U31="","", 100*_xlfn.STDEV.P(U30:U31)/AVERAGE(U30:U31))</f>
        <v/>
      </c>
      <c r="X31" s="8">
        <f t="array" ref="X31">IF(U31="","", IFERROR(((IF(U$5&lt;&gt;"", U$5*M$5, 0) + SUMPRODUCT(--(U$6:U31&lt;&gt;""), U$6:U31, (M$6:M31-M$5:M30)))/1000), ""))</f>
        <v/>
      </c>
    </row>
    <row r="32">
      <c r="A32" s="1">
        <f>A31+20</f>
        <v/>
      </c>
      <c r="B32" s="1">
        <f>C31</f>
        <v/>
      </c>
      <c r="E32" t="inlineStr">
        <is>
          <t>100mL/2.5s/15s</t>
        </is>
      </c>
      <c r="I32" s="1">
        <f>IF(C32="", "", (B32-C32)*1000/(A32-A31))</f>
        <v/>
      </c>
      <c r="J32" s="1">
        <f>IF(I32="","",I32/F$2/2.5)</f>
        <v/>
      </c>
      <c r="K32" s="1">
        <f>IF(I32="","", 100*_xlfn.STDEV.P(I31:I32)/AVERAGE(I31:I32))</f>
        <v/>
      </c>
      <c r="L32" s="8">
        <f t="array" ref="L32">IF(I32="","", IFERROR(((IF(I$5&lt;&gt;"", I$5*A$5, 0) + SUMPRODUCT(--(I$6:I32&lt;&gt;""), I$6:I32, (A$6:A32-A$5:A31)))/1000), ""))</f>
        <v/>
      </c>
      <c r="M32" s="1">
        <f>M31+20</f>
        <v/>
      </c>
      <c r="N32" s="1">
        <f>O31</f>
        <v/>
      </c>
      <c r="Q32" t="inlineStr">
        <is>
          <t>100mL/2.5s/15s</t>
        </is>
      </c>
      <c r="U32" s="1">
        <f>IF(O32="", "", (N32-O32)*1000/(M32-M31))</f>
        <v/>
      </c>
      <c r="V32" s="1">
        <f>IF(U32="","",U32/R$2/2.5)</f>
        <v/>
      </c>
      <c r="W32" s="1">
        <f>IF(U32="","", 100*_xlfn.STDEV.P(U31:U32)/AVERAGE(U31:U32))</f>
        <v/>
      </c>
      <c r="X32" s="8">
        <f t="array" ref="X32">IF(U32="","", IFERROR(((IF(U$5&lt;&gt;"", U$5*M$5, 0) + SUMPRODUCT(--(U$6:U32&lt;&gt;""), U$6:U32, (M$6:M32-M$5:M31)))/1000), ""))</f>
        <v/>
      </c>
    </row>
    <row r="33">
      <c r="A33" s="1">
        <f>A32+20</f>
        <v/>
      </c>
      <c r="B33" s="1">
        <f>C32</f>
        <v/>
      </c>
      <c r="E33" t="inlineStr">
        <is>
          <t>100mL/2.5s/15s</t>
        </is>
      </c>
      <c r="I33" s="1">
        <f>IF(C33="", "", (B33-C33)*1000/(A33-A32))</f>
        <v/>
      </c>
      <c r="J33" s="1">
        <f>IF(I33="","",I33/F$2/2.5)</f>
        <v/>
      </c>
      <c r="K33" s="1">
        <f>IF(I33="","", 100*_xlfn.STDEV.P(I32:I33)/AVERAGE(I32:I33))</f>
        <v/>
      </c>
      <c r="L33" s="8">
        <f t="array" ref="L33">IF(I33="","", IFERROR(((IF(I$5&lt;&gt;"", I$5*A$5, 0) + SUMPRODUCT(--(I$6:I33&lt;&gt;""), I$6:I33, (A$6:A33-A$5:A32)))/1000), ""))</f>
        <v/>
      </c>
      <c r="M33" s="1">
        <f>M32+20</f>
        <v/>
      </c>
      <c r="N33" s="1">
        <f>O32</f>
        <v/>
      </c>
      <c r="Q33" t="inlineStr">
        <is>
          <t>100mL/2.5s/15s</t>
        </is>
      </c>
      <c r="U33" s="1">
        <f>IF(O33="", "", (N33-O33)*1000/(M33-M32))</f>
        <v/>
      </c>
      <c r="V33" s="1">
        <f>IF(U33="","",U33/R$2/2.5)</f>
        <v/>
      </c>
      <c r="W33" s="1">
        <f>IF(U33="","", 100*_xlfn.STDEV.P(U32:U33)/AVERAGE(U32:U33))</f>
        <v/>
      </c>
      <c r="X33" s="8">
        <f t="array" ref="X33">IF(U33="","", IFERROR(((IF(U$5&lt;&gt;"", U$5*M$5, 0) + SUMPRODUCT(--(U$6:U33&lt;&gt;""), U$6:U33, (M$6:M33-M$5:M32)))/1000), ""))</f>
        <v/>
      </c>
    </row>
    <row r="34">
      <c r="A34" s="1">
        <f>A33+20</f>
        <v/>
      </c>
      <c r="B34" s="1">
        <f>C33</f>
        <v/>
      </c>
      <c r="E34" t="inlineStr">
        <is>
          <t>100mL/2.5s/15s</t>
        </is>
      </c>
      <c r="I34" s="1">
        <f>IF(C34="", "", (B34-C34)*1000/(A34-A33))</f>
        <v/>
      </c>
      <c r="J34" s="1">
        <f>IF(I34="","",I34/F$2/2.5)</f>
        <v/>
      </c>
      <c r="K34" s="1">
        <f>IF(I34="","", 100*_xlfn.STDEV.P(I33:I34)/AVERAGE(I33:I34))</f>
        <v/>
      </c>
      <c r="L34" s="8">
        <f t="array" ref="L34">IF(I34="","", IFERROR(((IF(I$5&lt;&gt;"", I$5*A$5, 0) + SUMPRODUCT(--(I$6:I34&lt;&gt;""), I$6:I34, (A$6:A34-A$5:A33)))/1000), ""))</f>
        <v/>
      </c>
      <c r="M34" s="1">
        <f>M33+20</f>
        <v/>
      </c>
      <c r="N34" s="1">
        <f>O33</f>
        <v/>
      </c>
      <c r="Q34" t="inlineStr">
        <is>
          <t>100mL/2.5s/15s</t>
        </is>
      </c>
      <c r="U34" s="1">
        <f>IF(O34="", "", (N34-O34)*1000/(M34-M33))</f>
        <v/>
      </c>
      <c r="V34" s="1">
        <f>IF(U34="","",U34/R$2/2.5)</f>
        <v/>
      </c>
      <c r="W34" s="1">
        <f>IF(U34="","", 100*_xlfn.STDEV.P(U33:U34)/AVERAGE(U33:U34))</f>
        <v/>
      </c>
      <c r="X34" s="8">
        <f t="array" ref="X34">IF(U34="","", IFERROR(((IF(U$5&lt;&gt;"", U$5*M$5, 0) + SUMPRODUCT(--(U$6:U34&lt;&gt;""), U$6:U34, (M$6:M34-M$5:M33)))/1000), ""))</f>
        <v/>
      </c>
    </row>
    <row r="35">
      <c r="A35" s="1">
        <f>A34+20</f>
        <v/>
      </c>
      <c r="B35" s="1">
        <f>C34</f>
        <v/>
      </c>
      <c r="E35" t="inlineStr">
        <is>
          <t>100mL/2.5s/15s</t>
        </is>
      </c>
      <c r="I35" s="1">
        <f>IF(C35="", "", (B35-C35)*1000/(A35-A34))</f>
        <v/>
      </c>
      <c r="J35" s="1">
        <f>IF(I35="","",I35/F$2/2.5)</f>
        <v/>
      </c>
      <c r="K35" s="1">
        <f>IF(I35="","", 100*_xlfn.STDEV.P(I34:I35)/AVERAGE(I34:I35))</f>
        <v/>
      </c>
      <c r="L35" s="8">
        <f t="array" ref="L35">IF(I35="","", IFERROR(((IF(I$5&lt;&gt;"", I$5*A$5, 0) + SUMPRODUCT(--(I$6:I35&lt;&gt;""), I$6:I35, (A$6:A35-A$5:A34)))/1000), ""))</f>
        <v/>
      </c>
      <c r="M35" s="1">
        <f>M34+20</f>
        <v/>
      </c>
      <c r="N35" s="1">
        <f>O34</f>
        <v/>
      </c>
      <c r="Q35" t="inlineStr">
        <is>
          <t>100mL/2.5s/15s</t>
        </is>
      </c>
      <c r="U35" s="1">
        <f>IF(O35="", "", (N35-O35)*1000/(M35-M34))</f>
        <v/>
      </c>
      <c r="V35" s="1">
        <f>IF(U35="","",U35/R$2/2.5)</f>
        <v/>
      </c>
      <c r="W35" s="1">
        <f>IF(U35="","", 100*_xlfn.STDEV.P(U34:U35)/AVERAGE(U34:U35))</f>
        <v/>
      </c>
      <c r="X35" s="8">
        <f t="array" ref="X35">IF(U35="","", IFERROR(((IF(U$5&lt;&gt;"", U$5*M$5, 0) + SUMPRODUCT(--(U$6:U35&lt;&gt;""), U$6:U35, (M$6:M35-M$5:M34)))/1000), ""))</f>
        <v/>
      </c>
    </row>
    <row r="36">
      <c r="A36" s="1">
        <f>A35+20</f>
        <v/>
      </c>
      <c r="B36" s="1">
        <f>C35</f>
        <v/>
      </c>
      <c r="E36" t="inlineStr">
        <is>
          <t>100mL/2.5s/15s</t>
        </is>
      </c>
      <c r="I36" s="1">
        <f>IF(C36="", "", (B36-C36)*1000/(A36-A35))</f>
        <v/>
      </c>
      <c r="J36" s="1">
        <f>IF(I36="","",I36/F$2/2.5)</f>
        <v/>
      </c>
      <c r="K36" s="1">
        <f>IF(I36="","", 100*_xlfn.STDEV.P(I35:I36)/AVERAGE(I35:I36))</f>
        <v/>
      </c>
      <c r="L36" s="8">
        <f t="array" ref="L36">IF(I36="","", IFERROR(((IF(I$5&lt;&gt;"", I$5*A$5, 0) + SUMPRODUCT(--(I$6:I36&lt;&gt;""), I$6:I36, (A$6:A36-A$5:A35)))/1000), ""))</f>
        <v/>
      </c>
      <c r="M36" s="1">
        <f>M35+20</f>
        <v/>
      </c>
      <c r="N36" s="1">
        <f>O35</f>
        <v/>
      </c>
      <c r="Q36" t="inlineStr">
        <is>
          <t>100mL/2.5s/15s</t>
        </is>
      </c>
      <c r="U36" s="1">
        <f>IF(O36="", "", (N36-O36)*1000/(M36-M35))</f>
        <v/>
      </c>
      <c r="V36" s="1">
        <f>IF(U36="","",U36/R$2/2.5)</f>
        <v/>
      </c>
      <c r="W36" s="1">
        <f>IF(U36="","", 100*_xlfn.STDEV.P(U35:U36)/AVERAGE(U35:U36))</f>
        <v/>
      </c>
      <c r="X36" s="8">
        <f t="array" ref="X36">IF(U36="","", IFERROR(((IF(U$5&lt;&gt;"", U$5*M$5, 0) + SUMPRODUCT(--(U$6:U36&lt;&gt;""), U$6:U36, (M$6:M36-M$5:M35)))/1000), ""))</f>
        <v/>
      </c>
    </row>
    <row r="37">
      <c r="A37" s="1">
        <f>A36+20</f>
        <v/>
      </c>
      <c r="B37" s="1">
        <f>C36</f>
        <v/>
      </c>
      <c r="E37" t="inlineStr">
        <is>
          <t>100mL/2.5s/15s</t>
        </is>
      </c>
      <c r="I37" s="1">
        <f>IF(C37="", "", (B37-C37)*1000/(A37-A36))</f>
        <v/>
      </c>
      <c r="J37" s="1">
        <f>IF(I37="","",I37/F$2/2.5)</f>
        <v/>
      </c>
      <c r="K37" s="1">
        <f>IF(I37="","", 100*_xlfn.STDEV.P(I36:I37)/AVERAGE(I36:I37))</f>
        <v/>
      </c>
      <c r="L37" s="8">
        <f t="array" ref="L37">IF(I37="","", IFERROR(((IF(I$5&lt;&gt;"", I$5*A$5, 0) + SUMPRODUCT(--(I$6:I37&lt;&gt;""), I$6:I37, (A$6:A37-A$5:A36)))/1000), ""))</f>
        <v/>
      </c>
      <c r="M37" s="1">
        <f>M36+20</f>
        <v/>
      </c>
      <c r="N37" s="1">
        <f>O36</f>
        <v/>
      </c>
      <c r="Q37" t="inlineStr">
        <is>
          <t>100mL/2.5s/15s</t>
        </is>
      </c>
      <c r="U37" s="1">
        <f>IF(O37="", "", (N37-O37)*1000/(M37-M36))</f>
        <v/>
      </c>
      <c r="V37" s="1">
        <f>IF(U37="","",U37/R$2/2.5)</f>
        <v/>
      </c>
      <c r="W37" s="1">
        <f>IF(U37="","", 100*_xlfn.STDEV.P(U36:U37)/AVERAGE(U36:U37))</f>
        <v/>
      </c>
      <c r="X37" s="8">
        <f t="array" ref="X37">IF(U37="","", IFERROR(((IF(U$5&lt;&gt;"", U$5*M$5, 0) + SUMPRODUCT(--(U$6:U37&lt;&gt;""), U$6:U37, (M$6:M37-M$5:M36)))/1000), ""))</f>
        <v/>
      </c>
    </row>
    <row r="38">
      <c r="A38" s="1">
        <f>A37+20</f>
        <v/>
      </c>
      <c r="B38" s="1">
        <f>C37</f>
        <v/>
      </c>
      <c r="E38" t="inlineStr">
        <is>
          <t>100mL/2.5s/15s</t>
        </is>
      </c>
      <c r="I38" s="1">
        <f>IF(C38="", "", (B38-C38)*1000/(A38-A37))</f>
        <v/>
      </c>
      <c r="J38" s="1">
        <f>IF(I38="","",I38/F$2/2.5)</f>
        <v/>
      </c>
      <c r="K38" s="1">
        <f>IF(I38="","", 100*_xlfn.STDEV.P(I37:I38)/AVERAGE(I37:I38))</f>
        <v/>
      </c>
      <c r="L38" s="8">
        <f t="array" ref="L38">IF(I38="","", IFERROR(((IF(I$5&lt;&gt;"", I$5*A$5, 0) + SUMPRODUCT(--(I$6:I38&lt;&gt;""), I$6:I38, (A$6:A38-A$5:A37)))/1000), ""))</f>
        <v/>
      </c>
      <c r="M38" s="1">
        <f>M37+20</f>
        <v/>
      </c>
      <c r="N38" s="1">
        <f>O37</f>
        <v/>
      </c>
      <c r="Q38" t="inlineStr">
        <is>
          <t>100mL/2.5s/15s</t>
        </is>
      </c>
      <c r="U38" s="1">
        <f>IF(O38="", "", (N38-O38)*1000/(M38-M37))</f>
        <v/>
      </c>
      <c r="V38" s="1">
        <f>IF(U38="","",U38/R$2/2.5)</f>
        <v/>
      </c>
      <c r="W38" s="1">
        <f>IF(U38="","", 100*_xlfn.STDEV.P(U37:U38)/AVERAGE(U37:U38))</f>
        <v/>
      </c>
      <c r="X38" s="8">
        <f t="array" ref="X38">IF(U38="","", IFERROR(((IF(U$5&lt;&gt;"", U$5*M$5, 0) + SUMPRODUCT(--(U$6:U38&lt;&gt;""), U$6:U38, (M$6:M38-M$5:M37)))/1000), ""))</f>
        <v/>
      </c>
    </row>
    <row r="39">
      <c r="A39" s="1">
        <f>A38+20</f>
        <v/>
      </c>
      <c r="B39" s="1">
        <f>C38</f>
        <v/>
      </c>
      <c r="E39" t="inlineStr">
        <is>
          <t>100mL/2.5s/15s</t>
        </is>
      </c>
      <c r="I39" s="1">
        <f>IF(C39="", "", (B39-C39)*1000/(A39-A38))</f>
        <v/>
      </c>
      <c r="J39" s="1">
        <f>IF(I39="","",I39/F$2/2.5)</f>
        <v/>
      </c>
      <c r="K39" s="1">
        <f>IF(I39="","", 100*_xlfn.STDEV.P(I38:I39)/AVERAGE(I38:I39))</f>
        <v/>
      </c>
      <c r="L39" s="8">
        <f t="array" ref="L39">IF(I39="","", IFERROR(((IF(I$5&lt;&gt;"", I$5*A$5, 0) + SUMPRODUCT(--(I$6:I39&lt;&gt;""), I$6:I39, (A$6:A39-A$5:A38)))/1000), ""))</f>
        <v/>
      </c>
      <c r="M39" s="1">
        <f>M38+20</f>
        <v/>
      </c>
      <c r="N39" s="1">
        <f>O38</f>
        <v/>
      </c>
      <c r="Q39" t="inlineStr">
        <is>
          <t>100mL/2.5s/15s</t>
        </is>
      </c>
      <c r="U39" s="1">
        <f>IF(O39="", "", (N39-O39)*1000/(M39-M38))</f>
        <v/>
      </c>
      <c r="V39" s="1">
        <f>IF(U39="","",U39/R$2/2.5)</f>
        <v/>
      </c>
      <c r="W39" s="1">
        <f>IF(U39="","", 100*_xlfn.STDEV.P(U38:U39)/AVERAGE(U38:U39))</f>
        <v/>
      </c>
      <c r="X39" s="8">
        <f t="array" ref="X39">IF(U39="","", IFERROR(((IF(U$5&lt;&gt;"", U$5*M$5, 0) + SUMPRODUCT(--(U$6:U39&lt;&gt;""), U$6:U39, (M$6:M39-M$5:M38)))/1000), ""))</f>
        <v/>
      </c>
    </row>
    <row r="40">
      <c r="A40" s="1">
        <f>A39+20</f>
        <v/>
      </c>
      <c r="B40" s="1">
        <f>C39</f>
        <v/>
      </c>
      <c r="E40" t="inlineStr">
        <is>
          <t>100mL/2.5s/15s</t>
        </is>
      </c>
      <c r="I40" s="1">
        <f>IF(C40="", "", (B40-C40)*1000/(A40-A39))</f>
        <v/>
      </c>
      <c r="J40" s="1">
        <f>IF(I40="","",I40/F$2/2.5)</f>
        <v/>
      </c>
      <c r="K40" s="1">
        <f>IF(I40="","", 100*_xlfn.STDEV.P(I39:I40)/AVERAGE(I39:I40))</f>
        <v/>
      </c>
      <c r="L40" s="8">
        <f t="array" ref="L40">IF(I40="","", IFERROR(((IF(I$5&lt;&gt;"", I$5*A$5, 0) + SUMPRODUCT(--(I$6:I40&lt;&gt;""), I$6:I40, (A$6:A40-A$5:A39)))/1000), ""))</f>
        <v/>
      </c>
      <c r="M40" s="1">
        <f>M39+20</f>
        <v/>
      </c>
      <c r="N40" s="1">
        <f>O39</f>
        <v/>
      </c>
      <c r="Q40" t="inlineStr">
        <is>
          <t>100mL/2.5s/15s</t>
        </is>
      </c>
      <c r="U40" s="1">
        <f>IF(O40="", "", (N40-O40)*1000/(M40-M39))</f>
        <v/>
      </c>
      <c r="V40" s="1">
        <f>IF(U40="","",U40/R$2/2.5)</f>
        <v/>
      </c>
      <c r="W40" s="1">
        <f>IF(U40="","", 100*_xlfn.STDEV.P(U39:U40)/AVERAGE(U39:U40))</f>
        <v/>
      </c>
      <c r="X40" s="8">
        <f t="array" ref="X40">IF(U40="","", IFERROR(((IF(U$5&lt;&gt;"", U$5*M$5, 0) + SUMPRODUCT(--(U$6:U40&lt;&gt;""), U$6:U40, (M$6:M40-M$5:M39)))/1000), ""))</f>
        <v/>
      </c>
    </row>
    <row r="41">
      <c r="A41" s="1">
        <f>A40+20</f>
        <v/>
      </c>
      <c r="B41" s="1">
        <f>C40</f>
        <v/>
      </c>
      <c r="E41" t="inlineStr">
        <is>
          <t>100mL/2.5s/15s</t>
        </is>
      </c>
      <c r="I41" s="1">
        <f>IF(C41="", "", (B41-C41)*1000/(A41-A40))</f>
        <v/>
      </c>
      <c r="J41" s="1">
        <f>IF(I41="","",I41/F$2/2.5)</f>
        <v/>
      </c>
      <c r="K41" s="1">
        <f>IF(I41="","", 100*_xlfn.STDEV.P(I40:I41)/AVERAGE(I40:I41))</f>
        <v/>
      </c>
      <c r="L41" s="8">
        <f t="array" ref="L41">IF(I41="","", IFERROR(((IF(I$5&lt;&gt;"", I$5*A$5, 0) + SUMPRODUCT(--(I$6:I41&lt;&gt;""), I$6:I41, (A$6:A41-A$5:A40)))/1000), ""))</f>
        <v/>
      </c>
      <c r="M41" s="1">
        <f>M40+20</f>
        <v/>
      </c>
      <c r="N41" s="1">
        <f>O40</f>
        <v/>
      </c>
      <c r="Q41" t="inlineStr">
        <is>
          <t>100mL/2.5s/15s</t>
        </is>
      </c>
      <c r="U41" s="1">
        <f>IF(O41="", "", (N41-O41)*1000/(M41-M40))</f>
        <v/>
      </c>
      <c r="V41" s="1">
        <f>IF(U41="","",U41/R$2/2.5)</f>
        <v/>
      </c>
      <c r="W41" s="1">
        <f>IF(U41="","", 100*_xlfn.STDEV.P(U40:U41)/AVERAGE(U40:U41))</f>
        <v/>
      </c>
      <c r="X41" s="8">
        <f t="array" ref="X41">IF(U41="","", IFERROR(((IF(U$5&lt;&gt;"", U$5*M$5, 0) + SUMPRODUCT(--(U$6:U41&lt;&gt;""), U$6:U41, (M$6:M41-M$5:M40)))/1000), ""))</f>
        <v/>
      </c>
    </row>
    <row r="42">
      <c r="A42" s="1">
        <f>A41+20</f>
        <v/>
      </c>
      <c r="B42" s="1">
        <f>C41</f>
        <v/>
      </c>
      <c r="E42" t="inlineStr">
        <is>
          <t>100mL/2.5s/15s</t>
        </is>
      </c>
      <c r="I42" s="1">
        <f>IF(C42="", "", (B42-C42)*1000/(A42-A41))</f>
        <v/>
      </c>
      <c r="J42" s="1">
        <f>IF(I42="","",I42/F$2/2.5)</f>
        <v/>
      </c>
      <c r="K42" s="1">
        <f>IF(I42="","", 100*_xlfn.STDEV.P(I41:I42)/AVERAGE(I41:I42))</f>
        <v/>
      </c>
      <c r="L42" s="8">
        <f t="array" ref="L42">IF(I42="","", IFERROR(((IF(I$5&lt;&gt;"", I$5*A$5, 0) + SUMPRODUCT(--(I$6:I42&lt;&gt;""), I$6:I42, (A$6:A42-A$5:A41)))/1000), ""))</f>
        <v/>
      </c>
      <c r="M42" s="1">
        <f>M41+20</f>
        <v/>
      </c>
      <c r="N42" s="1">
        <f>O41</f>
        <v/>
      </c>
      <c r="Q42" t="inlineStr">
        <is>
          <t>100mL/2.5s/15s</t>
        </is>
      </c>
      <c r="U42" s="1">
        <f>IF(O42="", "", (N42-O42)*1000/(M42-M41))</f>
        <v/>
      </c>
      <c r="V42" s="1">
        <f>IF(U42="","",U42/R$2/2.5)</f>
        <v/>
      </c>
      <c r="W42" s="1">
        <f>IF(U42="","", 100*_xlfn.STDEV.P(U41:U42)/AVERAGE(U41:U42))</f>
        <v/>
      </c>
      <c r="X42" s="8">
        <f t="array" ref="X42">IF(U42="","", IFERROR(((IF(U$5&lt;&gt;"", U$5*M$5, 0) + SUMPRODUCT(--(U$6:U42&lt;&gt;""), U$6:U42, (M$6:M42-M$5:M41)))/1000), ""))</f>
        <v/>
      </c>
    </row>
    <row r="43">
      <c r="A43" s="1">
        <f>A42+20</f>
        <v/>
      </c>
      <c r="B43" s="1">
        <f>C42</f>
        <v/>
      </c>
      <c r="E43" t="inlineStr">
        <is>
          <t>100mL/2.5s/15s</t>
        </is>
      </c>
      <c r="I43" s="1">
        <f>IF(C43="", "", (B43-C43)*1000/(A43-A42))</f>
        <v/>
      </c>
      <c r="J43" s="1">
        <f>IF(I43="","",I43/F$2/2.5)</f>
        <v/>
      </c>
      <c r="K43" s="1">
        <f>IF(I43="","", 100*_xlfn.STDEV.P(I42:I43)/AVERAGE(I42:I43))</f>
        <v/>
      </c>
      <c r="L43" s="8">
        <f t="array" ref="L43">IF(I43="","", IFERROR(((IF(I$5&lt;&gt;"", I$5*A$5, 0) + SUMPRODUCT(--(I$6:I43&lt;&gt;""), I$6:I43, (A$6:A43-A$5:A42)))/1000), ""))</f>
        <v/>
      </c>
      <c r="M43" s="1">
        <f>M42+20</f>
        <v/>
      </c>
      <c r="N43" s="1">
        <f>O42</f>
        <v/>
      </c>
      <c r="Q43" t="inlineStr">
        <is>
          <t>100mL/2.5s/15s</t>
        </is>
      </c>
      <c r="U43" s="1">
        <f>IF(O43="", "", (N43-O43)*1000/(M43-M42))</f>
        <v/>
      </c>
      <c r="V43" s="1">
        <f>IF(U43="","",U43/R$2/2.5)</f>
        <v/>
      </c>
      <c r="W43" s="1">
        <f>IF(U43="","", 100*_xlfn.STDEV.P(U42:U43)/AVERAGE(U42:U43))</f>
        <v/>
      </c>
      <c r="X43" s="8">
        <f t="array" ref="X43">IF(U43="","", IFERROR(((IF(U$5&lt;&gt;"", U$5*M$5, 0) + SUMPRODUCT(--(U$6:U43&lt;&gt;""), U$6:U43, (M$6:M43-M$5:M42)))/1000), ""))</f>
        <v/>
      </c>
    </row>
    <row r="44">
      <c r="A44" s="1">
        <f>A43+20</f>
        <v/>
      </c>
      <c r="B44" s="1">
        <f>C43</f>
        <v/>
      </c>
      <c r="E44" t="inlineStr">
        <is>
          <t>100mL/2.5s/15s</t>
        </is>
      </c>
      <c r="I44" s="1">
        <f>IF(C44="", "", (B44-C44)*1000/(A44-A43))</f>
        <v/>
      </c>
      <c r="J44" s="1">
        <f>IF(I44="","",I44/F$2/2.5)</f>
        <v/>
      </c>
      <c r="K44" s="1">
        <f>IF(I44="","", 100*_xlfn.STDEV.P(I43:I44)/AVERAGE(I43:I44))</f>
        <v/>
      </c>
      <c r="L44" s="8">
        <f t="array" ref="L44">IF(I44="","", IFERROR(((IF(I$5&lt;&gt;"", I$5*A$5, 0) + SUMPRODUCT(--(I$6:I44&lt;&gt;""), I$6:I44, (A$6:A44-A$5:A43)))/1000), ""))</f>
        <v/>
      </c>
      <c r="M44" s="1">
        <f>M43+20</f>
        <v/>
      </c>
      <c r="N44" s="1">
        <f>O43</f>
        <v/>
      </c>
      <c r="Q44" t="inlineStr">
        <is>
          <t>100mL/2.5s/15s</t>
        </is>
      </c>
      <c r="U44" s="1">
        <f>IF(O44="", "", (N44-O44)*1000/(M44-M43))</f>
        <v/>
      </c>
      <c r="V44" s="1">
        <f>IF(U44="","",U44/R$2/2.5)</f>
        <v/>
      </c>
      <c r="W44" s="1">
        <f>IF(U44="","", 100*_xlfn.STDEV.P(U43:U44)/AVERAGE(U43:U44))</f>
        <v/>
      </c>
      <c r="X44" s="8">
        <f t="array" ref="X44">IF(U44="","", IFERROR(((IF(U$5&lt;&gt;"", U$5*M$5, 0) + SUMPRODUCT(--(U$6:U44&lt;&gt;""), U$6:U44, (M$6:M44-M$5:M43)))/1000), ""))</f>
        <v/>
      </c>
    </row>
    <row r="45">
      <c r="A45" s="1">
        <f>A44+20</f>
        <v/>
      </c>
      <c r="B45" s="1">
        <f>C44</f>
        <v/>
      </c>
      <c r="E45" t="inlineStr">
        <is>
          <t>100mL/2.5s/15s</t>
        </is>
      </c>
      <c r="I45" s="1">
        <f>IF(C45="", "", (B45-C45)*1000/(A45-A44))</f>
        <v/>
      </c>
      <c r="J45" s="1">
        <f>IF(I45="","",I45/F$2/2.5)</f>
        <v/>
      </c>
      <c r="K45" s="1">
        <f>IF(I45="","", 100*_xlfn.STDEV.P(I44:I45)/AVERAGE(I44:I45))</f>
        <v/>
      </c>
      <c r="L45" s="8">
        <f t="array" ref="L45">IF(I45="","", IFERROR(((IF(I$5&lt;&gt;"", I$5*A$5, 0) + SUMPRODUCT(--(I$6:I45&lt;&gt;""), I$6:I45, (A$6:A45-A$5:A44)))/1000), ""))</f>
        <v/>
      </c>
      <c r="M45" s="1">
        <f>M44+20</f>
        <v/>
      </c>
      <c r="N45" s="1">
        <f>O44</f>
        <v/>
      </c>
      <c r="Q45" t="inlineStr">
        <is>
          <t>100mL/2.5s/15s</t>
        </is>
      </c>
      <c r="U45" s="1">
        <f>IF(O45="", "", (N45-O45)*1000/(M45-M44))</f>
        <v/>
      </c>
      <c r="V45" s="1">
        <f>IF(U45="","",U45/R$2/2.5)</f>
        <v/>
      </c>
      <c r="W45" s="1">
        <f>IF(U45="","", 100*_xlfn.STDEV.P(U44:U45)/AVERAGE(U44:U45))</f>
        <v/>
      </c>
      <c r="X45" s="8">
        <f t="array" ref="X45">IF(U45="","", IFERROR(((IF(U$5&lt;&gt;"", U$5*M$5, 0) + SUMPRODUCT(--(U$6:U45&lt;&gt;""), U$6:U45, (M$6:M45-M$5:M44)))/1000), ""))</f>
        <v/>
      </c>
    </row>
    <row r="46">
      <c r="A46" s="1">
        <f>A45+20</f>
        <v/>
      </c>
      <c r="B46" s="1">
        <f>C45</f>
        <v/>
      </c>
      <c r="E46" t="inlineStr">
        <is>
          <t>100mL/2.5s/15s</t>
        </is>
      </c>
      <c r="I46" s="1">
        <f>IF(C46="", "", (B46-C46)*1000/(A46-A45))</f>
        <v/>
      </c>
      <c r="J46" s="1">
        <f>IF(I46="","",I46/F$2/2.5)</f>
        <v/>
      </c>
      <c r="K46" s="1">
        <f>IF(I46="","", 100*_xlfn.STDEV.P(I45:I46)/AVERAGE(I45:I46))</f>
        <v/>
      </c>
      <c r="L46" s="8">
        <f t="array" ref="L46">IF(I46="","", IFERROR(((IF(I$5&lt;&gt;"", I$5*A$5, 0) + SUMPRODUCT(--(I$6:I46&lt;&gt;""), I$6:I46, (A$6:A46-A$5:A45)))/1000), ""))</f>
        <v/>
      </c>
      <c r="M46" s="1">
        <f>M45+20</f>
        <v/>
      </c>
      <c r="N46" s="1">
        <f>O45</f>
        <v/>
      </c>
      <c r="Q46" t="inlineStr">
        <is>
          <t>100mL/2.5s/15s</t>
        </is>
      </c>
      <c r="U46" s="1">
        <f>IF(O46="", "", (N46-O46)*1000/(M46-M45))</f>
        <v/>
      </c>
      <c r="V46" s="1">
        <f>IF(U46="","",U46/R$2/2.5)</f>
        <v/>
      </c>
      <c r="W46" s="1">
        <f>IF(U46="","", 100*_xlfn.STDEV.P(U45:U46)/AVERAGE(U45:U46))</f>
        <v/>
      </c>
      <c r="X46" s="8">
        <f t="array" ref="X46">IF(U46="","", IFERROR(((IF(U$5&lt;&gt;"", U$5*M$5, 0) + SUMPRODUCT(--(U$6:U46&lt;&gt;""), U$6:U46, (M$6:M46-M$5:M45)))/1000), ""))</f>
        <v/>
      </c>
    </row>
    <row r="47">
      <c r="A47" s="1">
        <f>A46+20</f>
        <v/>
      </c>
      <c r="B47" s="1">
        <f>C46</f>
        <v/>
      </c>
      <c r="E47" t="inlineStr">
        <is>
          <t>100mL/2.5s/15s</t>
        </is>
      </c>
      <c r="I47" s="1">
        <f>IF(C47="", "", (B47-C47)*1000/(A47-A46))</f>
        <v/>
      </c>
      <c r="J47" s="1">
        <f>IF(I47="","",I47/F$2/2.5)</f>
        <v/>
      </c>
      <c r="K47" s="1">
        <f>IF(I47="","", 100*_xlfn.STDEV.P(I46:I47)/AVERAGE(I46:I47))</f>
        <v/>
      </c>
      <c r="L47" s="8">
        <f t="array" ref="L47">IF(I47="","", IFERROR(((IF(I$5&lt;&gt;"", I$5*A$5, 0) + SUMPRODUCT(--(I$6:I47&lt;&gt;""), I$6:I47, (A$6:A47-A$5:A46)))/1000), ""))</f>
        <v/>
      </c>
      <c r="M47" s="1">
        <f>M46+20</f>
        <v/>
      </c>
      <c r="N47" s="1">
        <f>O46</f>
        <v/>
      </c>
      <c r="Q47" t="inlineStr">
        <is>
          <t>100mL/2.5s/15s</t>
        </is>
      </c>
      <c r="U47" s="1">
        <f>IF(O47="", "", (N47-O47)*1000/(M47-M46))</f>
        <v/>
      </c>
      <c r="V47" s="1">
        <f>IF(U47="","",U47/R$2/2.5)</f>
        <v/>
      </c>
      <c r="W47" s="1">
        <f>IF(U47="","", 100*_xlfn.STDEV.P(U46:U47)/AVERAGE(U46:U47))</f>
        <v/>
      </c>
      <c r="X47" s="8">
        <f t="array" ref="X47">IF(U47="","", IFERROR(((IF(U$5&lt;&gt;"", U$5*M$5, 0) + SUMPRODUCT(--(U$6:U47&lt;&gt;""), U$6:U47, (M$6:M47-M$5:M46)))/1000), ""))</f>
        <v/>
      </c>
    </row>
    <row r="48">
      <c r="A48" s="1">
        <f>A47+20</f>
        <v/>
      </c>
      <c r="B48" s="1">
        <f>C47</f>
        <v/>
      </c>
      <c r="E48" t="inlineStr">
        <is>
          <t>100mL/2.5s/15s</t>
        </is>
      </c>
      <c r="I48" s="1">
        <f>IF(C48="", "", (B48-C48)*1000/(A48-A47))</f>
        <v/>
      </c>
      <c r="J48" s="1">
        <f>IF(I48="","",I48/F$2/2.5)</f>
        <v/>
      </c>
      <c r="K48" s="1">
        <f>IF(I48="","", 100*_xlfn.STDEV.P(I47:I48)/AVERAGE(I47:I48))</f>
        <v/>
      </c>
      <c r="L48" s="8">
        <f t="array" ref="L48">IF(I48="","", IFERROR(((IF(I$5&lt;&gt;"", I$5*A$5, 0) + SUMPRODUCT(--(I$6:I48&lt;&gt;""), I$6:I48, (A$6:A48-A$5:A47)))/1000), ""))</f>
        <v/>
      </c>
      <c r="M48" s="1">
        <f>M47+20</f>
        <v/>
      </c>
      <c r="N48" s="1">
        <f>O47</f>
        <v/>
      </c>
      <c r="Q48" t="inlineStr">
        <is>
          <t>100mL/2.5s/15s</t>
        </is>
      </c>
      <c r="U48" s="1">
        <f>IF(O48="", "", (N48-O48)*1000/(M48-M47))</f>
        <v/>
      </c>
      <c r="V48" s="1">
        <f>IF(U48="","",U48/R$2/2.5)</f>
        <v/>
      </c>
      <c r="W48" s="1">
        <f>IF(U48="","", 100*_xlfn.STDEV.P(U47:U48)/AVERAGE(U47:U48))</f>
        <v/>
      </c>
      <c r="X48" s="8">
        <f t="array" ref="X48">IF(U48="","", IFERROR(((IF(U$5&lt;&gt;"", U$5*M$5, 0) + SUMPRODUCT(--(U$6:U48&lt;&gt;""), U$6:U48, (M$6:M48-M$5:M47)))/1000), ""))</f>
        <v/>
      </c>
    </row>
    <row r="49">
      <c r="A49" s="1">
        <f>A48+20</f>
        <v/>
      </c>
      <c r="B49" s="1">
        <f>C48</f>
        <v/>
      </c>
      <c r="E49" t="inlineStr">
        <is>
          <t>100mL/2.5s/15s</t>
        </is>
      </c>
      <c r="I49" s="1">
        <f>IF(C49="", "", (B49-C49)*1000/(A49-A48))</f>
        <v/>
      </c>
      <c r="J49" s="1">
        <f>IF(I49="","",I49/F$2/2.5)</f>
        <v/>
      </c>
      <c r="K49" s="1">
        <f>IF(I49="","", 100*_xlfn.STDEV.P(I48:I49)/AVERAGE(I48:I49))</f>
        <v/>
      </c>
      <c r="L49" s="8">
        <f t="array" ref="L49">IF(I49="","", IFERROR(((IF(I$5&lt;&gt;"", I$5*A$5, 0) + SUMPRODUCT(--(I$6:I49&lt;&gt;""), I$6:I49, (A$6:A49-A$5:A48)))/1000), ""))</f>
        <v/>
      </c>
      <c r="M49" s="1">
        <f>M48+20</f>
        <v/>
      </c>
      <c r="N49" s="1">
        <f>O48</f>
        <v/>
      </c>
      <c r="Q49" t="inlineStr">
        <is>
          <t>100mL/2.5s/15s</t>
        </is>
      </c>
      <c r="U49" s="1">
        <f>IF(O49="", "", (N49-O49)*1000/(M49-M48))</f>
        <v/>
      </c>
      <c r="V49" s="1">
        <f>IF(U49="","",U49/R$2/2.5)</f>
        <v/>
      </c>
      <c r="W49" s="1">
        <f>IF(U49="","", 100*_xlfn.STDEV.P(U48:U49)/AVERAGE(U48:U49))</f>
        <v/>
      </c>
      <c r="X49" s="8">
        <f t="array" ref="X49">IF(U49="","", IFERROR(((IF(U$5&lt;&gt;"", U$5*M$5, 0) + SUMPRODUCT(--(U$6:U49&lt;&gt;""), U$6:U49, (M$6:M49-M$5:M48)))/1000), ""))</f>
        <v/>
      </c>
    </row>
    <row r="50">
      <c r="A50" s="1">
        <f>A49+20</f>
        <v/>
      </c>
      <c r="B50" s="1">
        <f>C49</f>
        <v/>
      </c>
      <c r="E50" t="inlineStr">
        <is>
          <t>100mL/2.5s/15s</t>
        </is>
      </c>
      <c r="I50" s="1">
        <f>IF(C50="", "", (B50-C50)*1000/(A50-A49))</f>
        <v/>
      </c>
      <c r="J50" s="1">
        <f>IF(I50="","",I50/F$2/2.5)</f>
        <v/>
      </c>
      <c r="K50" s="1">
        <f>IF(I50="","", 100*_xlfn.STDEV.P(I49:I50)/AVERAGE(I49:I50))</f>
        <v/>
      </c>
      <c r="L50" s="8">
        <f t="array" ref="L50">IF(I50="","", IFERROR(((IF(I$5&lt;&gt;"", I$5*A$5, 0) + SUMPRODUCT(--(I$6:I50&lt;&gt;""), I$6:I50, (A$6:A50-A$5:A49)))/1000), ""))</f>
        <v/>
      </c>
      <c r="M50" s="1">
        <f>M49+20</f>
        <v/>
      </c>
      <c r="N50" s="1">
        <f>O49</f>
        <v/>
      </c>
      <c r="Q50" t="inlineStr">
        <is>
          <t>100mL/2.5s/15s</t>
        </is>
      </c>
      <c r="U50" s="1">
        <f>IF(O50="", "", (N50-O50)*1000/(M50-M49))</f>
        <v/>
      </c>
      <c r="V50" s="1">
        <f>IF(U50="","",U50/R$2/2.5)</f>
        <v/>
      </c>
      <c r="W50" s="1">
        <f>IF(U50="","", 100*_xlfn.STDEV.P(U49:U50)/AVERAGE(U49:U50))</f>
        <v/>
      </c>
      <c r="X50" s="8">
        <f t="array" ref="X50">IF(U50="","", IFERROR(((IF(U$5&lt;&gt;"", U$5*M$5, 0) + SUMPRODUCT(--(U$6:U50&lt;&gt;""), U$6:U50, (M$6:M50-M$5:M49)))/1000), ""))</f>
        <v/>
      </c>
    </row>
    <row r="51">
      <c r="A51" s="1">
        <f>A50+20</f>
        <v/>
      </c>
      <c r="B51" s="1">
        <f>C50</f>
        <v/>
      </c>
      <c r="E51" t="inlineStr">
        <is>
          <t>100mL/2.5s/15s</t>
        </is>
      </c>
      <c r="I51" s="1">
        <f>IF(C51="", "", (B51-C51)*1000/(A51-A50))</f>
        <v/>
      </c>
      <c r="J51" s="1">
        <f>IF(I51="","",I51/F$2/2.5)</f>
        <v/>
      </c>
      <c r="K51" s="1">
        <f>IF(I51="","", 100*_xlfn.STDEV.P(I50:I51)/AVERAGE(I50:I51))</f>
        <v/>
      </c>
      <c r="L51" s="8">
        <f t="array" ref="L51">IF(I51="","", IFERROR(((IF(I$5&lt;&gt;"", I$5*A$5, 0) + SUMPRODUCT(--(I$6:I51&lt;&gt;""), I$6:I51, (A$6:A51-A$5:A50)))/1000), ""))</f>
        <v/>
      </c>
      <c r="M51" s="1">
        <f>M50+20</f>
        <v/>
      </c>
      <c r="N51" s="1">
        <f>O50</f>
        <v/>
      </c>
      <c r="Q51" t="inlineStr">
        <is>
          <t>100mL/2.5s/15s</t>
        </is>
      </c>
      <c r="U51" s="1">
        <f>IF(O51="", "", (N51-O51)*1000/(M51-M50))</f>
        <v/>
      </c>
      <c r="V51" s="1">
        <f>IF(U51="","",U51/R$2/2.5)</f>
        <v/>
      </c>
      <c r="W51" s="1">
        <f>IF(U51="","", 100*_xlfn.STDEV.P(U50:U51)/AVERAGE(U50:U51))</f>
        <v/>
      </c>
      <c r="X51" s="8">
        <f t="array" ref="X51">IF(U51="","", IFERROR(((IF(U$5&lt;&gt;"", U$5*M$5, 0) + SUMPRODUCT(--(U$6:U51&lt;&gt;""), U$6:U51, (M$6:M51-M$5:M50)))/1000), ""))</f>
        <v/>
      </c>
    </row>
    <row r="52">
      <c r="A52" s="1">
        <f>A51+20</f>
        <v/>
      </c>
      <c r="B52" s="1">
        <f>C51</f>
        <v/>
      </c>
      <c r="E52" t="inlineStr">
        <is>
          <t>100mL/2.5s/15s</t>
        </is>
      </c>
      <c r="I52" s="1">
        <f>IF(C52="", "", (B52-C52)*1000/(A52-A51))</f>
        <v/>
      </c>
      <c r="J52" s="1">
        <f>IF(I52="","",I52/F$2/2.5)</f>
        <v/>
      </c>
      <c r="K52" s="1">
        <f>IF(I52="","", 100*_xlfn.STDEV.P(I51:I52)/AVERAGE(I51:I52))</f>
        <v/>
      </c>
      <c r="L52" s="8">
        <f t="array" ref="L52">IF(I52="","", IFERROR(((IF(I$5&lt;&gt;"", I$5*A$5, 0) + SUMPRODUCT(--(I$6:I52&lt;&gt;""), I$6:I52, (A$6:A52-A$5:A51)))/1000), ""))</f>
        <v/>
      </c>
      <c r="M52" s="1">
        <f>M51+20</f>
        <v/>
      </c>
      <c r="N52" s="1">
        <f>O51</f>
        <v/>
      </c>
      <c r="Q52" t="inlineStr">
        <is>
          <t>100mL/2.5s/15s</t>
        </is>
      </c>
      <c r="U52" s="1">
        <f>IF(O52="", "", (N52-O52)*1000/(M52-M51))</f>
        <v/>
      </c>
      <c r="V52" s="1">
        <f>IF(U52="","",U52/R$2/2.5)</f>
        <v/>
      </c>
      <c r="W52" s="1">
        <f>IF(U52="","", 100*_xlfn.STDEV.P(U51:U52)/AVERAGE(U51:U52))</f>
        <v/>
      </c>
      <c r="X52" s="8">
        <f t="array" ref="X52">IF(U52="","", IFERROR(((IF(U$5&lt;&gt;"", U$5*M$5, 0) + SUMPRODUCT(--(U$6:U52&lt;&gt;""), U$6:U52, (M$6:M52-M$5:M51)))/1000), ""))</f>
        <v/>
      </c>
    </row>
    <row r="53">
      <c r="A53" s="1">
        <f>A52+20</f>
        <v/>
      </c>
      <c r="B53" s="1">
        <f>C52</f>
        <v/>
      </c>
      <c r="E53" t="inlineStr">
        <is>
          <t>100mL/2.5s/15s</t>
        </is>
      </c>
      <c r="I53" s="1">
        <f>IF(C53="", "", (B53-C53)*1000/(A53-A52))</f>
        <v/>
      </c>
      <c r="J53" s="1">
        <f>IF(I53="","",I53/F$2/2.5)</f>
        <v/>
      </c>
      <c r="K53" s="1">
        <f>IF(I53="","", 100*_xlfn.STDEV.P(I52:I53)/AVERAGE(I52:I53))</f>
        <v/>
      </c>
      <c r="L53" s="8">
        <f t="array" ref="L53">IF(I53="","", IFERROR(((IF(I$5&lt;&gt;"", I$5*A$5, 0) + SUMPRODUCT(--(I$6:I53&lt;&gt;""), I$6:I53, (A$6:A53-A$5:A52)))/1000), ""))</f>
        <v/>
      </c>
      <c r="M53" s="1">
        <f>M52+20</f>
        <v/>
      </c>
      <c r="N53" s="1">
        <f>O52</f>
        <v/>
      </c>
      <c r="Q53" t="inlineStr">
        <is>
          <t>100mL/2.5s/15s</t>
        </is>
      </c>
      <c r="U53" s="1">
        <f>IF(O53="", "", (N53-O53)*1000/(M53-M52))</f>
        <v/>
      </c>
      <c r="V53" s="1">
        <f>IF(U53="","",U53/R$2/2.5)</f>
        <v/>
      </c>
      <c r="W53" s="1">
        <f>IF(U53="","", 100*_xlfn.STDEV.P(U52:U53)/AVERAGE(U52:U53))</f>
        <v/>
      </c>
      <c r="X53" s="8">
        <f t="array" ref="X53">IF(U53="","", IFERROR(((IF(U$5&lt;&gt;"", U$5*M$5, 0) + SUMPRODUCT(--(U$6:U53&lt;&gt;""), U$6:U53, (M$6:M53-M$5:M52)))/1000), ""))</f>
        <v/>
      </c>
    </row>
    <row r="54">
      <c r="A54" s="1">
        <f>A53+20</f>
        <v/>
      </c>
      <c r="B54" s="1">
        <f>C53</f>
        <v/>
      </c>
      <c r="E54" t="inlineStr">
        <is>
          <t>100mL/2.5s/15s</t>
        </is>
      </c>
      <c r="I54" s="1">
        <f>IF(C54="", "", (B54-C54)*1000/(A54-A53))</f>
        <v/>
      </c>
      <c r="J54" s="1">
        <f>IF(I54="","",I54/F$2/2.5)</f>
        <v/>
      </c>
      <c r="K54" s="1">
        <f>IF(I54="","", 100*_xlfn.STDEV.P(I53:I54)/AVERAGE(I53:I54))</f>
        <v/>
      </c>
      <c r="L54" s="8">
        <f t="array" ref="L54">IF(I54="","", IFERROR(((IF(I$5&lt;&gt;"", I$5*A$5, 0) + SUMPRODUCT(--(I$6:I54&lt;&gt;""), I$6:I54, (A$6:A54-A$5:A53)))/1000), ""))</f>
        <v/>
      </c>
      <c r="M54" s="1">
        <f>M53+20</f>
        <v/>
      </c>
      <c r="N54" s="1">
        <f>O53</f>
        <v/>
      </c>
      <c r="Q54" t="inlineStr">
        <is>
          <t>100mL/2.5s/15s</t>
        </is>
      </c>
      <c r="U54" s="1">
        <f>IF(O54="", "", (N54-O54)*1000/(M54-M53))</f>
        <v/>
      </c>
      <c r="V54" s="1">
        <f>IF(U54="","",U54/R$2/2.5)</f>
        <v/>
      </c>
      <c r="W54" s="1">
        <f>IF(U54="","", 100*_xlfn.STDEV.P(U53:U54)/AVERAGE(U53:U54))</f>
        <v/>
      </c>
      <c r="X54" s="8">
        <f t="array" ref="X54">IF(U54="","", IFERROR(((IF(U$5&lt;&gt;"", U$5*M$5, 0) + SUMPRODUCT(--(U$6:U54&lt;&gt;""), U$6:U54, (M$6:M54-M$5:M53)))/1000), ""))</f>
        <v/>
      </c>
    </row>
    <row r="55">
      <c r="A55" s="1">
        <f>A54+20</f>
        <v/>
      </c>
      <c r="B55" s="1">
        <f>C54</f>
        <v/>
      </c>
      <c r="E55" t="inlineStr">
        <is>
          <t>100mL/2.5s/15s</t>
        </is>
      </c>
      <c r="I55" s="1">
        <f>IF(C55="", "", (B55-C55)*1000/(A55-A54))</f>
        <v/>
      </c>
      <c r="J55" s="1">
        <f>IF(I55="","",I55/F$2/2.5)</f>
        <v/>
      </c>
      <c r="K55" s="1">
        <f>IF(I55="","", 100*_xlfn.STDEV.P(I54:I55)/AVERAGE(I54:I55))</f>
        <v/>
      </c>
      <c r="L55" s="8">
        <f t="array" ref="L55">IF(I55="","", IFERROR(((IF(I$5&lt;&gt;"", I$5*A$5, 0) + SUMPRODUCT(--(I$6:I55&lt;&gt;""), I$6:I55, (A$6:A55-A$5:A54)))/1000), ""))</f>
        <v/>
      </c>
      <c r="M55" s="1">
        <f>M54+20</f>
        <v/>
      </c>
      <c r="N55" s="1">
        <f>O54</f>
        <v/>
      </c>
      <c r="Q55" t="inlineStr">
        <is>
          <t>100mL/2.5s/15s</t>
        </is>
      </c>
      <c r="U55" s="1">
        <f>IF(O55="", "", (N55-O55)*1000/(M55-M54))</f>
        <v/>
      </c>
      <c r="V55" s="1">
        <f>IF(U55="","",U55/R$2/2.5)</f>
        <v/>
      </c>
      <c r="W55" s="1">
        <f>IF(U55="","", 100*_xlfn.STDEV.P(U54:U55)/AVERAGE(U54:U55))</f>
        <v/>
      </c>
      <c r="X55" s="8">
        <f t="array" ref="X55">IF(U55="","", IFERROR(((IF(U$5&lt;&gt;"", U$5*M$5, 0) + SUMPRODUCT(--(U$6:U55&lt;&gt;""), U$6:U55, (M$6:M55-M$5:M54)))/1000), ""))</f>
        <v/>
      </c>
    </row>
    <row r="56">
      <c r="A56" s="1">
        <f>A55+20</f>
        <v/>
      </c>
      <c r="B56" s="1">
        <f>C55</f>
        <v/>
      </c>
      <c r="E56" t="inlineStr">
        <is>
          <t>100mL/2.5s/15s</t>
        </is>
      </c>
      <c r="I56" s="1">
        <f>IF(C56="", "", (B56-C56)*1000/(A56-A55))</f>
        <v/>
      </c>
      <c r="J56" s="1">
        <f>IF(I56="","",I56/F$2/2.5)</f>
        <v/>
      </c>
      <c r="K56" s="1">
        <f>IF(I56="","", 100*_xlfn.STDEV.P(I55:I56)/AVERAGE(I55:I56))</f>
        <v/>
      </c>
      <c r="L56" s="8">
        <f t="array" ref="L56">IF(I56="","", IFERROR(((IF(I$5&lt;&gt;"", I$5*A$5, 0) + SUMPRODUCT(--(I$6:I56&lt;&gt;""), I$6:I56, (A$6:A56-A$5:A55)))/1000), ""))</f>
        <v/>
      </c>
      <c r="M56" s="1">
        <f>M55+20</f>
        <v/>
      </c>
      <c r="N56" s="1">
        <f>O55</f>
        <v/>
      </c>
      <c r="Q56" t="inlineStr">
        <is>
          <t>100mL/2.5s/15s</t>
        </is>
      </c>
      <c r="U56" s="1">
        <f>IF(O56="", "", (N56-O56)*1000/(M56-M55))</f>
        <v/>
      </c>
      <c r="V56" s="1">
        <f>IF(U56="","",U56/R$2/2.5)</f>
        <v/>
      </c>
      <c r="W56" s="1">
        <f>IF(U56="","", 100*_xlfn.STDEV.P(U55:U56)/AVERAGE(U55:U56))</f>
        <v/>
      </c>
      <c r="X56" s="8">
        <f t="array" ref="X56">IF(U56="","", IFERROR(((IF(U$5&lt;&gt;"", U$5*M$5, 0) + SUMPRODUCT(--(U$6:U56&lt;&gt;""), U$6:U56, (M$6:M56-M$5:M55)))/1000), ""))</f>
        <v/>
      </c>
    </row>
    <row r="57">
      <c r="A57" s="1">
        <f>A56+20</f>
        <v/>
      </c>
      <c r="B57" s="1">
        <f>C56</f>
        <v/>
      </c>
      <c r="E57" t="inlineStr">
        <is>
          <t>100mL/2.5s/15s</t>
        </is>
      </c>
      <c r="I57" s="1">
        <f>IF(C57="", "", (B57-C57)*1000/(A57-A56))</f>
        <v/>
      </c>
      <c r="J57" s="1">
        <f>IF(I57="","",I57/F$2/2.5)</f>
        <v/>
      </c>
      <c r="K57" s="1">
        <f>IF(I57="","", 100*_xlfn.STDEV.P(I56:I57)/AVERAGE(I56:I57))</f>
        <v/>
      </c>
      <c r="L57" s="8">
        <f t="array" ref="L57">IF(I57="","", IFERROR(((IF(I$5&lt;&gt;"", I$5*A$5, 0) + SUMPRODUCT(--(I$6:I57&lt;&gt;""), I$6:I57, (A$6:A57-A$5:A56)))/1000), ""))</f>
        <v/>
      </c>
      <c r="M57" s="1">
        <f>M56+20</f>
        <v/>
      </c>
      <c r="N57" s="1">
        <f>O56</f>
        <v/>
      </c>
      <c r="Q57" t="inlineStr">
        <is>
          <t>100mL/2.5s/15s</t>
        </is>
      </c>
      <c r="U57" s="1">
        <f>IF(O57="", "", (N57-O57)*1000/(M57-M56))</f>
        <v/>
      </c>
      <c r="V57" s="1">
        <f>IF(U57="","",U57/R$2/2.5)</f>
        <v/>
      </c>
      <c r="W57" s="1">
        <f>IF(U57="","", 100*_xlfn.STDEV.P(U56:U57)/AVERAGE(U56:U57))</f>
        <v/>
      </c>
      <c r="X57" s="8">
        <f t="array" ref="X57">IF(U57="","", IFERROR(((IF(U$5&lt;&gt;"", U$5*M$5, 0) + SUMPRODUCT(--(U$6:U57&lt;&gt;""), U$6:U57, (M$6:M57-M$5:M56)))/1000), ""))</f>
        <v/>
      </c>
    </row>
    <row r="58">
      <c r="A58" s="1">
        <f>A57+20</f>
        <v/>
      </c>
      <c r="B58" s="1">
        <f>C57</f>
        <v/>
      </c>
      <c r="E58" t="inlineStr">
        <is>
          <t>100mL/2.5s/15s</t>
        </is>
      </c>
      <c r="I58" s="1">
        <f>IF(C58="", "", (B58-C58)*1000/(A58-A57))</f>
        <v/>
      </c>
      <c r="J58" s="1">
        <f>IF(I58="","",I58/F$2/2.5)</f>
        <v/>
      </c>
      <c r="K58" s="1">
        <f>IF(I58="","", 100*_xlfn.STDEV.P(I57:I58)/AVERAGE(I57:I58))</f>
        <v/>
      </c>
      <c r="L58" s="8">
        <f t="array" ref="L58">IF(I58="","", IFERROR(((IF(I$5&lt;&gt;"", I$5*A$5, 0) + SUMPRODUCT(--(I$6:I58&lt;&gt;""), I$6:I58, (A$6:A58-A$5:A57)))/1000), ""))</f>
        <v/>
      </c>
      <c r="M58" s="1">
        <f>M57+20</f>
        <v/>
      </c>
      <c r="N58" s="1">
        <f>O57</f>
        <v/>
      </c>
      <c r="Q58" t="inlineStr">
        <is>
          <t>100mL/2.5s/15s</t>
        </is>
      </c>
      <c r="U58" s="1">
        <f>IF(O58="", "", (N58-O58)*1000/(M58-M57))</f>
        <v/>
      </c>
      <c r="V58" s="1">
        <f>IF(U58="","",U58/R$2/2.5)</f>
        <v/>
      </c>
      <c r="W58" s="1">
        <f>IF(U58="","", 100*_xlfn.STDEV.P(U57:U58)/AVERAGE(U57:U58))</f>
        <v/>
      </c>
      <c r="X58" s="8">
        <f t="array" ref="X58">IF(U58="","", IFERROR(((IF(U$5&lt;&gt;"", U$5*M$5, 0) + SUMPRODUCT(--(U$6:U58&lt;&gt;""), U$6:U58, (M$6:M58-M$5:M57)))/1000), ""))</f>
        <v/>
      </c>
    </row>
    <row r="59">
      <c r="A59" s="1">
        <f>A58+20</f>
        <v/>
      </c>
      <c r="B59" s="1">
        <f>C58</f>
        <v/>
      </c>
      <c r="E59" t="inlineStr">
        <is>
          <t>100mL/2.5s/15s</t>
        </is>
      </c>
      <c r="I59" s="1">
        <f>IF(C59="", "", (B59-C59)*1000/(A59-A58))</f>
        <v/>
      </c>
      <c r="J59" s="1">
        <f>IF(I59="","",I59/F$2/2.5)</f>
        <v/>
      </c>
      <c r="K59" s="1">
        <f>IF(I59="","", 100*_xlfn.STDEV.P(I58:I59)/AVERAGE(I58:I59))</f>
        <v/>
      </c>
      <c r="L59" s="8">
        <f t="array" ref="L59">IF(I59="","", IFERROR(((IF(I$5&lt;&gt;"", I$5*A$5, 0) + SUMPRODUCT(--(I$6:I59&lt;&gt;""), I$6:I59, (A$6:A59-A$5:A58)))/1000), ""))</f>
        <v/>
      </c>
      <c r="M59" s="1">
        <f>M58+20</f>
        <v/>
      </c>
      <c r="N59" s="1">
        <f>O58</f>
        <v/>
      </c>
      <c r="Q59" t="inlineStr">
        <is>
          <t>100mL/2.5s/15s</t>
        </is>
      </c>
      <c r="U59" s="1">
        <f>IF(O59="", "", (N59-O59)*1000/(M59-M58))</f>
        <v/>
      </c>
      <c r="V59" s="1">
        <f>IF(U59="","",U59/R$2/2.5)</f>
        <v/>
      </c>
      <c r="W59" s="1">
        <f>IF(U59="","", 100*_xlfn.STDEV.P(U58:U59)/AVERAGE(U58:U59))</f>
        <v/>
      </c>
      <c r="X59" s="8">
        <f t="array" ref="X59">IF(U59="","", IFERROR(((IF(U$5&lt;&gt;"", U$5*M$5, 0) + SUMPRODUCT(--(U$6:U59&lt;&gt;""), U$6:U59, (M$6:M59-M$5:M58)))/1000), ""))</f>
        <v/>
      </c>
    </row>
    <row r="60">
      <c r="A60" s="1">
        <f>A59+20</f>
        <v/>
      </c>
      <c r="B60" s="1">
        <f>C59</f>
        <v/>
      </c>
      <c r="E60" t="inlineStr">
        <is>
          <t>100mL/2.5s/15s</t>
        </is>
      </c>
      <c r="I60" s="1">
        <f>IF(C60="", "", (B60-C60)*1000/(A60-A59))</f>
        <v/>
      </c>
      <c r="J60" s="1">
        <f>IF(I60="","",I60/F$2/2.5)</f>
        <v/>
      </c>
      <c r="K60" s="1">
        <f>IF(I60="","", 100*_xlfn.STDEV.P(I59:I60)/AVERAGE(I59:I60))</f>
        <v/>
      </c>
      <c r="L60" s="8">
        <f t="array" ref="L60">IF(I60="","", IFERROR(((IF(I$5&lt;&gt;"", I$5*A$5, 0) + SUMPRODUCT(--(I$6:I60&lt;&gt;""), I$6:I60, (A$6:A60-A$5:A59)))/1000), ""))</f>
        <v/>
      </c>
      <c r="M60" s="1">
        <f>M59+20</f>
        <v/>
      </c>
      <c r="N60" s="1">
        <f>O59</f>
        <v/>
      </c>
      <c r="Q60" t="inlineStr">
        <is>
          <t>100mL/2.5s/15s</t>
        </is>
      </c>
      <c r="U60" s="1">
        <f>IF(O60="", "", (N60-O60)*1000/(M60-M59))</f>
        <v/>
      </c>
      <c r="V60" s="1">
        <f>IF(U60="","",U60/R$2/2.5)</f>
        <v/>
      </c>
      <c r="W60" s="1">
        <f>IF(U60="","", 100*_xlfn.STDEV.P(U59:U60)/AVERAGE(U59:U60))</f>
        <v/>
      </c>
      <c r="X60" s="8">
        <f t="array" ref="X60">IF(U60="","", IFERROR(((IF(U$5&lt;&gt;"", U$5*M$5, 0) + SUMPRODUCT(--(U$6:U60&lt;&gt;""), U$6:U60, (M$6:M60-M$5:M59)))/1000), ""))</f>
        <v/>
      </c>
    </row>
    <row r="61">
      <c r="A61" s="1">
        <f>A60+20</f>
        <v/>
      </c>
      <c r="B61" s="1">
        <f>C60</f>
        <v/>
      </c>
      <c r="E61" t="inlineStr">
        <is>
          <t>100mL/2.5s/15s</t>
        </is>
      </c>
      <c r="I61" s="1">
        <f>IF(C61="", "", (B61-C61)*1000/(A61-A60))</f>
        <v/>
      </c>
      <c r="J61" s="1">
        <f>IF(I61="","",I61/F$2/2.5)</f>
        <v/>
      </c>
      <c r="K61" s="1">
        <f>IF(I61="","", 100*_xlfn.STDEV.P(I60:I61)/AVERAGE(I60:I61))</f>
        <v/>
      </c>
      <c r="L61" s="8">
        <f t="array" ref="L61">IF(I61="","", IFERROR(((IF(I$5&lt;&gt;"", I$5*A$5, 0) + SUMPRODUCT(--(I$6:I61&lt;&gt;""), I$6:I61, (A$6:A61-A$5:A60)))/1000), ""))</f>
        <v/>
      </c>
      <c r="M61" s="1">
        <f>M60+20</f>
        <v/>
      </c>
      <c r="N61" s="1">
        <f>O60</f>
        <v/>
      </c>
      <c r="Q61" t="inlineStr">
        <is>
          <t>100mL/2.5s/15s</t>
        </is>
      </c>
      <c r="U61" s="1">
        <f>IF(O61="", "", (N61-O61)*1000/(M61-M60))</f>
        <v/>
      </c>
      <c r="V61" s="1">
        <f>IF(U61="","",U61/R$2/2.5)</f>
        <v/>
      </c>
      <c r="W61" s="1">
        <f>IF(U61="","", 100*_xlfn.STDEV.P(U60:U61)/AVERAGE(U60:U61))</f>
        <v/>
      </c>
      <c r="X61" s="8">
        <f t="array" ref="X61">IF(U61="","", IFERROR(((IF(U$5&lt;&gt;"", U$5*M$5, 0) + SUMPRODUCT(--(U$6:U61&lt;&gt;""), U$6:U61, (M$6:M61-M$5:M60)))/1000), ""))</f>
        <v/>
      </c>
    </row>
    <row r="62">
      <c r="A62" s="1">
        <f>A61+20</f>
        <v/>
      </c>
      <c r="B62" s="1">
        <f>C61</f>
        <v/>
      </c>
      <c r="E62" t="inlineStr">
        <is>
          <t>100mL/2.5s/15s</t>
        </is>
      </c>
      <c r="I62" s="1">
        <f>IF(C62="", "", (B62-C62)*1000/(A62-A61))</f>
        <v/>
      </c>
      <c r="J62" s="1">
        <f>IF(I62="","",I62/F$2/2.5)</f>
        <v/>
      </c>
      <c r="K62" s="1">
        <f>IF(I62="","", 100*_xlfn.STDEV.P(I61:I62)/AVERAGE(I61:I62))</f>
        <v/>
      </c>
      <c r="L62" s="8">
        <f t="array" ref="L62">IF(I62="","", IFERROR(((IF(I$5&lt;&gt;"", I$5*A$5, 0) + SUMPRODUCT(--(I$6:I62&lt;&gt;""), I$6:I62, (A$6:A62-A$5:A61)))/1000), ""))</f>
        <v/>
      </c>
      <c r="M62" s="1">
        <f>M61+20</f>
        <v/>
      </c>
      <c r="N62" s="1">
        <f>O61</f>
        <v/>
      </c>
      <c r="Q62" t="inlineStr">
        <is>
          <t>100mL/2.5s/15s</t>
        </is>
      </c>
      <c r="U62" s="1">
        <f>IF(O62="", "", (N62-O62)*1000/(M62-M61))</f>
        <v/>
      </c>
      <c r="V62" s="1">
        <f>IF(U62="","",U62/R$2/2.5)</f>
        <v/>
      </c>
      <c r="W62" s="1">
        <f>IF(U62="","", 100*_xlfn.STDEV.P(U61:U62)/AVERAGE(U61:U62))</f>
        <v/>
      </c>
      <c r="X62" s="8">
        <f t="array" ref="X62">IF(U62="","", IFERROR(((IF(U$5&lt;&gt;"", U$5*M$5, 0) + SUMPRODUCT(--(U$6:U62&lt;&gt;""), U$6:U62, (M$6:M62-M$5:M61)))/1000), ""))</f>
        <v/>
      </c>
    </row>
    <row r="63">
      <c r="A63" s="1">
        <f>A62+20</f>
        <v/>
      </c>
      <c r="B63" s="1">
        <f>C62</f>
        <v/>
      </c>
      <c r="E63" t="inlineStr">
        <is>
          <t>100mL/2.5s/15s</t>
        </is>
      </c>
      <c r="I63" s="1">
        <f>IF(C63="", "", (B63-C63)*1000/(A63-A62))</f>
        <v/>
      </c>
      <c r="J63" s="1">
        <f>IF(I63="","",I63/F$2/2.5)</f>
        <v/>
      </c>
      <c r="K63" s="1">
        <f>IF(I63="","", 100*_xlfn.STDEV.P(I62:I63)/AVERAGE(I62:I63))</f>
        <v/>
      </c>
      <c r="L63" s="8">
        <f t="array" ref="L63">IF(I63="","", IFERROR(((IF(I$5&lt;&gt;"", I$5*A$5, 0) + SUMPRODUCT(--(I$6:I63&lt;&gt;""), I$6:I63, (A$6:A63-A$5:A62)))/1000), ""))</f>
        <v/>
      </c>
      <c r="M63" s="1">
        <f>M62+20</f>
        <v/>
      </c>
      <c r="N63" s="1">
        <f>O62</f>
        <v/>
      </c>
      <c r="Q63" t="inlineStr">
        <is>
          <t>100mL/2.5s/15s</t>
        </is>
      </c>
      <c r="U63" s="1">
        <f>IF(O63="", "", (N63-O63)*1000/(M63-M62))</f>
        <v/>
      </c>
      <c r="V63" s="1">
        <f>IF(U63="","",U63/R$2/2.5)</f>
        <v/>
      </c>
      <c r="W63" s="1">
        <f>IF(U63="","", 100*_xlfn.STDEV.P(U62:U63)/AVERAGE(U62:U63))</f>
        <v/>
      </c>
      <c r="X63" s="8">
        <f t="array" ref="X63">IF(U63="","", IFERROR(((IF(U$5&lt;&gt;"", U$5*M$5, 0) + SUMPRODUCT(--(U$6:U63&lt;&gt;""), U$6:U63, (M$6:M63-M$5:M62)))/1000), ""))</f>
        <v/>
      </c>
    </row>
    <row r="64">
      <c r="A64" s="1">
        <f>A63+20</f>
        <v/>
      </c>
      <c r="B64" s="1">
        <f>C63</f>
        <v/>
      </c>
      <c r="E64" t="inlineStr">
        <is>
          <t>100mL/2.5s/15s</t>
        </is>
      </c>
      <c r="I64" s="1">
        <f>IF(C64="", "", (B64-C64)*1000/(A64-A63))</f>
        <v/>
      </c>
      <c r="J64" s="1">
        <f>IF(I64="","",I64/F$2/2.5)</f>
        <v/>
      </c>
      <c r="K64" s="1">
        <f>IF(I64="","", 100*_xlfn.STDEV.P(I63:I64)/AVERAGE(I63:I64))</f>
        <v/>
      </c>
      <c r="L64" s="8">
        <f t="array" ref="L64">IF(I64="","", IFERROR(((IF(I$5&lt;&gt;"", I$5*A$5, 0) + SUMPRODUCT(--(I$6:I64&lt;&gt;""), I$6:I64, (A$6:A64-A$5:A63)))/1000), ""))</f>
        <v/>
      </c>
      <c r="M64" s="1">
        <f>M63+20</f>
        <v/>
      </c>
      <c r="N64" s="1">
        <f>O63</f>
        <v/>
      </c>
      <c r="Q64" t="inlineStr">
        <is>
          <t>100mL/2.5s/15s</t>
        </is>
      </c>
      <c r="U64" s="1">
        <f>IF(O64="", "", (N64-O64)*1000/(M64-M63))</f>
        <v/>
      </c>
      <c r="V64" s="1">
        <f>IF(U64="","",U64/R$2/2.5)</f>
        <v/>
      </c>
      <c r="W64" s="1">
        <f>IF(U64="","", 100*_xlfn.STDEV.P(U63:U64)/AVERAGE(U63:U64))</f>
        <v/>
      </c>
      <c r="X64" s="8">
        <f t="array" ref="X64">IF(U64="","", IFERROR(((IF(U$5&lt;&gt;"", U$5*M$5, 0) + SUMPRODUCT(--(U$6:U64&lt;&gt;""), U$6:U64, (M$6:M64-M$5:M63)))/1000), ""))</f>
        <v/>
      </c>
    </row>
    <row r="65">
      <c r="A65" s="1">
        <f>A64+20</f>
        <v/>
      </c>
      <c r="B65" s="1">
        <f>C64</f>
        <v/>
      </c>
      <c r="E65" t="inlineStr">
        <is>
          <t>100mL/2.5s/15s</t>
        </is>
      </c>
      <c r="I65" s="1">
        <f>IF(C65="", "", (B65-C65)*1000/(A65-A64))</f>
        <v/>
      </c>
      <c r="J65" s="1">
        <f>IF(I65="","",I65/F$2/2.5)</f>
        <v/>
      </c>
      <c r="K65" s="1">
        <f>IF(I65="","", 100*_xlfn.STDEV.P(I64:I65)/AVERAGE(I64:I65))</f>
        <v/>
      </c>
      <c r="L65" s="8">
        <f t="array" ref="L65">IF(I65="","", IFERROR(((IF(I$5&lt;&gt;"", I$5*A$5, 0) + SUMPRODUCT(--(I$6:I65&lt;&gt;""), I$6:I65, (A$6:A65-A$5:A64)))/1000), ""))</f>
        <v/>
      </c>
      <c r="M65" s="1">
        <f>M64+20</f>
        <v/>
      </c>
      <c r="N65" s="1">
        <f>O64</f>
        <v/>
      </c>
      <c r="Q65" t="inlineStr">
        <is>
          <t>100mL/2.5s/15s</t>
        </is>
      </c>
      <c r="U65" s="1">
        <f>IF(O65="", "", (N65-O65)*1000/(M65-M64))</f>
        <v/>
      </c>
      <c r="V65" s="1">
        <f>IF(U65="","",U65/R$2/2.5)</f>
        <v/>
      </c>
      <c r="W65" s="1">
        <f>IF(U65="","", 100*_xlfn.STDEV.P(U64:U65)/AVERAGE(U64:U65))</f>
        <v/>
      </c>
      <c r="X65" s="8">
        <f t="array" ref="X65">IF(U65="","", IFERROR(((IF(U$5&lt;&gt;"", U$5*M$5, 0) + SUMPRODUCT(--(U$6:U65&lt;&gt;""), U$6:U65, (M$6:M65-M$5:M64)))/1000), ""))</f>
        <v/>
      </c>
    </row>
    <row r="66">
      <c r="A66" s="1">
        <f>A65+20</f>
        <v/>
      </c>
      <c r="B66" s="1">
        <f>C65</f>
        <v/>
      </c>
      <c r="E66" t="inlineStr">
        <is>
          <t>100mL/2.5s/15s</t>
        </is>
      </c>
      <c r="I66" s="1">
        <f>IF(C66="", "", (B66-C66)*1000/(A66-A65))</f>
        <v/>
      </c>
      <c r="J66" s="1">
        <f>IF(I66="","",I66/F$2/2.5)</f>
        <v/>
      </c>
      <c r="K66" s="1">
        <f>IF(I66="","", 100*_xlfn.STDEV.P(I65:I66)/AVERAGE(I65:I66))</f>
        <v/>
      </c>
      <c r="L66" s="8">
        <f t="array" ref="L66">IF(I66="","", IFERROR(((IF(I$5&lt;&gt;"", I$5*A$5, 0) + SUMPRODUCT(--(I$6:I66&lt;&gt;""), I$6:I66, (A$6:A66-A$5:A65)))/1000), ""))</f>
        <v/>
      </c>
      <c r="M66" s="1">
        <f>M65+20</f>
        <v/>
      </c>
      <c r="N66" s="1">
        <f>O65</f>
        <v/>
      </c>
      <c r="Q66" t="inlineStr">
        <is>
          <t>100mL/2.5s/15s</t>
        </is>
      </c>
      <c r="U66" s="1">
        <f>IF(O66="", "", (N66-O66)*1000/(M66-M65))</f>
        <v/>
      </c>
      <c r="V66" s="1">
        <f>IF(U66="","",U66/R$2/2.5)</f>
        <v/>
      </c>
      <c r="W66" s="1">
        <f>IF(U66="","", 100*_xlfn.STDEV.P(U65:U66)/AVERAGE(U65:U66))</f>
        <v/>
      </c>
      <c r="X66" s="8">
        <f t="array" ref="X66">IF(U66="","", IFERROR(((IF(U$5&lt;&gt;"", U$5*M$5, 0) + SUMPRODUCT(--(U$6:U66&lt;&gt;""), U$6:U66, (M$6:M66-M$5:M65)))/1000), ""))</f>
        <v/>
      </c>
    </row>
    <row r="67">
      <c r="A67" s="1">
        <f>A66+20</f>
        <v/>
      </c>
      <c r="B67" s="1">
        <f>C66</f>
        <v/>
      </c>
      <c r="E67" t="inlineStr">
        <is>
          <t>100mL/2.5s/15s</t>
        </is>
      </c>
      <c r="I67" s="1">
        <f>IF(C67="", "", (B67-C67)*1000/(A67-A66))</f>
        <v/>
      </c>
      <c r="J67" s="1">
        <f>IF(I67="","",I67/F$2/2.5)</f>
        <v/>
      </c>
      <c r="K67" s="1">
        <f>IF(I67="","", 100*_xlfn.STDEV.P(I66:I67)/AVERAGE(I66:I67))</f>
        <v/>
      </c>
      <c r="L67" s="8">
        <f t="array" ref="L67">IF(I67="","", IFERROR(((IF(I$5&lt;&gt;"", I$5*A$5, 0) + SUMPRODUCT(--(I$6:I67&lt;&gt;""), I$6:I67, (A$6:A67-A$5:A66)))/1000), ""))</f>
        <v/>
      </c>
      <c r="M67" s="1">
        <f>M66+20</f>
        <v/>
      </c>
      <c r="N67" s="1">
        <f>O66</f>
        <v/>
      </c>
      <c r="Q67" t="inlineStr">
        <is>
          <t>100mL/2.5s/15s</t>
        </is>
      </c>
      <c r="U67" s="1">
        <f>IF(O67="", "", (N67-O67)*1000/(M67-M66))</f>
        <v/>
      </c>
      <c r="V67" s="1">
        <f>IF(U67="","",U67/R$2/2.5)</f>
        <v/>
      </c>
      <c r="W67" s="1">
        <f>IF(U67="","", 100*_xlfn.STDEV.P(U66:U67)/AVERAGE(U66:U67))</f>
        <v/>
      </c>
      <c r="X67" s="8">
        <f t="array" ref="X67">IF(U67="","", IFERROR(((IF(U$5&lt;&gt;"", U$5*M$5, 0) + SUMPRODUCT(--(U$6:U67&lt;&gt;""), U$6:U67, (M$6:M67-M$5:M66)))/1000), ""))</f>
        <v/>
      </c>
    </row>
    <row r="68">
      <c r="A68" s="1">
        <f>A67+20</f>
        <v/>
      </c>
      <c r="B68" s="1">
        <f>C67</f>
        <v/>
      </c>
      <c r="E68" t="inlineStr">
        <is>
          <t>100mL/2.5s/15s</t>
        </is>
      </c>
      <c r="I68" s="1">
        <f>IF(C68="", "", (B68-C68)*1000/(A68-A67))</f>
        <v/>
      </c>
      <c r="J68" s="1">
        <f>IF(I68="","",I68/F$2/2.5)</f>
        <v/>
      </c>
      <c r="K68" s="1">
        <f>IF(I68="","", 100*_xlfn.STDEV.P(I67:I68)/AVERAGE(I67:I68))</f>
        <v/>
      </c>
      <c r="L68" s="8">
        <f t="array" ref="L68">IF(I68="","", IFERROR(((IF(I$5&lt;&gt;"", I$5*A$5, 0) + SUMPRODUCT(--(I$6:I68&lt;&gt;""), I$6:I68, (A$6:A68-A$5:A67)))/1000), ""))</f>
        <v/>
      </c>
      <c r="M68" s="1">
        <f>M67+20</f>
        <v/>
      </c>
      <c r="N68" s="1">
        <f>O67</f>
        <v/>
      </c>
      <c r="Q68" t="inlineStr">
        <is>
          <t>100mL/2.5s/15s</t>
        </is>
      </c>
      <c r="U68" s="1">
        <f>IF(O68="", "", (N68-O68)*1000/(M68-M67))</f>
        <v/>
      </c>
      <c r="V68" s="1">
        <f>IF(U68="","",U68/R$2/2.5)</f>
        <v/>
      </c>
      <c r="W68" s="1">
        <f>IF(U68="","", 100*_xlfn.STDEV.P(U67:U68)/AVERAGE(U67:U68))</f>
        <v/>
      </c>
      <c r="X68" s="8">
        <f t="array" ref="X68">IF(U68="","", IFERROR(((IF(U$5&lt;&gt;"", U$5*M$5, 0) + SUMPRODUCT(--(U$6:U68&lt;&gt;""), U$6:U68, (M$6:M68-M$5:M67)))/1000), ""))</f>
        <v/>
      </c>
    </row>
    <row r="69">
      <c r="A69" s="1">
        <f>A68+20</f>
        <v/>
      </c>
      <c r="B69" s="1">
        <f>C68</f>
        <v/>
      </c>
      <c r="E69" t="inlineStr">
        <is>
          <t>100mL/2.5s/15s</t>
        </is>
      </c>
      <c r="I69" s="1">
        <f>IF(C69="", "", (B69-C69)*1000/(A69-A68))</f>
        <v/>
      </c>
      <c r="J69" s="1">
        <f>IF(I69="","",I69/F$2/2.5)</f>
        <v/>
      </c>
      <c r="K69" s="1">
        <f>IF(I69="","", 100*_xlfn.STDEV.P(I68:I69)/AVERAGE(I68:I69))</f>
        <v/>
      </c>
      <c r="L69" s="8">
        <f t="array" ref="L69">IF(I69="","", IFERROR(((IF(I$5&lt;&gt;"", I$5*A$5, 0) + SUMPRODUCT(--(I$6:I69&lt;&gt;""), I$6:I69, (A$6:A69-A$5:A68)))/1000), ""))</f>
        <v/>
      </c>
      <c r="M69" s="1">
        <f>M68+20</f>
        <v/>
      </c>
      <c r="N69" s="1">
        <f>O68</f>
        <v/>
      </c>
      <c r="Q69" t="inlineStr">
        <is>
          <t>100mL/2.5s/15s</t>
        </is>
      </c>
      <c r="U69" s="1">
        <f>IF(O69="", "", (N69-O69)*1000/(M69-M68))</f>
        <v/>
      </c>
      <c r="V69" s="1">
        <f>IF(U69="","",U69/R$2/2.5)</f>
        <v/>
      </c>
      <c r="W69" s="1">
        <f>IF(U69="","", 100*_xlfn.STDEV.P(U68:U69)/AVERAGE(U68:U69))</f>
        <v/>
      </c>
      <c r="X69" s="8">
        <f t="array" ref="X69">IF(U69="","", IFERROR(((IF(U$5&lt;&gt;"", U$5*M$5, 0) + SUMPRODUCT(--(U$6:U69&lt;&gt;""), U$6:U69, (M$6:M69-M$5:M68)))/1000), ""))</f>
        <v/>
      </c>
    </row>
    <row r="70">
      <c r="A70" s="1">
        <f>A69+20</f>
        <v/>
      </c>
      <c r="B70" s="1">
        <f>C69</f>
        <v/>
      </c>
      <c r="E70" t="inlineStr">
        <is>
          <t>100mL/2.5s/15s</t>
        </is>
      </c>
      <c r="I70" s="1">
        <f>IF(C70="", "", (B70-C70)*1000/(A70-A69))</f>
        <v/>
      </c>
      <c r="J70" s="1">
        <f>IF(I70="","",I70/F$2/2.5)</f>
        <v/>
      </c>
      <c r="K70" s="1">
        <f>IF(I70="","", 100*_xlfn.STDEV.P(I69:I70)/AVERAGE(I69:I70))</f>
        <v/>
      </c>
      <c r="L70" s="8">
        <f t="array" ref="L70">IF(I70="","", IFERROR(((IF(I$5&lt;&gt;"", I$5*A$5, 0) + SUMPRODUCT(--(I$6:I70&lt;&gt;""), I$6:I70, (A$6:A70-A$5:A69)))/1000), ""))</f>
        <v/>
      </c>
      <c r="M70" s="1">
        <f>M69+20</f>
        <v/>
      </c>
      <c r="N70" s="1">
        <f>O69</f>
        <v/>
      </c>
      <c r="Q70" t="inlineStr">
        <is>
          <t>100mL/2.5s/15s</t>
        </is>
      </c>
      <c r="U70" s="1">
        <f>IF(O70="", "", (N70-O70)*1000/(M70-M69))</f>
        <v/>
      </c>
      <c r="V70" s="1">
        <f>IF(U70="","",U70/R$2/2.5)</f>
        <v/>
      </c>
      <c r="W70" s="1">
        <f>IF(U70="","", 100*_xlfn.STDEV.P(U69:U70)/AVERAGE(U69:U70))</f>
        <v/>
      </c>
      <c r="X70" s="8">
        <f t="array" ref="X70">IF(U70="","", IFERROR(((IF(U$5&lt;&gt;"", U$5*M$5, 0) + SUMPRODUCT(--(U$6:U70&lt;&gt;""), U$6:U70, (M$6:M70-M$5:M69)))/1000), ""))</f>
        <v/>
      </c>
    </row>
    <row r="71">
      <c r="A71" s="1">
        <f>A70+20</f>
        <v/>
      </c>
      <c r="B71" s="1">
        <f>C70</f>
        <v/>
      </c>
      <c r="E71" t="inlineStr">
        <is>
          <t>100mL/2.5s/15s</t>
        </is>
      </c>
      <c r="I71" s="1">
        <f>IF(C71="", "", (B71-C71)*1000/(A71-A70))</f>
        <v/>
      </c>
      <c r="J71" s="1">
        <f>IF(I71="","",I71/F$2/2.5)</f>
        <v/>
      </c>
      <c r="K71" s="1">
        <f>IF(I71="","", 100*_xlfn.STDEV.P(I70:I71)/AVERAGE(I70:I71))</f>
        <v/>
      </c>
      <c r="L71" s="8">
        <f t="array" ref="L71">IF(I71="","", IFERROR(((IF(I$5&lt;&gt;"", I$5*A$5, 0) + SUMPRODUCT(--(I$6:I71&lt;&gt;""), I$6:I71, (A$6:A71-A$5:A70)))/1000), ""))</f>
        <v/>
      </c>
      <c r="M71" s="1">
        <f>M70+20</f>
        <v/>
      </c>
      <c r="N71" s="1">
        <f>O70</f>
        <v/>
      </c>
      <c r="Q71" t="inlineStr">
        <is>
          <t>100mL/2.5s/15s</t>
        </is>
      </c>
      <c r="U71" s="1">
        <f>IF(O71="", "", (N71-O71)*1000/(M71-M70))</f>
        <v/>
      </c>
      <c r="V71" s="1">
        <f>IF(U71="","",U71/R$2/2.5)</f>
        <v/>
      </c>
      <c r="W71" s="1">
        <f>IF(U71="","", 100*_xlfn.STDEV.P(U70:U71)/AVERAGE(U70:U71))</f>
        <v/>
      </c>
      <c r="X71" s="8">
        <f t="array" ref="X71">IF(U71="","", IFERROR(((IF(U$5&lt;&gt;"", U$5*M$5, 0) + SUMPRODUCT(--(U$6:U71&lt;&gt;""), U$6:U71, (M$6:M71-M$5:M70)))/1000), ""))</f>
        <v/>
      </c>
    </row>
    <row r="72">
      <c r="A72" s="1">
        <f>A71+20</f>
        <v/>
      </c>
      <c r="B72" s="1">
        <f>C71</f>
        <v/>
      </c>
      <c r="E72" t="inlineStr">
        <is>
          <t>100mL/2.5s/15s</t>
        </is>
      </c>
      <c r="I72" s="1">
        <f>IF(C72="", "", (B72-C72)*1000/(A72-A71))</f>
        <v/>
      </c>
      <c r="J72" s="1">
        <f>IF(I72="","",I72/F$2/2.5)</f>
        <v/>
      </c>
      <c r="K72" s="1">
        <f>IF(I72="","", 100*_xlfn.STDEV.P(I71:I72)/AVERAGE(I71:I72))</f>
        <v/>
      </c>
      <c r="L72" s="8">
        <f t="array" ref="L72">IF(I72="","", IFERROR(((IF(I$5&lt;&gt;"", I$5*A$5, 0) + SUMPRODUCT(--(I$6:I72&lt;&gt;""), I$6:I72, (A$6:A72-A$5:A71)))/1000), ""))</f>
        <v/>
      </c>
      <c r="M72" s="1">
        <f>M71+20</f>
        <v/>
      </c>
      <c r="N72" s="1">
        <f>O71</f>
        <v/>
      </c>
      <c r="Q72" t="inlineStr">
        <is>
          <t>100mL/2.5s/15s</t>
        </is>
      </c>
      <c r="U72" s="1">
        <f>IF(O72="", "", (N72-O72)*1000/(M72-M71))</f>
        <v/>
      </c>
      <c r="V72" s="1">
        <f>IF(U72="","",U72/R$2/2.5)</f>
        <v/>
      </c>
      <c r="W72" s="1">
        <f>IF(U72="","", 100*_xlfn.STDEV.P(U71:U72)/AVERAGE(U71:U72))</f>
        <v/>
      </c>
      <c r="X72" s="8">
        <f t="array" ref="X72">IF(U72="","", IFERROR(((IF(U$5&lt;&gt;"", U$5*M$5, 0) + SUMPRODUCT(--(U$6:U72&lt;&gt;""), U$6:U72, (M$6:M72-M$5:M71)))/1000), ""))</f>
        <v/>
      </c>
    </row>
    <row r="73">
      <c r="A73" s="1">
        <f>A72+20</f>
        <v/>
      </c>
      <c r="B73" s="1">
        <f>C72</f>
        <v/>
      </c>
      <c r="E73" t="inlineStr">
        <is>
          <t>100mL/2.5s/15s</t>
        </is>
      </c>
      <c r="I73" s="1">
        <f>IF(C73="", "", (B73-C73)*1000/(A73-A72))</f>
        <v/>
      </c>
      <c r="J73" s="1">
        <f>IF(I73="","",I73/F$2/2.5)</f>
        <v/>
      </c>
      <c r="K73" s="1">
        <f>IF(I73="","", 100*_xlfn.STDEV.P(I72:I73)/AVERAGE(I72:I73))</f>
        <v/>
      </c>
      <c r="L73" s="8">
        <f t="array" ref="L73">IF(I73="","", IFERROR(((IF(I$5&lt;&gt;"", I$5*A$5, 0) + SUMPRODUCT(--(I$6:I73&lt;&gt;""), I$6:I73, (A$6:A73-A$5:A72)))/1000), ""))</f>
        <v/>
      </c>
      <c r="M73" s="1">
        <f>M72+20</f>
        <v/>
      </c>
      <c r="N73" s="1">
        <f>O72</f>
        <v/>
      </c>
      <c r="Q73" t="inlineStr">
        <is>
          <t>100mL/2.5s/15s</t>
        </is>
      </c>
      <c r="U73" s="1">
        <f>IF(O73="", "", (N73-O73)*1000/(M73-M72))</f>
        <v/>
      </c>
      <c r="V73" s="1">
        <f>IF(U73="","",U73/R$2/2.5)</f>
        <v/>
      </c>
      <c r="W73" s="1">
        <f>IF(U73="","", 100*_xlfn.STDEV.P(U72:U73)/AVERAGE(U72:U73))</f>
        <v/>
      </c>
      <c r="X73" s="8">
        <f t="array" ref="X73">IF(U73="","", IFERROR(((IF(U$5&lt;&gt;"", U$5*M$5, 0) + SUMPRODUCT(--(U$6:U73&lt;&gt;""), U$6:U73, (M$6:M73-M$5:M72)))/1000), ""))</f>
        <v/>
      </c>
    </row>
    <row r="74">
      <c r="A74" s="1">
        <f>A73+20</f>
        <v/>
      </c>
      <c r="B74" s="1">
        <f>C73</f>
        <v/>
      </c>
      <c r="E74" t="inlineStr">
        <is>
          <t>100mL/2.5s/15s</t>
        </is>
      </c>
      <c r="I74" s="1">
        <f>IF(C74="", "", (B74-C74)*1000/(A74-A73))</f>
        <v/>
      </c>
      <c r="J74" s="1">
        <f>IF(I74="","",I74/F$2/2.5)</f>
        <v/>
      </c>
      <c r="K74" s="1">
        <f>IF(I74="","", 100*_xlfn.STDEV.P(I73:I74)/AVERAGE(I73:I74))</f>
        <v/>
      </c>
      <c r="L74" s="8">
        <f t="array" ref="L74">IF(I74="","", IFERROR(((IF(I$5&lt;&gt;"", I$5*A$5, 0) + SUMPRODUCT(--(I$6:I74&lt;&gt;""), I$6:I74, (A$6:A74-A$5:A73)))/1000), ""))</f>
        <v/>
      </c>
      <c r="M74" s="1">
        <f>M73+20</f>
        <v/>
      </c>
      <c r="N74" s="1">
        <f>O73</f>
        <v/>
      </c>
      <c r="Q74" t="inlineStr">
        <is>
          <t>100mL/2.5s/15s</t>
        </is>
      </c>
      <c r="U74" s="1">
        <f>IF(O74="", "", (N74-O74)*1000/(M74-M73))</f>
        <v/>
      </c>
      <c r="V74" s="1">
        <f>IF(U74="","",U74/R$2/2.5)</f>
        <v/>
      </c>
      <c r="W74" s="1">
        <f>IF(U74="","", 100*_xlfn.STDEV.P(U73:U74)/AVERAGE(U73:U74))</f>
        <v/>
      </c>
      <c r="X74" s="8">
        <f t="array" ref="X74">IF(U74="","", IFERROR(((IF(U$5&lt;&gt;"", U$5*M$5, 0) + SUMPRODUCT(--(U$6:U74&lt;&gt;""), U$6:U74, (M$6:M74-M$5:M73)))/1000), ""))</f>
        <v/>
      </c>
    </row>
    <row r="75">
      <c r="A75" s="1">
        <f>A74+20</f>
        <v/>
      </c>
      <c r="B75" s="1">
        <f>C74</f>
        <v/>
      </c>
      <c r="E75" t="inlineStr">
        <is>
          <t>100mL/2.5s/15s</t>
        </is>
      </c>
      <c r="I75" s="1">
        <f>IF(C75="", "", (B75-C75)*1000/(A75-A74))</f>
        <v/>
      </c>
      <c r="J75" s="1">
        <f>IF(I75="","",I75/F$2/2.5)</f>
        <v/>
      </c>
      <c r="K75" s="1">
        <f>IF(I75="","", 100*_xlfn.STDEV.P(I74:I75)/AVERAGE(I74:I75))</f>
        <v/>
      </c>
      <c r="L75" s="8">
        <f t="array" ref="L75">IF(I75="","", IFERROR(((IF(I$5&lt;&gt;"", I$5*A$5, 0) + SUMPRODUCT(--(I$6:I75&lt;&gt;""), I$6:I75, (A$6:A75-A$5:A74)))/1000), ""))</f>
        <v/>
      </c>
      <c r="M75" s="1">
        <f>M74+20</f>
        <v/>
      </c>
      <c r="N75" s="1">
        <f>O74</f>
        <v/>
      </c>
      <c r="Q75" t="inlineStr">
        <is>
          <t>100mL/2.5s/15s</t>
        </is>
      </c>
      <c r="U75" s="1">
        <f>IF(O75="", "", (N75-O75)*1000/(M75-M74))</f>
        <v/>
      </c>
      <c r="V75" s="1">
        <f>IF(U75="","",U75/R$2/2.5)</f>
        <v/>
      </c>
      <c r="W75" s="1">
        <f>IF(U75="","", 100*_xlfn.STDEV.P(U74:U75)/AVERAGE(U74:U75))</f>
        <v/>
      </c>
      <c r="X75" s="8">
        <f t="array" ref="X75">IF(U75="","", IFERROR(((IF(U$5&lt;&gt;"", U$5*M$5, 0) + SUMPRODUCT(--(U$6:U75&lt;&gt;""), U$6:U75, (M$6:M75-M$5:M74)))/1000), ""))</f>
        <v/>
      </c>
    </row>
    <row r="76">
      <c r="A76" s="1">
        <f>A75+20</f>
        <v/>
      </c>
      <c r="B76" s="1">
        <f>C75</f>
        <v/>
      </c>
      <c r="E76" t="inlineStr">
        <is>
          <t>100mL/2.5s/15s</t>
        </is>
      </c>
      <c r="I76" s="1">
        <f>IF(C76="", "", (B76-C76)*1000/(A76-A75))</f>
        <v/>
      </c>
      <c r="J76" s="1">
        <f>IF(I76="","",I76/F$2/2.5)</f>
        <v/>
      </c>
      <c r="K76" s="1">
        <f>IF(I76="","", 100*_xlfn.STDEV.P(I75:I76)/AVERAGE(I75:I76))</f>
        <v/>
      </c>
      <c r="L76" s="8">
        <f t="array" ref="L76">IF(I76="","", IFERROR(((IF(I$5&lt;&gt;"", I$5*A$5, 0) + SUMPRODUCT(--(I$6:I76&lt;&gt;""), I$6:I76, (A$6:A76-A$5:A75)))/1000), ""))</f>
        <v/>
      </c>
      <c r="M76" s="1">
        <f>M75+20</f>
        <v/>
      </c>
      <c r="N76" s="1">
        <f>O75</f>
        <v/>
      </c>
      <c r="Q76" t="inlineStr">
        <is>
          <t>100mL/2.5s/15s</t>
        </is>
      </c>
      <c r="U76" s="1">
        <f>IF(O76="", "", (N76-O76)*1000/(M76-M75))</f>
        <v/>
      </c>
      <c r="V76" s="1">
        <f>IF(U76="","",U76/R$2/2.5)</f>
        <v/>
      </c>
      <c r="W76" s="1">
        <f>IF(U76="","", 100*_xlfn.STDEV.P(U75:U76)/AVERAGE(U75:U76))</f>
        <v/>
      </c>
      <c r="X76" s="8">
        <f t="array" ref="X76">IF(U76="","", IFERROR(((IF(U$5&lt;&gt;"", U$5*M$5, 0) + SUMPRODUCT(--(U$6:U76&lt;&gt;""), U$6:U76, (M$6:M76-M$5:M75)))/1000), ""))</f>
        <v/>
      </c>
    </row>
    <row r="77">
      <c r="A77" s="1">
        <f>A76+20</f>
        <v/>
      </c>
      <c r="B77" s="1">
        <f>C76</f>
        <v/>
      </c>
      <c r="E77" t="inlineStr">
        <is>
          <t>100mL/2.5s/15s</t>
        </is>
      </c>
      <c r="I77" s="1">
        <f>IF(C77="", "", (B77-C77)*1000/(A77-A76))</f>
        <v/>
      </c>
      <c r="J77" s="1">
        <f>IF(I77="","",I77/F$2/2.5)</f>
        <v/>
      </c>
      <c r="K77" s="1">
        <f>IF(I77="","", 100*_xlfn.STDEV.P(I76:I77)/AVERAGE(I76:I77))</f>
        <v/>
      </c>
      <c r="L77" s="8">
        <f t="array" ref="L77">IF(I77="","", IFERROR(((IF(I$5&lt;&gt;"", I$5*A$5, 0) + SUMPRODUCT(--(I$6:I77&lt;&gt;""), I$6:I77, (A$6:A77-A$5:A76)))/1000), ""))</f>
        <v/>
      </c>
      <c r="M77" s="1">
        <f>M76+20</f>
        <v/>
      </c>
      <c r="N77" s="1">
        <f>O76</f>
        <v/>
      </c>
      <c r="Q77" t="inlineStr">
        <is>
          <t>100mL/2.5s/15s</t>
        </is>
      </c>
      <c r="U77" s="1">
        <f>IF(O77="", "", (N77-O77)*1000/(M77-M76))</f>
        <v/>
      </c>
      <c r="V77" s="1">
        <f>IF(U77="","",U77/R$2/2.5)</f>
        <v/>
      </c>
      <c r="W77" s="1">
        <f>IF(U77="","", 100*_xlfn.STDEV.P(U76:U77)/AVERAGE(U76:U77))</f>
        <v/>
      </c>
      <c r="X77" s="8">
        <f t="array" ref="X77">IF(U77="","", IFERROR(((IF(U$5&lt;&gt;"", U$5*M$5, 0) + SUMPRODUCT(--(U$6:U77&lt;&gt;""), U$6:U77, (M$6:M77-M$5:M76)))/1000), ""))</f>
        <v/>
      </c>
    </row>
    <row r="78">
      <c r="A78" s="1">
        <f>A77+20</f>
        <v/>
      </c>
      <c r="B78" s="1">
        <f>C77</f>
        <v/>
      </c>
      <c r="E78" t="inlineStr">
        <is>
          <t>100mL/2.5s/15s</t>
        </is>
      </c>
      <c r="I78" s="1">
        <f>IF(C78="", "", (B78-C78)*1000/(A78-A77))</f>
        <v/>
      </c>
      <c r="J78" s="1">
        <f>IF(I78="","",I78/F$2/2.5)</f>
        <v/>
      </c>
      <c r="K78" s="1">
        <f>IF(I78="","", 100*_xlfn.STDEV.P(I77:I78)/AVERAGE(I77:I78))</f>
        <v/>
      </c>
      <c r="L78" s="8">
        <f t="array" ref="L78">IF(I78="","", IFERROR(((IF(I$5&lt;&gt;"", I$5*A$5, 0) + SUMPRODUCT(--(I$6:I78&lt;&gt;""), I$6:I78, (A$6:A78-A$5:A77)))/1000), ""))</f>
        <v/>
      </c>
      <c r="M78" s="1">
        <f>M77+20</f>
        <v/>
      </c>
      <c r="N78" s="1">
        <f>O77</f>
        <v/>
      </c>
      <c r="Q78" t="inlineStr">
        <is>
          <t>100mL/2.5s/15s</t>
        </is>
      </c>
      <c r="U78" s="1">
        <f>IF(O78="", "", (N78-O78)*1000/(M78-M77))</f>
        <v/>
      </c>
      <c r="V78" s="1">
        <f>IF(U78="","",U78/R$2/2.5)</f>
        <v/>
      </c>
      <c r="W78" s="1">
        <f>IF(U78="","", 100*_xlfn.STDEV.P(U77:U78)/AVERAGE(U77:U78))</f>
        <v/>
      </c>
      <c r="X78" s="8">
        <f t="array" ref="X78">IF(U78="","", IFERROR(((IF(U$5&lt;&gt;"", U$5*M$5, 0) + SUMPRODUCT(--(U$6:U78&lt;&gt;""), U$6:U78, (M$6:M78-M$5:M77)))/1000), ""))</f>
        <v/>
      </c>
    </row>
    <row r="79">
      <c r="A79" s="1">
        <f>A78+20</f>
        <v/>
      </c>
      <c r="B79" s="1">
        <f>C78</f>
        <v/>
      </c>
      <c r="E79" t="inlineStr">
        <is>
          <t>100mL/2.5s/15s</t>
        </is>
      </c>
      <c r="I79" s="1">
        <f>IF(C79="", "", (B79-C79)*1000/(A79-A78))</f>
        <v/>
      </c>
      <c r="J79" s="1">
        <f>IF(I79="","",I79/F$2/2.5)</f>
        <v/>
      </c>
      <c r="K79" s="1">
        <f>IF(I79="","", 100*_xlfn.STDEV.P(I78:I79)/AVERAGE(I78:I79))</f>
        <v/>
      </c>
      <c r="L79" s="8">
        <f t="array" ref="L79">IF(I79="","", IFERROR(((IF(I$5&lt;&gt;"", I$5*A$5, 0) + SUMPRODUCT(--(I$6:I79&lt;&gt;""), I$6:I79, (A$6:A79-A$5:A78)))/1000), ""))</f>
        <v/>
      </c>
      <c r="M79" s="1">
        <f>M78+20</f>
        <v/>
      </c>
      <c r="N79" s="1">
        <f>O78</f>
        <v/>
      </c>
      <c r="Q79" t="inlineStr">
        <is>
          <t>100mL/2.5s/15s</t>
        </is>
      </c>
      <c r="U79" s="1">
        <f>IF(O79="", "", (N79-O79)*1000/(M79-M78))</f>
        <v/>
      </c>
      <c r="V79" s="1">
        <f>IF(U79="","",U79/R$2/2.5)</f>
        <v/>
      </c>
      <c r="W79" s="1">
        <f>IF(U79="","", 100*_xlfn.STDEV.P(U78:U79)/AVERAGE(U78:U79))</f>
        <v/>
      </c>
      <c r="X79" s="8">
        <f t="array" ref="X79">IF(U79="","", IFERROR(((IF(U$5&lt;&gt;"", U$5*M$5, 0) + SUMPRODUCT(--(U$6:U79&lt;&gt;""), U$6:U79, (M$6:M79-M$5:M78)))/1000), ""))</f>
        <v/>
      </c>
    </row>
    <row r="80">
      <c r="A80" s="1">
        <f>A79+20</f>
        <v/>
      </c>
      <c r="B80" s="1">
        <f>C79</f>
        <v/>
      </c>
      <c r="E80" t="inlineStr">
        <is>
          <t>100mL/2.5s/15s</t>
        </is>
      </c>
      <c r="I80" s="1">
        <f>IF(C80="", "", (B80-C80)*1000/(A80-A79))</f>
        <v/>
      </c>
      <c r="J80" s="1">
        <f>IF(I80="","",I80/F$2/2.5)</f>
        <v/>
      </c>
      <c r="K80" s="1">
        <f>IF(I80="","", 100*_xlfn.STDEV.P(I79:I80)/AVERAGE(I79:I80))</f>
        <v/>
      </c>
      <c r="L80" s="8">
        <f t="array" ref="L80">IF(I80="","", IFERROR(((IF(I$5&lt;&gt;"", I$5*A$5, 0) + SUMPRODUCT(--(I$6:I80&lt;&gt;""), I$6:I80, (A$6:A80-A$5:A79)))/1000), ""))</f>
        <v/>
      </c>
      <c r="M80" s="1">
        <f>M79+20</f>
        <v/>
      </c>
      <c r="N80" s="1">
        <f>O79</f>
        <v/>
      </c>
      <c r="Q80" t="inlineStr">
        <is>
          <t>100mL/2.5s/15s</t>
        </is>
      </c>
      <c r="U80" s="1">
        <f>IF(O80="", "", (N80-O80)*1000/(M80-M79))</f>
        <v/>
      </c>
      <c r="V80" s="1">
        <f>IF(U80="","",U80/R$2/2.5)</f>
        <v/>
      </c>
      <c r="W80" s="1">
        <f>IF(U80="","", 100*_xlfn.STDEV.P(U79:U80)/AVERAGE(U79:U80))</f>
        <v/>
      </c>
      <c r="X80" s="8">
        <f t="array" ref="X80">IF(U80="","", IFERROR(((IF(U$5&lt;&gt;"", U$5*M$5, 0) + SUMPRODUCT(--(U$6:U80&lt;&gt;""), U$6:U80, (M$6:M80-M$5:M79)))/1000), ""))</f>
        <v/>
      </c>
    </row>
    <row r="81">
      <c r="A81" s="1">
        <f>A80+20</f>
        <v/>
      </c>
      <c r="B81" s="1">
        <f>C80</f>
        <v/>
      </c>
      <c r="E81" t="inlineStr">
        <is>
          <t>100mL/2.5s/15s</t>
        </is>
      </c>
      <c r="I81" s="1">
        <f>IF(C81="", "", (B81-C81)*1000/(A81-A80))</f>
        <v/>
      </c>
      <c r="J81" s="1">
        <f>IF(I81="","",I81/F$2/2.5)</f>
        <v/>
      </c>
      <c r="K81" s="1">
        <f>IF(I81="","", 100*_xlfn.STDEV.P(I80:I81)/AVERAGE(I80:I81))</f>
        <v/>
      </c>
      <c r="L81" s="8">
        <f t="array" ref="L81">IF(I81="","", IFERROR(((IF(I$5&lt;&gt;"", I$5*A$5, 0) + SUMPRODUCT(--(I$6:I81&lt;&gt;""), I$6:I81, (A$6:A81-A$5:A80)))/1000), ""))</f>
        <v/>
      </c>
      <c r="M81" s="1">
        <f>M80+20</f>
        <v/>
      </c>
      <c r="N81" s="1">
        <f>O80</f>
        <v/>
      </c>
      <c r="Q81" t="inlineStr">
        <is>
          <t>100mL/2.5s/15s</t>
        </is>
      </c>
      <c r="U81" s="1">
        <f>IF(O81="", "", (N81-O81)*1000/(M81-M80))</f>
        <v/>
      </c>
      <c r="V81" s="1">
        <f>IF(U81="","",U81/R$2/2.5)</f>
        <v/>
      </c>
      <c r="W81" s="1">
        <f>IF(U81="","", 100*_xlfn.STDEV.P(U80:U81)/AVERAGE(U80:U81))</f>
        <v/>
      </c>
      <c r="X81" s="8">
        <f t="array" ref="X81">IF(U81="","", IFERROR(((IF(U$5&lt;&gt;"", U$5*M$5, 0) + SUMPRODUCT(--(U$6:U81&lt;&gt;""), U$6:U81, (M$6:M81-M$5:M80)))/1000), ""))</f>
        <v/>
      </c>
    </row>
    <row r="82">
      <c r="A82" s="1">
        <f>A81+20</f>
        <v/>
      </c>
      <c r="B82" s="1">
        <f>C81</f>
        <v/>
      </c>
      <c r="E82" t="inlineStr">
        <is>
          <t>100mL/2.5s/15s</t>
        </is>
      </c>
      <c r="I82" s="1">
        <f>IF(C82="", "", (B82-C82)*1000/(A82-A81))</f>
        <v/>
      </c>
      <c r="J82" s="1">
        <f>IF(I82="","",I82/F$2/2.5)</f>
        <v/>
      </c>
      <c r="K82" s="1">
        <f>IF(I82="","", 100*_xlfn.STDEV.P(I81:I82)/AVERAGE(I81:I82))</f>
        <v/>
      </c>
      <c r="L82" s="8">
        <f t="array" ref="L82">IF(I82="","", IFERROR(((IF(I$5&lt;&gt;"", I$5*A$5, 0) + SUMPRODUCT(--(I$6:I82&lt;&gt;""), I$6:I82, (A$6:A82-A$5:A81)))/1000), ""))</f>
        <v/>
      </c>
      <c r="M82" s="1">
        <f>M81+20</f>
        <v/>
      </c>
      <c r="N82" s="1">
        <f>O81</f>
        <v/>
      </c>
      <c r="Q82" t="inlineStr">
        <is>
          <t>100mL/2.5s/15s</t>
        </is>
      </c>
      <c r="U82" s="1">
        <f>IF(O82="", "", (N82-O82)*1000/(M82-M81))</f>
        <v/>
      </c>
      <c r="V82" s="1">
        <f>IF(U82="","",U82/R$2/2.5)</f>
        <v/>
      </c>
      <c r="W82" s="1">
        <f>IF(U82="","", 100*_xlfn.STDEV.P(U81:U82)/AVERAGE(U81:U82))</f>
        <v/>
      </c>
      <c r="X82" s="8">
        <f t="array" ref="X82">IF(U82="","", IFERROR(((IF(U$5&lt;&gt;"", U$5*M$5, 0) + SUMPRODUCT(--(U$6:U82&lt;&gt;""), U$6:U82, (M$6:M82-M$5:M81)))/1000), ""))</f>
        <v/>
      </c>
    </row>
    <row r="83">
      <c r="A83" s="1">
        <f>A82+20</f>
        <v/>
      </c>
      <c r="B83" s="1">
        <f>C82</f>
        <v/>
      </c>
      <c r="E83" t="inlineStr">
        <is>
          <t>100mL/2.5s/15s</t>
        </is>
      </c>
      <c r="I83" s="1">
        <f>IF(C83="", "", (B83-C83)*1000/(A83-A82))</f>
        <v/>
      </c>
      <c r="J83" s="1">
        <f>IF(I83="","",I83/F$2/2.5)</f>
        <v/>
      </c>
      <c r="K83" s="1">
        <f>IF(I83="","", 100*_xlfn.STDEV.P(I82:I83)/AVERAGE(I82:I83))</f>
        <v/>
      </c>
      <c r="L83" s="8">
        <f t="array" ref="L83">IF(I83="","", IFERROR(((IF(I$5&lt;&gt;"", I$5*A$5, 0) + SUMPRODUCT(--(I$6:I83&lt;&gt;""), I$6:I83, (A$6:A83-A$5:A82)))/1000), ""))</f>
        <v/>
      </c>
      <c r="M83" s="1">
        <f>M82+20</f>
        <v/>
      </c>
      <c r="N83" s="1">
        <f>O82</f>
        <v/>
      </c>
      <c r="Q83" t="inlineStr">
        <is>
          <t>100mL/2.5s/15s</t>
        </is>
      </c>
      <c r="U83" s="1">
        <f>IF(O83="", "", (N83-O83)*1000/(M83-M82))</f>
        <v/>
      </c>
      <c r="V83" s="1">
        <f>IF(U83="","",U83/R$2/2.5)</f>
        <v/>
      </c>
      <c r="W83" s="1">
        <f>IF(U83="","", 100*_xlfn.STDEV.P(U82:U83)/AVERAGE(U82:U83))</f>
        <v/>
      </c>
      <c r="X83" s="8">
        <f t="array" ref="X83">IF(U83="","", IFERROR(((IF(U$5&lt;&gt;"", U$5*M$5, 0) + SUMPRODUCT(--(U$6:U83&lt;&gt;""), U$6:U83, (M$6:M83-M$5:M82)))/1000), ""))</f>
        <v/>
      </c>
    </row>
    <row r="84">
      <c r="A84" s="1">
        <f>A83+20</f>
        <v/>
      </c>
      <c r="B84" s="1">
        <f>C83</f>
        <v/>
      </c>
      <c r="E84" t="inlineStr">
        <is>
          <t>100mL/2.5s/15s</t>
        </is>
      </c>
      <c r="I84" s="1">
        <f>IF(C84="", "", (B84-C84)*1000/(A84-A83))</f>
        <v/>
      </c>
      <c r="J84" s="1">
        <f>IF(I84="","",I84/F$2/2.5)</f>
        <v/>
      </c>
      <c r="K84" s="1">
        <f>IF(I84="","", 100*_xlfn.STDEV.P(I83:I84)/AVERAGE(I83:I84))</f>
        <v/>
      </c>
      <c r="L84" s="8">
        <f t="array" ref="L84">IF(I84="","", IFERROR(((IF(I$5&lt;&gt;"", I$5*A$5, 0) + SUMPRODUCT(--(I$6:I84&lt;&gt;""), I$6:I84, (A$6:A84-A$5:A83)))/1000), ""))</f>
        <v/>
      </c>
      <c r="M84" s="1">
        <f>M83+20</f>
        <v/>
      </c>
      <c r="N84" s="1">
        <f>O83</f>
        <v/>
      </c>
      <c r="Q84" t="inlineStr">
        <is>
          <t>100mL/2.5s/15s</t>
        </is>
      </c>
      <c r="U84" s="1">
        <f>IF(O84="", "", (N84-O84)*1000/(M84-M83))</f>
        <v/>
      </c>
      <c r="V84" s="1">
        <f>IF(U84="","",U84/R$2/2.5)</f>
        <v/>
      </c>
      <c r="W84" s="1">
        <f>IF(U84="","", 100*_xlfn.STDEV.P(U83:U84)/AVERAGE(U83:U84))</f>
        <v/>
      </c>
      <c r="X84" s="8">
        <f t="array" ref="X84">IF(U84="","", IFERROR(((IF(U$5&lt;&gt;"", U$5*M$5, 0) + SUMPRODUCT(--(U$6:U84&lt;&gt;""), U$6:U84, (M$6:M84-M$5:M83)))/1000), ""))</f>
        <v/>
      </c>
    </row>
    <row r="85">
      <c r="A85" s="1">
        <f>A84+20</f>
        <v/>
      </c>
      <c r="B85" s="1">
        <f>C84</f>
        <v/>
      </c>
      <c r="E85" t="inlineStr">
        <is>
          <t>100mL/2.5s/15s</t>
        </is>
      </c>
      <c r="I85" s="1">
        <f>IF(C85="", "", (B85-C85)*1000/(A85-A84))</f>
        <v/>
      </c>
      <c r="J85" s="1">
        <f>IF(I85="","",I85/F$2/2.5)</f>
        <v/>
      </c>
      <c r="K85" s="1">
        <f>IF(I85="","", 100*_xlfn.STDEV.P(I84:I85)/AVERAGE(I84:I85))</f>
        <v/>
      </c>
      <c r="L85" s="8">
        <f t="array" ref="L85">IF(I85="","", IFERROR(((IF(I$5&lt;&gt;"", I$5*A$5, 0) + SUMPRODUCT(--(I$6:I85&lt;&gt;""), I$6:I85, (A$6:A85-A$5:A84)))/1000), ""))</f>
        <v/>
      </c>
      <c r="M85" s="1">
        <f>M84+20</f>
        <v/>
      </c>
      <c r="N85" s="1">
        <f>O84</f>
        <v/>
      </c>
      <c r="Q85" t="inlineStr">
        <is>
          <t>100mL/2.5s/15s</t>
        </is>
      </c>
      <c r="U85" s="1">
        <f>IF(O85="", "", (N85-O85)*1000/(M85-M84))</f>
        <v/>
      </c>
      <c r="V85" s="1">
        <f>IF(U85="","",U85/R$2/2.5)</f>
        <v/>
      </c>
      <c r="W85" s="1">
        <f>IF(U85="","", 100*_xlfn.STDEV.P(U84:U85)/AVERAGE(U84:U85))</f>
        <v/>
      </c>
      <c r="X85" s="8">
        <f t="array" ref="X85">IF(U85="","", IFERROR(((IF(U$5&lt;&gt;"", U$5*M$5, 0) + SUMPRODUCT(--(U$6:U85&lt;&gt;""), U$6:U85, (M$6:M85-M$5:M84)))/1000), ""))</f>
        <v/>
      </c>
    </row>
    <row r="86">
      <c r="A86" s="1">
        <f>A85+20</f>
        <v/>
      </c>
      <c r="B86" s="1">
        <f>C85</f>
        <v/>
      </c>
      <c r="E86" t="inlineStr">
        <is>
          <t>100mL/2.5s/15s</t>
        </is>
      </c>
      <c r="I86" s="1">
        <f>IF(C86="", "", (B86-C86)*1000/(A86-A85))</f>
        <v/>
      </c>
      <c r="J86" s="1">
        <f>IF(I86="","",I86/F$2/2.5)</f>
        <v/>
      </c>
      <c r="K86" s="1">
        <f>IF(I86="","", 100*_xlfn.STDEV.P(I85:I86)/AVERAGE(I85:I86))</f>
        <v/>
      </c>
      <c r="L86" s="8">
        <f t="array" ref="L86">IF(I86="","", IFERROR(((IF(I$5&lt;&gt;"", I$5*A$5, 0) + SUMPRODUCT(--(I$6:I86&lt;&gt;""), I$6:I86, (A$6:A86-A$5:A85)))/1000), ""))</f>
        <v/>
      </c>
      <c r="M86" s="1">
        <f>M85+20</f>
        <v/>
      </c>
      <c r="N86" s="1">
        <f>O85</f>
        <v/>
      </c>
      <c r="Q86" t="inlineStr">
        <is>
          <t>100mL/2.5s/15s</t>
        </is>
      </c>
      <c r="U86" s="1">
        <f>IF(O86="", "", (N86-O86)*1000/(M86-M85))</f>
        <v/>
      </c>
      <c r="V86" s="1">
        <f>IF(U86="","",U86/R$2/2.5)</f>
        <v/>
      </c>
      <c r="W86" s="1">
        <f>IF(U86="","", 100*_xlfn.STDEV.P(U85:U86)/AVERAGE(U85:U86))</f>
        <v/>
      </c>
      <c r="X86" s="8">
        <f t="array" ref="X86">IF(U86="","", IFERROR(((IF(U$5&lt;&gt;"", U$5*M$5, 0) + SUMPRODUCT(--(U$6:U86&lt;&gt;""), U$6:U86, (M$6:M86-M$5:M85)))/1000), ""))</f>
        <v/>
      </c>
    </row>
    <row r="87">
      <c r="A87" s="1">
        <f>A86+20</f>
        <v/>
      </c>
      <c r="B87" s="1">
        <f>C86</f>
        <v/>
      </c>
      <c r="E87" t="inlineStr">
        <is>
          <t>100mL/2.5s/15s</t>
        </is>
      </c>
      <c r="I87" s="1">
        <f>IF(C87="", "", (B87-C87)*1000/(A87-A86))</f>
        <v/>
      </c>
      <c r="J87" s="1">
        <f>IF(I87="","",I87/F$2/2.5)</f>
        <v/>
      </c>
      <c r="K87" s="1">
        <f>IF(I87="","", 100*_xlfn.STDEV.P(I86:I87)/AVERAGE(I86:I87))</f>
        <v/>
      </c>
      <c r="L87" s="8">
        <f t="array" ref="L87">IF(I87="","", IFERROR(((IF(I$5&lt;&gt;"", I$5*A$5, 0) + SUMPRODUCT(--(I$6:I87&lt;&gt;""), I$6:I87, (A$6:A87-A$5:A86)))/1000), ""))</f>
        <v/>
      </c>
      <c r="M87" s="1">
        <f>M86+20</f>
        <v/>
      </c>
      <c r="N87" s="1">
        <f>O86</f>
        <v/>
      </c>
      <c r="Q87" t="inlineStr">
        <is>
          <t>100mL/2.5s/15s</t>
        </is>
      </c>
      <c r="U87" s="1">
        <f>IF(O87="", "", (N87-O87)*1000/(M87-M86))</f>
        <v/>
      </c>
      <c r="V87" s="1">
        <f>IF(U87="","",U87/R$2/2.5)</f>
        <v/>
      </c>
      <c r="W87" s="1">
        <f>IF(U87="","", 100*_xlfn.STDEV.P(U86:U87)/AVERAGE(U86:U87))</f>
        <v/>
      </c>
      <c r="X87" s="8">
        <f t="array" ref="X87">IF(U87="","", IFERROR(((IF(U$5&lt;&gt;"", U$5*M$5, 0) + SUMPRODUCT(--(U$6:U87&lt;&gt;""), U$6:U87, (M$6:M87-M$5:M86)))/1000), ""))</f>
        <v/>
      </c>
    </row>
    <row r="88">
      <c r="A88" s="1">
        <f>A87+20</f>
        <v/>
      </c>
      <c r="B88" s="1">
        <f>C87</f>
        <v/>
      </c>
      <c r="E88" t="inlineStr">
        <is>
          <t>100mL/2.5s/15s</t>
        </is>
      </c>
      <c r="I88" s="1">
        <f>IF(C88="", "", (B88-C88)*1000/(A88-A87))</f>
        <v/>
      </c>
      <c r="J88" s="1">
        <f>IF(I88="","",I88/F$2/2.5)</f>
        <v/>
      </c>
      <c r="K88" s="1">
        <f>IF(I88="","", 100*_xlfn.STDEV.P(I87:I88)/AVERAGE(I87:I88))</f>
        <v/>
      </c>
      <c r="L88" s="8">
        <f t="array" ref="L88">IF(I88="","", IFERROR(((IF(I$5&lt;&gt;"", I$5*A$5, 0) + SUMPRODUCT(--(I$6:I88&lt;&gt;""), I$6:I88, (A$6:A88-A$5:A87)))/1000), ""))</f>
        <v/>
      </c>
      <c r="M88" s="1">
        <f>M87+20</f>
        <v/>
      </c>
      <c r="N88" s="1">
        <f>O87</f>
        <v/>
      </c>
      <c r="Q88" t="inlineStr">
        <is>
          <t>100mL/2.5s/15s</t>
        </is>
      </c>
      <c r="U88" s="1">
        <f>IF(O88="", "", (N88-O88)*1000/(M88-M87))</f>
        <v/>
      </c>
      <c r="V88" s="1">
        <f>IF(U88="","",U88/R$2/2.5)</f>
        <v/>
      </c>
      <c r="W88" s="1">
        <f>IF(U88="","", 100*_xlfn.STDEV.P(U87:U88)/AVERAGE(U87:U88))</f>
        <v/>
      </c>
      <c r="X88" s="8">
        <f t="array" ref="X88">IF(U88="","", IFERROR(((IF(U$5&lt;&gt;"", U$5*M$5, 0) + SUMPRODUCT(--(U$6:U88&lt;&gt;""), U$6:U88, (M$6:M88-M$5:M87)))/1000), ""))</f>
        <v/>
      </c>
    </row>
    <row r="89">
      <c r="A89" s="1">
        <f>A88+20</f>
        <v/>
      </c>
      <c r="B89" s="1">
        <f>C88</f>
        <v/>
      </c>
      <c r="E89" t="inlineStr">
        <is>
          <t>100mL/2.5s/15s</t>
        </is>
      </c>
      <c r="I89" s="1">
        <f>IF(C89="", "", (B89-C89)*1000/(A89-A88))</f>
        <v/>
      </c>
      <c r="J89" s="1">
        <f>IF(I89="","",I89/F$2/2.5)</f>
        <v/>
      </c>
      <c r="K89" s="1">
        <f>IF(I89="","", 100*_xlfn.STDEV.P(I88:I89)/AVERAGE(I88:I89))</f>
        <v/>
      </c>
      <c r="L89" s="8">
        <f t="array" ref="L89">IF(I89="","", IFERROR(((IF(I$5&lt;&gt;"", I$5*A$5, 0) + SUMPRODUCT(--(I$6:I89&lt;&gt;""), I$6:I89, (A$6:A89-A$5:A88)))/1000), ""))</f>
        <v/>
      </c>
      <c r="M89" s="1">
        <f>M88+20</f>
        <v/>
      </c>
      <c r="N89" s="1">
        <f>O88</f>
        <v/>
      </c>
      <c r="Q89" t="inlineStr">
        <is>
          <t>100mL/2.5s/15s</t>
        </is>
      </c>
      <c r="U89" s="1">
        <f>IF(O89="", "", (N89-O89)*1000/(M89-M88))</f>
        <v/>
      </c>
      <c r="V89" s="1">
        <f>IF(U89="","",U89/R$2/2.5)</f>
        <v/>
      </c>
      <c r="W89" s="1">
        <f>IF(U89="","", 100*_xlfn.STDEV.P(U88:U89)/AVERAGE(U88:U89))</f>
        <v/>
      </c>
      <c r="X89" s="8">
        <f t="array" ref="X89">IF(U89="","", IFERROR(((IF(U$5&lt;&gt;"", U$5*M$5, 0) + SUMPRODUCT(--(U$6:U89&lt;&gt;""), U$6:U89, (M$6:M89-M$5:M88)))/1000), ""))</f>
        <v/>
      </c>
    </row>
    <row r="90">
      <c r="A90" s="1">
        <f>A89+20</f>
        <v/>
      </c>
      <c r="B90" s="1">
        <f>C89</f>
        <v/>
      </c>
      <c r="E90" t="inlineStr">
        <is>
          <t>100mL/2.5s/15s</t>
        </is>
      </c>
      <c r="I90" s="1">
        <f>IF(C90="", "", (B90-C90)*1000/(A90-A89))</f>
        <v/>
      </c>
      <c r="J90" s="1">
        <f>IF(I90="","",I90/F$2/2.5)</f>
        <v/>
      </c>
      <c r="K90" s="1">
        <f>IF(I90="","", 100*_xlfn.STDEV.P(I89:I90)/AVERAGE(I89:I90))</f>
        <v/>
      </c>
      <c r="L90" s="8">
        <f t="array" ref="L90">IF(I90="","", IFERROR(((IF(I$5&lt;&gt;"", I$5*A$5, 0) + SUMPRODUCT(--(I$6:I90&lt;&gt;""), I$6:I90, (A$6:A90-A$5:A89)))/1000), ""))</f>
        <v/>
      </c>
      <c r="M90" s="1">
        <f>M89+20</f>
        <v/>
      </c>
      <c r="N90" s="1">
        <f>O89</f>
        <v/>
      </c>
      <c r="Q90" t="inlineStr">
        <is>
          <t>100mL/2.5s/15s</t>
        </is>
      </c>
      <c r="U90" s="1">
        <f>IF(O90="", "", (N90-O90)*1000/(M90-M89))</f>
        <v/>
      </c>
      <c r="V90" s="1">
        <f>IF(U90="","",U90/R$2/2.5)</f>
        <v/>
      </c>
      <c r="W90" s="1">
        <f>IF(U90="","", 100*_xlfn.STDEV.P(U89:U90)/AVERAGE(U89:U90))</f>
        <v/>
      </c>
      <c r="X90" s="8">
        <f t="array" ref="X90">IF(U90="","", IFERROR(((IF(U$5&lt;&gt;"", U$5*M$5, 0) + SUMPRODUCT(--(U$6:U90&lt;&gt;""), U$6:U90, (M$6:M90-M$5:M89)))/1000), ""))</f>
        <v/>
      </c>
    </row>
    <row r="91">
      <c r="A91" s="1">
        <f>A90+20</f>
        <v/>
      </c>
      <c r="B91" s="1">
        <f>C90</f>
        <v/>
      </c>
      <c r="E91" t="inlineStr">
        <is>
          <t>100mL/2.5s/15s</t>
        </is>
      </c>
      <c r="I91" s="1">
        <f>IF(C91="", "", (B91-C91)*1000/(A91-A90))</f>
        <v/>
      </c>
      <c r="J91" s="1">
        <f>IF(I91="","",I91/F$2/2.5)</f>
        <v/>
      </c>
      <c r="K91" s="1">
        <f>IF(I91="","", 100*_xlfn.STDEV.P(I90:I91)/AVERAGE(I90:I91))</f>
        <v/>
      </c>
      <c r="L91" s="8">
        <f t="array" ref="L91">IF(I91="","", IFERROR(((IF(I$5&lt;&gt;"", I$5*A$5, 0) + SUMPRODUCT(--(I$6:I91&lt;&gt;""), I$6:I91, (A$6:A91-A$5:A90)))/1000), ""))</f>
        <v/>
      </c>
      <c r="M91" s="1">
        <f>M90+20</f>
        <v/>
      </c>
      <c r="N91" s="1">
        <f>O90</f>
        <v/>
      </c>
      <c r="Q91" t="inlineStr">
        <is>
          <t>100mL/2.5s/15s</t>
        </is>
      </c>
      <c r="U91" s="1">
        <f>IF(O91="", "", (N91-O91)*1000/(M91-M90))</f>
        <v/>
      </c>
      <c r="V91" s="1">
        <f>IF(U91="","",U91/R$2/2.5)</f>
        <v/>
      </c>
      <c r="W91" s="1">
        <f>IF(U91="","", 100*_xlfn.STDEV.P(U90:U91)/AVERAGE(U90:U91))</f>
        <v/>
      </c>
      <c r="X91" s="8">
        <f t="array" ref="X91">IF(U91="","", IFERROR(((IF(U$5&lt;&gt;"", U$5*M$5, 0) + SUMPRODUCT(--(U$6:U91&lt;&gt;""), U$6:U91, (M$6:M91-M$5:M90)))/1000), ""))</f>
        <v/>
      </c>
    </row>
    <row r="92">
      <c r="A92" s="1">
        <f>A91+20</f>
        <v/>
      </c>
      <c r="B92" s="1">
        <f>C91</f>
        <v/>
      </c>
      <c r="E92" t="inlineStr">
        <is>
          <t>100mL/2.5s/15s</t>
        </is>
      </c>
      <c r="I92" s="1">
        <f>IF(C92="", "", (B92-C92)*1000/(A92-A91))</f>
        <v/>
      </c>
      <c r="J92" s="1">
        <f>IF(I92="","",I92/F$2/2.5)</f>
        <v/>
      </c>
      <c r="K92" s="1">
        <f>IF(I92="","", 100*_xlfn.STDEV.P(I91:I92)/AVERAGE(I91:I92))</f>
        <v/>
      </c>
      <c r="L92" s="8">
        <f t="array" ref="L92">IF(I92="","", IFERROR(((IF(I$5&lt;&gt;"", I$5*A$5, 0) + SUMPRODUCT(--(I$6:I92&lt;&gt;""), I$6:I92, (A$6:A92-A$5:A91)))/1000), ""))</f>
        <v/>
      </c>
      <c r="M92" s="1">
        <f>M91+20</f>
        <v/>
      </c>
      <c r="N92" s="1">
        <f>O91</f>
        <v/>
      </c>
      <c r="Q92" t="inlineStr">
        <is>
          <t>100mL/2.5s/15s</t>
        </is>
      </c>
      <c r="U92" s="1">
        <f>IF(O92="", "", (N92-O92)*1000/(M92-M91))</f>
        <v/>
      </c>
      <c r="V92" s="1">
        <f>IF(U92="","",U92/R$2/2.5)</f>
        <v/>
      </c>
      <c r="W92" s="1">
        <f>IF(U92="","", 100*_xlfn.STDEV.P(U91:U92)/AVERAGE(U91:U92))</f>
        <v/>
      </c>
      <c r="X92" s="8">
        <f t="array" ref="X92">IF(U92="","", IFERROR(((IF(U$5&lt;&gt;"", U$5*M$5, 0) + SUMPRODUCT(--(U$6:U92&lt;&gt;""), U$6:U92, (M$6:M92-M$5:M91)))/1000), ""))</f>
        <v/>
      </c>
    </row>
    <row r="93">
      <c r="A93" s="1">
        <f>A92+20</f>
        <v/>
      </c>
      <c r="B93" s="1">
        <f>C92</f>
        <v/>
      </c>
      <c r="E93" t="inlineStr">
        <is>
          <t>100mL/2.5s/15s</t>
        </is>
      </c>
      <c r="I93" s="1">
        <f>IF(C93="", "", (B93-C93)*1000/(A93-A92))</f>
        <v/>
      </c>
      <c r="J93" s="1">
        <f>IF(I93="","",I93/F$2/2.5)</f>
        <v/>
      </c>
      <c r="K93" s="1">
        <f>IF(I93="","", 100*_xlfn.STDEV.P(I92:I93)/AVERAGE(I92:I93))</f>
        <v/>
      </c>
      <c r="L93" s="8">
        <f t="array" ref="L93">IF(I93="","", IFERROR(((IF(I$5&lt;&gt;"", I$5*A$5, 0) + SUMPRODUCT(--(I$6:I93&lt;&gt;""), I$6:I93, (A$6:A93-A$5:A92)))/1000), ""))</f>
        <v/>
      </c>
      <c r="M93" s="1">
        <f>M92+20</f>
        <v/>
      </c>
      <c r="N93" s="1">
        <f>O92</f>
        <v/>
      </c>
      <c r="Q93" t="inlineStr">
        <is>
          <t>100mL/2.5s/15s</t>
        </is>
      </c>
      <c r="U93" s="1">
        <f>IF(O93="", "", (N93-O93)*1000/(M93-M92))</f>
        <v/>
      </c>
      <c r="V93" s="1">
        <f>IF(U93="","",U93/R$2/2.5)</f>
        <v/>
      </c>
      <c r="W93" s="1">
        <f>IF(U93="","", 100*_xlfn.STDEV.P(U92:U93)/AVERAGE(U92:U93))</f>
        <v/>
      </c>
      <c r="X93" s="8">
        <f t="array" ref="X93">IF(U93="","", IFERROR(((IF(U$5&lt;&gt;"", U$5*M$5, 0) + SUMPRODUCT(--(U$6:U93&lt;&gt;""), U$6:U93, (M$6:M93-M$5:M92)))/1000), ""))</f>
        <v/>
      </c>
    </row>
    <row r="94">
      <c r="A94" s="1">
        <f>A93+20</f>
        <v/>
      </c>
      <c r="B94" s="1">
        <f>C93</f>
        <v/>
      </c>
      <c r="E94" t="inlineStr">
        <is>
          <t>100mL/2.5s/15s</t>
        </is>
      </c>
      <c r="I94" s="1">
        <f>IF(C94="", "", (B94-C94)*1000/(A94-A93))</f>
        <v/>
      </c>
      <c r="J94" s="1">
        <f>IF(I94="","",I94/F$2/2.5)</f>
        <v/>
      </c>
      <c r="K94" s="1">
        <f>IF(I94="","", 100*_xlfn.STDEV.P(I93:I94)/AVERAGE(I93:I94))</f>
        <v/>
      </c>
      <c r="L94" s="8">
        <f t="array" ref="L94">IF(I94="","", IFERROR(((IF(I$5&lt;&gt;"", I$5*A$5, 0) + SUMPRODUCT(--(I$6:I94&lt;&gt;""), I$6:I94, (A$6:A94-A$5:A93)))/1000), ""))</f>
        <v/>
      </c>
      <c r="M94" s="1">
        <f>M93+20</f>
        <v/>
      </c>
      <c r="N94" s="1">
        <f>O93</f>
        <v/>
      </c>
      <c r="Q94" t="inlineStr">
        <is>
          <t>100mL/2.5s/15s</t>
        </is>
      </c>
      <c r="U94" s="1">
        <f>IF(O94="", "", (N94-O94)*1000/(M94-M93))</f>
        <v/>
      </c>
      <c r="V94" s="1">
        <f>IF(U94="","",U94/R$2/2.5)</f>
        <v/>
      </c>
      <c r="W94" s="1">
        <f>IF(U94="","", 100*_xlfn.STDEV.P(U93:U94)/AVERAGE(U93:U94))</f>
        <v/>
      </c>
      <c r="X94" s="8">
        <f t="array" ref="X94">IF(U94="","", IFERROR(((IF(U$5&lt;&gt;"", U$5*M$5, 0) + SUMPRODUCT(--(U$6:U94&lt;&gt;""), U$6:U94, (M$6:M94-M$5:M93)))/1000), ""))</f>
        <v/>
      </c>
    </row>
    <row r="95">
      <c r="A95" s="1">
        <f>A94+20</f>
        <v/>
      </c>
      <c r="B95" s="1">
        <f>C94</f>
        <v/>
      </c>
      <c r="E95" t="inlineStr">
        <is>
          <t>100mL/2.5s/15s</t>
        </is>
      </c>
      <c r="I95" s="1">
        <f>IF(C95="", "", (B95-C95)*1000/(A95-A94))</f>
        <v/>
      </c>
      <c r="J95" s="1">
        <f>IF(I95="","",I95/F$2/2.5)</f>
        <v/>
      </c>
      <c r="K95" s="1">
        <f>IF(I95="","", 100*_xlfn.STDEV.P(I94:I95)/AVERAGE(I94:I95))</f>
        <v/>
      </c>
      <c r="L95" s="8">
        <f t="array" ref="L95">IF(I95="","", IFERROR(((IF(I$5&lt;&gt;"", I$5*A$5, 0) + SUMPRODUCT(--(I$6:I95&lt;&gt;""), I$6:I95, (A$6:A95-A$5:A94)))/1000), ""))</f>
        <v/>
      </c>
      <c r="M95" s="1">
        <f>M94+20</f>
        <v/>
      </c>
      <c r="N95" s="1">
        <f>O94</f>
        <v/>
      </c>
      <c r="Q95" t="inlineStr">
        <is>
          <t>100mL/2.5s/15s</t>
        </is>
      </c>
      <c r="U95" s="1">
        <f>IF(O95="", "", (N95-O95)*1000/(M95-M94))</f>
        <v/>
      </c>
      <c r="V95" s="1">
        <f>IF(U95="","",U95/R$2/2.5)</f>
        <v/>
      </c>
      <c r="W95" s="1">
        <f>IF(U95="","", 100*_xlfn.STDEV.P(U94:U95)/AVERAGE(U94:U95))</f>
        <v/>
      </c>
      <c r="X95" s="8">
        <f t="array" ref="X95">IF(U95="","", IFERROR(((IF(U$5&lt;&gt;"", U$5*M$5, 0) + SUMPRODUCT(--(U$6:U95&lt;&gt;""), U$6:U95, (M$6:M95-M$5:M94)))/1000), ""))</f>
        <v/>
      </c>
    </row>
    <row r="96">
      <c r="A96" s="1">
        <f>A95+20</f>
        <v/>
      </c>
      <c r="B96" s="1">
        <f>C95</f>
        <v/>
      </c>
      <c r="E96" t="inlineStr">
        <is>
          <t>100mL/2.5s/15s</t>
        </is>
      </c>
      <c r="I96" s="1">
        <f>IF(C96="", "", (B96-C96)*1000/(A96-A95))</f>
        <v/>
      </c>
      <c r="J96" s="1">
        <f>IF(I96="","",I96/F$2/2.5)</f>
        <v/>
      </c>
      <c r="K96" s="1">
        <f>IF(I96="","", 100*_xlfn.STDEV.P(I95:I96)/AVERAGE(I95:I96))</f>
        <v/>
      </c>
      <c r="L96" s="8">
        <f t="array" ref="L96">IF(I96="","", IFERROR(((IF(I$5&lt;&gt;"", I$5*A$5, 0) + SUMPRODUCT(--(I$6:I96&lt;&gt;""), I$6:I96, (A$6:A96-A$5:A95)))/1000), ""))</f>
        <v/>
      </c>
      <c r="M96" s="1">
        <f>M95+20</f>
        <v/>
      </c>
      <c r="N96" s="1">
        <f>O95</f>
        <v/>
      </c>
      <c r="Q96" t="inlineStr">
        <is>
          <t>100mL/2.5s/15s</t>
        </is>
      </c>
      <c r="U96" s="1">
        <f>IF(O96="", "", (N96-O96)*1000/(M96-M95))</f>
        <v/>
      </c>
      <c r="V96" s="1">
        <f>IF(U96="","",U96/R$2/2.5)</f>
        <v/>
      </c>
      <c r="W96" s="1">
        <f>IF(U96="","", 100*_xlfn.STDEV.P(U95:U96)/AVERAGE(U95:U96))</f>
        <v/>
      </c>
      <c r="X96" s="8">
        <f t="array" ref="X96">IF(U96="","", IFERROR(((IF(U$5&lt;&gt;"", U$5*M$5, 0) + SUMPRODUCT(--(U$6:U96&lt;&gt;""), U$6:U96, (M$6:M96-M$5:M95)))/1000), ""))</f>
        <v/>
      </c>
    </row>
    <row r="97">
      <c r="A97" s="1">
        <f>A96+20</f>
        <v/>
      </c>
      <c r="B97" s="1">
        <f>C96</f>
        <v/>
      </c>
      <c r="E97" t="inlineStr">
        <is>
          <t>100mL/2.5s/15s</t>
        </is>
      </c>
      <c r="I97" s="1">
        <f>IF(C97="", "", (B97-C97)*1000/(A97-A96))</f>
        <v/>
      </c>
      <c r="J97" s="1">
        <f>IF(I97="","",I97/F$2/2.5)</f>
        <v/>
      </c>
      <c r="K97" s="1">
        <f>IF(I97="","", 100*_xlfn.STDEV.P(I96:I97)/AVERAGE(I96:I97))</f>
        <v/>
      </c>
      <c r="L97" s="8">
        <f t="array" ref="L97">IF(I97="","", IFERROR(((IF(I$5&lt;&gt;"", I$5*A$5, 0) + SUMPRODUCT(--(I$6:I97&lt;&gt;""), I$6:I97, (A$6:A97-A$5:A96)))/1000), ""))</f>
        <v/>
      </c>
      <c r="M97" s="1">
        <f>M96+20</f>
        <v/>
      </c>
      <c r="N97" s="1">
        <f>O96</f>
        <v/>
      </c>
      <c r="Q97" t="inlineStr">
        <is>
          <t>100mL/2.5s/15s</t>
        </is>
      </c>
      <c r="U97" s="1">
        <f>IF(O97="", "", (N97-O97)*1000/(M97-M96))</f>
        <v/>
      </c>
      <c r="V97" s="1">
        <f>IF(U97="","",U97/R$2/2.5)</f>
        <v/>
      </c>
      <c r="W97" s="1">
        <f>IF(U97="","", 100*_xlfn.STDEV.P(U96:U97)/AVERAGE(U96:U97))</f>
        <v/>
      </c>
      <c r="X97" s="8">
        <f t="array" ref="X97">IF(U97="","", IFERROR(((IF(U$5&lt;&gt;"", U$5*M$5, 0) + SUMPRODUCT(--(U$6:U97&lt;&gt;""), U$6:U97, (M$6:M97-M$5:M96)))/1000), ""))</f>
        <v/>
      </c>
    </row>
    <row r="98">
      <c r="A98" s="1">
        <f>A97+20</f>
        <v/>
      </c>
      <c r="B98" s="1">
        <f>C97</f>
        <v/>
      </c>
      <c r="E98" t="inlineStr">
        <is>
          <t>100mL/2.5s/15s</t>
        </is>
      </c>
      <c r="I98" s="1">
        <f>IF(C98="", "", (B98-C98)*1000/(A98-A97))</f>
        <v/>
      </c>
      <c r="J98" s="1">
        <f>IF(I98="","",I98/F$2/2.5)</f>
        <v/>
      </c>
      <c r="K98" s="1">
        <f>IF(I98="","", 100*_xlfn.STDEV.P(I97:I98)/AVERAGE(I97:I98))</f>
        <v/>
      </c>
      <c r="L98" s="8">
        <f t="array" ref="L98">IF(I98="","", IFERROR(((IF(I$5&lt;&gt;"", I$5*A$5, 0) + SUMPRODUCT(--(I$6:I98&lt;&gt;""), I$6:I98, (A$6:A98-A$5:A97)))/1000), ""))</f>
        <v/>
      </c>
      <c r="M98" s="1">
        <f>M97+20</f>
        <v/>
      </c>
      <c r="N98" s="1">
        <f>O97</f>
        <v/>
      </c>
      <c r="Q98" t="inlineStr">
        <is>
          <t>100mL/2.5s/15s</t>
        </is>
      </c>
      <c r="U98" s="1">
        <f>IF(O98="", "", (N98-O98)*1000/(M98-M97))</f>
        <v/>
      </c>
      <c r="V98" s="1">
        <f>IF(U98="","",U98/R$2/2.5)</f>
        <v/>
      </c>
      <c r="W98" s="1">
        <f>IF(U98="","", 100*_xlfn.STDEV.P(U97:U98)/AVERAGE(U97:U98))</f>
        <v/>
      </c>
      <c r="X98" s="8">
        <f t="array" ref="X98">IF(U98="","", IFERROR(((IF(U$5&lt;&gt;"", U$5*M$5, 0) + SUMPRODUCT(--(U$6:U98&lt;&gt;""), U$6:U98, (M$6:M98-M$5:M97)))/1000), ""))</f>
        <v/>
      </c>
    </row>
    <row r="99">
      <c r="A99" s="1">
        <f>A98+20</f>
        <v/>
      </c>
      <c r="B99" s="1">
        <f>C98</f>
        <v/>
      </c>
      <c r="E99" t="inlineStr">
        <is>
          <t>100mL/2.5s/15s</t>
        </is>
      </c>
      <c r="I99" s="1">
        <f>IF(C99="", "", (B99-C99)*1000/(A99-A98))</f>
        <v/>
      </c>
      <c r="J99" s="1">
        <f>IF(I99="","",I99/F$2/2.5)</f>
        <v/>
      </c>
      <c r="K99" s="1">
        <f>IF(I99="","", 100*_xlfn.STDEV.P(I98:I99)/AVERAGE(I98:I99))</f>
        <v/>
      </c>
      <c r="L99" s="8">
        <f t="array" ref="L99">IF(I99="","", IFERROR(((IF(I$5&lt;&gt;"", I$5*A$5, 0) + SUMPRODUCT(--(I$6:I99&lt;&gt;""), I$6:I99, (A$6:A99-A$5:A98)))/1000), ""))</f>
        <v/>
      </c>
      <c r="M99" s="1">
        <f>M98+20</f>
        <v/>
      </c>
      <c r="N99" s="1">
        <f>O98</f>
        <v/>
      </c>
      <c r="Q99" t="inlineStr">
        <is>
          <t>100mL/2.5s/15s</t>
        </is>
      </c>
      <c r="U99" s="1">
        <f>IF(O99="", "", (N99-O99)*1000/(M99-M98))</f>
        <v/>
      </c>
      <c r="V99" s="1">
        <f>IF(U99="","",U99/R$2/2.5)</f>
        <v/>
      </c>
      <c r="W99" s="1">
        <f>IF(U99="","", 100*_xlfn.STDEV.P(U98:U99)/AVERAGE(U98:U99))</f>
        <v/>
      </c>
      <c r="X99" s="8">
        <f t="array" ref="X99">IF(U99="","", IFERROR(((IF(U$5&lt;&gt;"", U$5*M$5, 0) + SUMPRODUCT(--(U$6:U99&lt;&gt;""), U$6:U99, (M$6:M99-M$5:M98)))/1000), ""))</f>
        <v/>
      </c>
    </row>
    <row r="100">
      <c r="A100" s="1">
        <f>A99+20</f>
        <v/>
      </c>
      <c r="B100" s="1">
        <f>C99</f>
        <v/>
      </c>
      <c r="E100" t="inlineStr">
        <is>
          <t>100mL/2.5s/15s</t>
        </is>
      </c>
      <c r="I100" s="1">
        <f>IF(C100="", "", (B100-C100)*1000/(A100-A99))</f>
        <v/>
      </c>
      <c r="J100" s="1">
        <f>IF(I100="","",I100/F$2/2.5)</f>
        <v/>
      </c>
      <c r="K100" s="1">
        <f>IF(I100="","", 100*_xlfn.STDEV.P(I99:I100)/AVERAGE(I99:I100))</f>
        <v/>
      </c>
      <c r="L100" s="8">
        <f t="array" ref="L100">IF(I100="","", IFERROR(((IF(I$5&lt;&gt;"", I$5*A$5, 0) + SUMPRODUCT(--(I$6:I100&lt;&gt;""), I$6:I100, (A$6:A100-A$5:A99)))/1000), ""))</f>
        <v/>
      </c>
      <c r="M100" s="1">
        <f>M99+20</f>
        <v/>
      </c>
      <c r="N100" s="1">
        <f>O99</f>
        <v/>
      </c>
      <c r="Q100" t="inlineStr">
        <is>
          <t>100mL/2.5s/15s</t>
        </is>
      </c>
      <c r="U100" s="1">
        <f>IF(O100="", "", (N100-O100)*1000/(M100-M99))</f>
        <v/>
      </c>
      <c r="V100" s="1">
        <f>IF(U100="","",U100/R$2/2.5)</f>
        <v/>
      </c>
      <c r="W100" s="1">
        <f>IF(U100="","", 100*_xlfn.STDEV.P(U99:U100)/AVERAGE(U99:U100))</f>
        <v/>
      </c>
      <c r="X100" s="8">
        <f t="array" ref="X100">IF(U100="","", IFERROR(((IF(U$5&lt;&gt;"", U$5*M$5, 0) + SUMPRODUCT(--(U$6:U100&lt;&gt;""), U$6:U100, (M$6:M100-M$5:M99)))/1000), ""))</f>
        <v/>
      </c>
    </row>
    <row r="101">
      <c r="A101" s="1">
        <f>A100+20</f>
        <v/>
      </c>
      <c r="B101" s="1">
        <f>C100</f>
        <v/>
      </c>
      <c r="E101" t="inlineStr">
        <is>
          <t>100mL/2.5s/15s</t>
        </is>
      </c>
      <c r="I101" s="1">
        <f>IF(C101="", "", (B101-C101)*1000/(A101-A100))</f>
        <v/>
      </c>
      <c r="J101" s="1">
        <f>IF(I101="","",I101/F$2/2.5)</f>
        <v/>
      </c>
      <c r="K101" s="1">
        <f>IF(I101="","", 100*_xlfn.STDEV.P(I100:I101)/AVERAGE(I100:I101))</f>
        <v/>
      </c>
      <c r="L101" s="8">
        <f t="array" ref="L101">IF(I101="","", IFERROR(((IF(I$5&lt;&gt;"", I$5*A$5, 0) + SUMPRODUCT(--(I$6:I101&lt;&gt;""), I$6:I101, (A$6:A101-A$5:A100)))/1000), ""))</f>
        <v/>
      </c>
      <c r="M101" s="1">
        <f>M100+20</f>
        <v/>
      </c>
      <c r="N101" s="1">
        <f>O100</f>
        <v/>
      </c>
      <c r="Q101" t="inlineStr">
        <is>
          <t>100mL/2.5s/15s</t>
        </is>
      </c>
      <c r="U101" s="1">
        <f>IF(O101="", "", (N101-O101)*1000/(M101-M100))</f>
        <v/>
      </c>
      <c r="V101" s="1">
        <f>IF(U101="","",U101/R$2/2.5)</f>
        <v/>
      </c>
      <c r="W101" s="1">
        <f>IF(U101="","", 100*_xlfn.STDEV.P(U100:U101)/AVERAGE(U100:U101))</f>
        <v/>
      </c>
      <c r="X101" s="8">
        <f t="array" ref="X101">IF(U101="","", IFERROR(((IF(U$5&lt;&gt;"", U$5*M$5, 0) + SUMPRODUCT(--(U$6:U101&lt;&gt;""), U$6:U101, (M$6:M101-M$5:M100)))/1000), ""))</f>
        <v/>
      </c>
    </row>
    <row r="102">
      <c r="A102" s="1">
        <f>A101+20</f>
        <v/>
      </c>
      <c r="B102" s="1">
        <f>C101</f>
        <v/>
      </c>
      <c r="E102" t="inlineStr">
        <is>
          <t>100mL/2.5s/15s</t>
        </is>
      </c>
      <c r="I102" s="1">
        <f>IF(C102="", "", (B102-C102)*1000/(A102-A101))</f>
        <v/>
      </c>
      <c r="J102" s="1">
        <f>IF(I102="","",I102/F$2/2.5)</f>
        <v/>
      </c>
      <c r="K102" s="1">
        <f>IF(I102="","", 100*_xlfn.STDEV.P(I101:I102)/AVERAGE(I101:I102))</f>
        <v/>
      </c>
      <c r="L102" s="8">
        <f t="array" ref="L102">IF(I102="","", IFERROR(((IF(I$5&lt;&gt;"", I$5*A$5, 0) + SUMPRODUCT(--(I$6:I102&lt;&gt;""), I$6:I102, (A$6:A102-A$5:A101)))/1000), ""))</f>
        <v/>
      </c>
      <c r="M102" s="1">
        <f>M101+20</f>
        <v/>
      </c>
      <c r="N102" s="1">
        <f>O101</f>
        <v/>
      </c>
      <c r="Q102" t="inlineStr">
        <is>
          <t>100mL/2.5s/15s</t>
        </is>
      </c>
      <c r="U102" s="1">
        <f>IF(O102="", "", (N102-O102)*1000/(M102-M101))</f>
        <v/>
      </c>
      <c r="V102" s="1">
        <f>IF(U102="","",U102/R$2/2.5)</f>
        <v/>
      </c>
      <c r="W102" s="1">
        <f>IF(U102="","", 100*_xlfn.STDEV.P(U101:U102)/AVERAGE(U101:U102))</f>
        <v/>
      </c>
      <c r="X102" s="8">
        <f t="array" ref="X102">IF(U102="","", IFERROR(((IF(U$5&lt;&gt;"", U$5*M$5, 0) + SUMPRODUCT(--(U$6:U102&lt;&gt;""), U$6:U102, (M$6:M102-M$5:M101)))/1000), ""))</f>
        <v/>
      </c>
    </row>
    <row r="103">
      <c r="A103" s="1">
        <f>A102+20</f>
        <v/>
      </c>
      <c r="B103" s="1">
        <f>C102</f>
        <v/>
      </c>
      <c r="E103" t="inlineStr">
        <is>
          <t>100mL/2.5s/15s</t>
        </is>
      </c>
      <c r="I103" s="1">
        <f>IF(C103="", "", (B103-C103)*1000/(A103-A102))</f>
        <v/>
      </c>
      <c r="J103" s="1">
        <f>IF(I103="","",I103/F$2/2.5)</f>
        <v/>
      </c>
      <c r="K103" s="1">
        <f>IF(I103="","", 100*_xlfn.STDEV.P(I102:I103)/AVERAGE(I102:I103))</f>
        <v/>
      </c>
      <c r="L103" s="8">
        <f t="array" ref="L103">IF(I103="","", IFERROR(((IF(I$5&lt;&gt;"", I$5*A$5, 0) + SUMPRODUCT(--(I$6:I103&lt;&gt;""), I$6:I103, (A$6:A103-A$5:A102)))/1000), ""))</f>
        <v/>
      </c>
      <c r="M103" s="1">
        <f>M102+20</f>
        <v/>
      </c>
      <c r="N103" s="1">
        <f>O102</f>
        <v/>
      </c>
      <c r="Q103" t="inlineStr">
        <is>
          <t>100mL/2.5s/15s</t>
        </is>
      </c>
      <c r="U103" s="1">
        <f>IF(O103="", "", (N103-O103)*1000/(M103-M102))</f>
        <v/>
      </c>
      <c r="V103" s="1">
        <f>IF(U103="","",U103/R$2/2.5)</f>
        <v/>
      </c>
      <c r="W103" s="1">
        <f>IF(U103="","", 100*_xlfn.STDEV.P(U102:U103)/AVERAGE(U102:U103))</f>
        <v/>
      </c>
      <c r="X103" s="8">
        <f t="array" ref="X103">IF(U103="","", IFERROR(((IF(U$5&lt;&gt;"", U$5*M$5, 0) + SUMPRODUCT(--(U$6:U103&lt;&gt;""), U$6:U103, (M$6:M103-M$5:M102)))/1000), ""))</f>
        <v/>
      </c>
    </row>
    <row r="104">
      <c r="A104" s="1">
        <f>A103+20</f>
        <v/>
      </c>
      <c r="B104" s="1">
        <f>C103</f>
        <v/>
      </c>
      <c r="E104" t="inlineStr">
        <is>
          <t>100mL/2.5s/15s</t>
        </is>
      </c>
      <c r="I104" s="1">
        <f>IF(C104="", "", (B104-C104)*1000/(A104-A103))</f>
        <v/>
      </c>
      <c r="J104" s="1">
        <f>IF(I104="","",I104/F$2/2.5)</f>
        <v/>
      </c>
      <c r="K104" s="1">
        <f>IF(I104="","", 100*_xlfn.STDEV.P(I103:I104)/AVERAGE(I103:I104))</f>
        <v/>
      </c>
      <c r="L104" s="8">
        <f t="array" ref="L104">IF(I104="","", IFERROR(((IF(I$5&lt;&gt;"", I$5*A$5, 0) + SUMPRODUCT(--(I$6:I104&lt;&gt;""), I$6:I104, (A$6:A104-A$5:A103)))/1000), ""))</f>
        <v/>
      </c>
      <c r="M104" s="1">
        <f>M103+20</f>
        <v/>
      </c>
      <c r="N104" s="1">
        <f>O103</f>
        <v/>
      </c>
      <c r="Q104" t="inlineStr">
        <is>
          <t>100mL/2.5s/15s</t>
        </is>
      </c>
      <c r="U104" s="1">
        <f>IF(O104="", "", (N104-O104)*1000/(M104-M103))</f>
        <v/>
      </c>
      <c r="V104" s="1">
        <f>IF(U104="","",U104/R$2/2.5)</f>
        <v/>
      </c>
      <c r="W104" s="1">
        <f>IF(U104="","", 100*_xlfn.STDEV.P(U103:U104)/AVERAGE(U103:U104))</f>
        <v/>
      </c>
      <c r="X104" s="8">
        <f t="array" ref="X104">IF(U104="","", IFERROR(((IF(U$5&lt;&gt;"", U$5*M$5, 0) + SUMPRODUCT(--(U$6:U104&lt;&gt;""), U$6:U104, (M$6:M104-M$5:M103)))/1000), ""))</f>
        <v/>
      </c>
    </row>
    <row r="105">
      <c r="A105" s="1">
        <f>A104+20</f>
        <v/>
      </c>
      <c r="B105" s="1">
        <f>C104</f>
        <v/>
      </c>
      <c r="E105" t="inlineStr">
        <is>
          <t>100mL/2.5s/15s</t>
        </is>
      </c>
      <c r="I105" s="1">
        <f>IF(C105="", "", (B105-C105)*1000/(A105-A104))</f>
        <v/>
      </c>
      <c r="J105" s="1">
        <f>IF(I105="","",I105/F$2/2.5)</f>
        <v/>
      </c>
      <c r="K105" s="1">
        <f>IF(I105="","", 100*_xlfn.STDEV.P(I104:I105)/AVERAGE(I104:I105))</f>
        <v/>
      </c>
      <c r="L105" s="8">
        <f t="array" ref="L105">IF(I105="","", IFERROR(((IF(I$5&lt;&gt;"", I$5*A$5, 0) + SUMPRODUCT(--(I$6:I105&lt;&gt;""), I$6:I105, (A$6:A105-A$5:A104)))/1000), ""))</f>
        <v/>
      </c>
      <c r="M105" s="1">
        <f>M104+20</f>
        <v/>
      </c>
      <c r="N105" s="1">
        <f>O104</f>
        <v/>
      </c>
      <c r="Q105" t="inlineStr">
        <is>
          <t>100mL/2.5s/15s</t>
        </is>
      </c>
      <c r="U105" s="1">
        <f>IF(O105="", "", (N105-O105)*1000/(M105-M104))</f>
        <v/>
      </c>
      <c r="V105" s="1">
        <f>IF(U105="","",U105/R$2/2.5)</f>
        <v/>
      </c>
      <c r="W105" s="1">
        <f>IF(U105="","", 100*_xlfn.STDEV.P(U104:U105)/AVERAGE(U104:U105))</f>
        <v/>
      </c>
      <c r="X105" s="8">
        <f t="array" ref="X105">IF(U105="","", IFERROR(((IF(U$5&lt;&gt;"", U$5*M$5, 0) + SUMPRODUCT(--(U$6:U105&lt;&gt;""), U$6:U105, (M$6:M105-M$5:M104)))/1000), ""))</f>
        <v/>
      </c>
    </row>
    <row r="106">
      <c r="A106" s="1">
        <f>A105+20</f>
        <v/>
      </c>
      <c r="B106" s="1">
        <f>C105</f>
        <v/>
      </c>
      <c r="E106" t="inlineStr">
        <is>
          <t>100mL/2.5s/15s</t>
        </is>
      </c>
      <c r="I106" s="1">
        <f>IF(C106="", "", (B106-C106)*1000/(A106-A105))</f>
        <v/>
      </c>
      <c r="J106" s="1">
        <f>IF(I106="","",I106/F$2/2.5)</f>
        <v/>
      </c>
      <c r="K106" s="1">
        <f>IF(I106="","", 100*_xlfn.STDEV.P(I105:I106)/AVERAGE(I105:I106))</f>
        <v/>
      </c>
      <c r="L106" s="8">
        <f t="array" ref="L106">IF(I106="","", IFERROR(((IF(I$5&lt;&gt;"", I$5*A$5, 0) + SUMPRODUCT(--(I$6:I106&lt;&gt;""), I$6:I106, (A$6:A106-A$5:A105)))/1000), ""))</f>
        <v/>
      </c>
      <c r="M106" s="1">
        <f>M105+20</f>
        <v/>
      </c>
      <c r="N106" s="1">
        <f>O105</f>
        <v/>
      </c>
      <c r="Q106" t="inlineStr">
        <is>
          <t>100mL/2.5s/15s</t>
        </is>
      </c>
      <c r="U106" s="1">
        <f>IF(O106="", "", (N106-O106)*1000/(M106-M105))</f>
        <v/>
      </c>
      <c r="V106" s="1">
        <f>IF(U106="","",U106/R$2/2.5)</f>
        <v/>
      </c>
      <c r="W106" s="1">
        <f>IF(U106="","", 100*_xlfn.STDEV.P(U105:U106)/AVERAGE(U105:U106))</f>
        <v/>
      </c>
      <c r="X106" s="8">
        <f t="array" ref="X106">IF(U106="","", IFERROR(((IF(U$5&lt;&gt;"", U$5*M$5, 0) + SUMPRODUCT(--(U$6:U106&lt;&gt;""), U$6:U106, (M$6:M106-M$5:M105)))/1000), ""))</f>
        <v/>
      </c>
    </row>
    <row r="107">
      <c r="A107" s="1">
        <f>A106+20</f>
        <v/>
      </c>
      <c r="B107" s="1">
        <f>C106</f>
        <v/>
      </c>
      <c r="E107" t="inlineStr">
        <is>
          <t>100mL/2.5s/15s</t>
        </is>
      </c>
      <c r="I107" s="1">
        <f>IF(C107="", "", (B107-C107)*1000/(A107-A106))</f>
        <v/>
      </c>
      <c r="J107" s="1">
        <f>IF(I107="","",I107/F$2/2.5)</f>
        <v/>
      </c>
      <c r="K107" s="1">
        <f>IF(I107="","", 100*_xlfn.STDEV.P(I106:I107)/AVERAGE(I106:I107))</f>
        <v/>
      </c>
      <c r="L107" s="8">
        <f t="array" ref="L107">IF(I107="","", IFERROR(((IF(I$5&lt;&gt;"", I$5*A$5, 0) + SUMPRODUCT(--(I$6:I107&lt;&gt;""), I$6:I107, (A$6:A107-A$5:A106)))/1000), ""))</f>
        <v/>
      </c>
      <c r="M107" s="1">
        <f>M106+20</f>
        <v/>
      </c>
      <c r="N107" s="1">
        <f>O106</f>
        <v/>
      </c>
      <c r="Q107" t="inlineStr">
        <is>
          <t>100mL/2.5s/15s</t>
        </is>
      </c>
      <c r="U107" s="1">
        <f>IF(O107="", "", (N107-O107)*1000/(M107-M106))</f>
        <v/>
      </c>
      <c r="V107" s="1">
        <f>IF(U107="","",U107/R$2/2.5)</f>
        <v/>
      </c>
      <c r="W107" s="1">
        <f>IF(U107="","", 100*_xlfn.STDEV.P(U106:U107)/AVERAGE(U106:U107))</f>
        <v/>
      </c>
      <c r="X107" s="8">
        <f t="array" ref="X107">IF(U107="","", IFERROR(((IF(U$5&lt;&gt;"", U$5*M$5, 0) + SUMPRODUCT(--(U$6:U107&lt;&gt;""), U$6:U107, (M$6:M107-M$5:M106)))/1000), ""))</f>
        <v/>
      </c>
    </row>
    <row r="108">
      <c r="A108" s="1">
        <f>A107+20</f>
        <v/>
      </c>
      <c r="B108" s="1">
        <f>C107</f>
        <v/>
      </c>
      <c r="E108" t="inlineStr">
        <is>
          <t>100mL/2.5s/15s</t>
        </is>
      </c>
      <c r="I108" s="1">
        <f>IF(C108="", "", (B108-C108)*1000/(A108-A107))</f>
        <v/>
      </c>
      <c r="J108" s="1">
        <f>IF(I108="","",I108/F$2/2.5)</f>
        <v/>
      </c>
      <c r="K108" s="1">
        <f>IF(I108="","", 100*_xlfn.STDEV.P(I107:I108)/AVERAGE(I107:I108))</f>
        <v/>
      </c>
      <c r="L108" s="8">
        <f t="array" ref="L108">IF(I108="","", IFERROR(((IF(I$5&lt;&gt;"", I$5*A$5, 0) + SUMPRODUCT(--(I$6:I108&lt;&gt;""), I$6:I108, (A$6:A108-A$5:A107)))/1000), ""))</f>
        <v/>
      </c>
      <c r="M108" s="1">
        <f>M107+20</f>
        <v/>
      </c>
      <c r="N108" s="1">
        <f>O107</f>
        <v/>
      </c>
      <c r="Q108" t="inlineStr">
        <is>
          <t>100mL/2.5s/15s</t>
        </is>
      </c>
      <c r="U108" s="1">
        <f>IF(O108="", "", (N108-O108)*1000/(M108-M107))</f>
        <v/>
      </c>
      <c r="V108" s="1">
        <f>IF(U108="","",U108/R$2/2.5)</f>
        <v/>
      </c>
      <c r="W108" s="1">
        <f>IF(U108="","", 100*_xlfn.STDEV.P(U107:U108)/AVERAGE(U107:U108))</f>
        <v/>
      </c>
      <c r="X108" s="8">
        <f t="array" ref="X108">IF(U108="","", IFERROR(((IF(U$5&lt;&gt;"", U$5*M$5, 0) + SUMPRODUCT(--(U$6:U108&lt;&gt;""), U$6:U108, (M$6:M108-M$5:M107)))/1000), ""))</f>
        <v/>
      </c>
    </row>
    <row r="109">
      <c r="A109" s="1">
        <f>A108+20</f>
        <v/>
      </c>
      <c r="B109" s="1">
        <f>C108</f>
        <v/>
      </c>
      <c r="E109" t="inlineStr">
        <is>
          <t>100mL/2.5s/15s</t>
        </is>
      </c>
      <c r="I109" s="1">
        <f>IF(C109="", "", (B109-C109)*1000/(A109-A108))</f>
        <v/>
      </c>
      <c r="J109" s="1">
        <f>IF(I109="","",I109/F$2/2.5)</f>
        <v/>
      </c>
      <c r="K109" s="1">
        <f>IF(I109="","", 100*_xlfn.STDEV.P(I108:I109)/AVERAGE(I108:I109))</f>
        <v/>
      </c>
      <c r="L109" s="8">
        <f t="array" ref="L109">IF(I109="","", IFERROR(((IF(I$5&lt;&gt;"", I$5*A$5, 0) + SUMPRODUCT(--(I$6:I109&lt;&gt;""), I$6:I109, (A$6:A109-A$5:A108)))/1000), ""))</f>
        <v/>
      </c>
      <c r="M109" s="1">
        <f>M108+20</f>
        <v/>
      </c>
      <c r="N109" s="1">
        <f>O108</f>
        <v/>
      </c>
      <c r="Q109" t="inlineStr">
        <is>
          <t>100mL/2.5s/15s</t>
        </is>
      </c>
      <c r="U109" s="1">
        <f>IF(O109="", "", (N109-O109)*1000/(M109-M108))</f>
        <v/>
      </c>
      <c r="V109" s="1">
        <f>IF(U109="","",U109/R$2/2.5)</f>
        <v/>
      </c>
      <c r="W109" s="1">
        <f>IF(U109="","", 100*_xlfn.STDEV.P(U108:U109)/AVERAGE(U108:U109))</f>
        <v/>
      </c>
      <c r="X109" s="8">
        <f t="array" ref="X109">IF(U109="","", IFERROR(((IF(U$5&lt;&gt;"", U$5*M$5, 0) + SUMPRODUCT(--(U$6:U109&lt;&gt;""), U$6:U109, (M$6:M109-M$5:M108)))/1000), ""))</f>
        <v/>
      </c>
    </row>
    <row r="110">
      <c r="A110" s="1">
        <f>A109+20</f>
        <v/>
      </c>
      <c r="B110" s="1">
        <f>C109</f>
        <v/>
      </c>
      <c r="E110" t="inlineStr">
        <is>
          <t>100mL/2.5s/15s</t>
        </is>
      </c>
      <c r="I110" s="1">
        <f>IF(C110="", "", (B110-C110)*1000/(A110-A109))</f>
        <v/>
      </c>
      <c r="J110" s="1">
        <f>IF(I110="","",I110/F$2/2.5)</f>
        <v/>
      </c>
      <c r="K110" s="1">
        <f>IF(I110="","", 100*_xlfn.STDEV.P(I109:I110)/AVERAGE(I109:I110))</f>
        <v/>
      </c>
      <c r="L110" s="8">
        <f t="array" ref="L110">IF(I110="","", IFERROR(((IF(I$5&lt;&gt;"", I$5*A$5, 0) + SUMPRODUCT(--(I$6:I110&lt;&gt;""), I$6:I110, (A$6:A110-A$5:A109)))/1000), ""))</f>
        <v/>
      </c>
      <c r="M110" s="1">
        <f>M109+20</f>
        <v/>
      </c>
      <c r="N110" s="1">
        <f>O109</f>
        <v/>
      </c>
      <c r="Q110" t="inlineStr">
        <is>
          <t>100mL/2.5s/15s</t>
        </is>
      </c>
      <c r="U110" s="1">
        <f>IF(O110="", "", (N110-O110)*1000/(M110-M109))</f>
        <v/>
      </c>
      <c r="V110" s="1">
        <f>IF(U110="","",U110/R$2/2.5)</f>
        <v/>
      </c>
      <c r="W110" s="1">
        <f>IF(U110="","", 100*_xlfn.STDEV.P(U109:U110)/AVERAGE(U109:U110))</f>
        <v/>
      </c>
      <c r="X110" s="8">
        <f t="array" ref="X110">IF(U110="","", IFERROR(((IF(U$5&lt;&gt;"", U$5*M$5, 0) + SUMPRODUCT(--(U$6:U110&lt;&gt;""), U$6:U110, (M$6:M110-M$5:M109)))/1000), ""))</f>
        <v/>
      </c>
    </row>
    <row r="111">
      <c r="A111" s="1">
        <f>A110+20</f>
        <v/>
      </c>
      <c r="B111" s="1">
        <f>C110</f>
        <v/>
      </c>
      <c r="E111" t="inlineStr">
        <is>
          <t>100mL/2.5s/15s</t>
        </is>
      </c>
      <c r="I111" s="1">
        <f>IF(C111="", "", (B111-C111)*1000/(A111-A110))</f>
        <v/>
      </c>
      <c r="J111" s="1">
        <f>IF(I111="","",I111/F$2/2.5)</f>
        <v/>
      </c>
      <c r="K111" s="1">
        <f>IF(I111="","", 100*_xlfn.STDEV.P(I110:I111)/AVERAGE(I110:I111))</f>
        <v/>
      </c>
      <c r="L111" s="8">
        <f t="array" ref="L111">IF(I111="","", IFERROR(((IF(I$5&lt;&gt;"", I$5*A$5, 0) + SUMPRODUCT(--(I$6:I111&lt;&gt;""), I$6:I111, (A$6:A111-A$5:A110)))/1000), ""))</f>
        <v/>
      </c>
      <c r="M111" s="1">
        <f>M110+20</f>
        <v/>
      </c>
      <c r="N111" s="1">
        <f>O110</f>
        <v/>
      </c>
      <c r="Q111" t="inlineStr">
        <is>
          <t>100mL/2.5s/15s</t>
        </is>
      </c>
      <c r="U111" s="1">
        <f>IF(O111="", "", (N111-O111)*1000/(M111-M110))</f>
        <v/>
      </c>
      <c r="V111" s="1">
        <f>IF(U111="","",U111/R$2/2.5)</f>
        <v/>
      </c>
      <c r="W111" s="1">
        <f>IF(U111="","", 100*_xlfn.STDEV.P(U110:U111)/AVERAGE(U110:U111))</f>
        <v/>
      </c>
      <c r="X111" s="8">
        <f t="array" ref="X111">IF(U111="","", IFERROR(((IF(U$5&lt;&gt;"", U$5*M$5, 0) + SUMPRODUCT(--(U$6:U111&lt;&gt;""), U$6:U111, (M$6:M111-M$5:M110)))/1000), ""))</f>
        <v/>
      </c>
    </row>
    <row r="112">
      <c r="A112" s="1">
        <f>A111+20</f>
        <v/>
      </c>
      <c r="B112" s="1">
        <f>C111</f>
        <v/>
      </c>
      <c r="E112" t="inlineStr">
        <is>
          <t>100mL/2.5s/15s</t>
        </is>
      </c>
      <c r="I112" s="1">
        <f>IF(C112="", "", (B112-C112)*1000/(A112-A111))</f>
        <v/>
      </c>
      <c r="J112" s="1">
        <f>IF(I112="","",I112/F$2/2.5)</f>
        <v/>
      </c>
      <c r="K112" s="1">
        <f>IF(I112="","", 100*_xlfn.STDEV.P(I111:I112)/AVERAGE(I111:I112))</f>
        <v/>
      </c>
      <c r="L112" s="8">
        <f t="array" ref="L112">IF(I112="","", IFERROR(((IF(I$5&lt;&gt;"", I$5*A$5, 0) + SUMPRODUCT(--(I$6:I112&lt;&gt;""), I$6:I112, (A$6:A112-A$5:A111)))/1000), ""))</f>
        <v/>
      </c>
      <c r="M112" s="1">
        <f>M111+20</f>
        <v/>
      </c>
      <c r="N112" s="1">
        <f>O111</f>
        <v/>
      </c>
      <c r="Q112" t="inlineStr">
        <is>
          <t>100mL/2.5s/15s</t>
        </is>
      </c>
      <c r="U112" s="1">
        <f>IF(O112="", "", (N112-O112)*1000/(M112-M111))</f>
        <v/>
      </c>
      <c r="V112" s="1">
        <f>IF(U112="","",U112/R$2/2.5)</f>
        <v/>
      </c>
      <c r="W112" s="1">
        <f>IF(U112="","", 100*_xlfn.STDEV.P(U111:U112)/AVERAGE(U111:U112))</f>
        <v/>
      </c>
      <c r="X112" s="8">
        <f t="array" ref="X112">IF(U112="","", IFERROR(((IF(U$5&lt;&gt;"", U$5*M$5, 0) + SUMPRODUCT(--(U$6:U112&lt;&gt;""), U$6:U112, (M$6:M112-M$5:M111)))/1000), ""))</f>
        <v/>
      </c>
    </row>
    <row r="113">
      <c r="A113" s="1">
        <f>A112+20</f>
        <v/>
      </c>
      <c r="B113" s="1">
        <f>C112</f>
        <v/>
      </c>
      <c r="E113" t="inlineStr">
        <is>
          <t>100mL/2.5s/15s</t>
        </is>
      </c>
      <c r="I113" s="1">
        <f>IF(C113="", "", (B113-C113)*1000/(A113-A112))</f>
        <v/>
      </c>
      <c r="J113" s="1">
        <f>IF(I113="","",I113/F$2/2.5)</f>
        <v/>
      </c>
      <c r="K113" s="1">
        <f>IF(I113="","", 100*_xlfn.STDEV.P(I112:I113)/AVERAGE(I112:I113))</f>
        <v/>
      </c>
      <c r="L113" s="8">
        <f t="array" ref="L113">IF(I113="","", IFERROR(((IF(I$5&lt;&gt;"", I$5*A$5, 0) + SUMPRODUCT(--(I$6:I113&lt;&gt;""), I$6:I113, (A$6:A113-A$5:A112)))/1000), ""))</f>
        <v/>
      </c>
      <c r="M113" s="1">
        <f>M112+20</f>
        <v/>
      </c>
      <c r="N113" s="1">
        <f>O112</f>
        <v/>
      </c>
      <c r="Q113" t="inlineStr">
        <is>
          <t>100mL/2.5s/15s</t>
        </is>
      </c>
      <c r="U113" s="1">
        <f>IF(O113="", "", (N113-O113)*1000/(M113-M112))</f>
        <v/>
      </c>
      <c r="V113" s="1">
        <f>IF(U113="","",U113/R$2/2.5)</f>
        <v/>
      </c>
      <c r="W113" s="1">
        <f>IF(U113="","", 100*_xlfn.STDEV.P(U112:U113)/AVERAGE(U112:U113))</f>
        <v/>
      </c>
      <c r="X113" s="8">
        <f t="array" ref="X113">IF(U113="","", IFERROR(((IF(U$5&lt;&gt;"", U$5*M$5, 0) + SUMPRODUCT(--(U$6:U113&lt;&gt;""), U$6:U113, (M$6:M113-M$5:M112)))/1000), ""))</f>
        <v/>
      </c>
    </row>
    <row r="114">
      <c r="A114" s="1">
        <f>A113+20</f>
        <v/>
      </c>
      <c r="B114" s="1">
        <f>C113</f>
        <v/>
      </c>
      <c r="E114" t="inlineStr">
        <is>
          <t>100mL/2.5s/15s</t>
        </is>
      </c>
      <c r="I114" s="1">
        <f>IF(C114="", "", (B114-C114)*1000/(A114-A113))</f>
        <v/>
      </c>
      <c r="J114" s="1">
        <f>IF(I114="","",I114/F$2/2.5)</f>
        <v/>
      </c>
      <c r="K114" s="1">
        <f>IF(I114="","", 100*_xlfn.STDEV.P(I113:I114)/AVERAGE(I113:I114))</f>
        <v/>
      </c>
      <c r="L114" s="8">
        <f t="array" ref="L114">IF(I114="","", IFERROR(((IF(I$5&lt;&gt;"", I$5*A$5, 0) + SUMPRODUCT(--(I$6:I114&lt;&gt;""), I$6:I114, (A$6:A114-A$5:A113)))/1000), ""))</f>
        <v/>
      </c>
      <c r="M114" s="1">
        <f>M113+20</f>
        <v/>
      </c>
      <c r="N114" s="1">
        <f>O113</f>
        <v/>
      </c>
      <c r="Q114" t="inlineStr">
        <is>
          <t>100mL/2.5s/15s</t>
        </is>
      </c>
      <c r="U114" s="1">
        <f>IF(O114="", "", (N114-O114)*1000/(M114-M113))</f>
        <v/>
      </c>
      <c r="V114" s="1">
        <f>IF(U114="","",U114/R$2/2.5)</f>
        <v/>
      </c>
      <c r="W114" s="1">
        <f>IF(U114="","", 100*_xlfn.STDEV.P(U113:U114)/AVERAGE(U113:U114))</f>
        <v/>
      </c>
      <c r="X114" s="8">
        <f t="array" ref="X114">IF(U114="","", IFERROR(((IF(U$5&lt;&gt;"", U$5*M$5, 0) + SUMPRODUCT(--(U$6:U114&lt;&gt;""), U$6:U114, (M$6:M114-M$5:M113)))/1000), ""))</f>
        <v/>
      </c>
    </row>
    <row r="115">
      <c r="A115" s="1">
        <f>A114+20</f>
        <v/>
      </c>
      <c r="B115" s="1">
        <f>C114</f>
        <v/>
      </c>
      <c r="E115" t="inlineStr">
        <is>
          <t>100mL/2.5s/15s</t>
        </is>
      </c>
      <c r="I115" s="1">
        <f>IF(C115="", "", (B115-C115)*1000/(A115-A114))</f>
        <v/>
      </c>
      <c r="J115" s="1">
        <f>IF(I115="","",I115/F$2/2.5)</f>
        <v/>
      </c>
      <c r="K115" s="1">
        <f>IF(I115="","", 100*_xlfn.STDEV.P(I114:I115)/AVERAGE(I114:I115))</f>
        <v/>
      </c>
      <c r="L115" s="8">
        <f t="array" ref="L115">IF(I115="","", IFERROR(((IF(I$5&lt;&gt;"", I$5*A$5, 0) + SUMPRODUCT(--(I$6:I115&lt;&gt;""), I$6:I115, (A$6:A115-A$5:A114)))/1000), ""))</f>
        <v/>
      </c>
      <c r="M115" s="1">
        <f>M114+20</f>
        <v/>
      </c>
      <c r="N115" s="1">
        <f>O114</f>
        <v/>
      </c>
      <c r="Q115" t="inlineStr">
        <is>
          <t>100mL/2.5s/15s</t>
        </is>
      </c>
      <c r="U115" s="1">
        <f>IF(O115="", "", (N115-O115)*1000/(M115-M114))</f>
        <v/>
      </c>
      <c r="V115" s="1">
        <f>IF(U115="","",U115/R$2/2.5)</f>
        <v/>
      </c>
      <c r="W115" s="1">
        <f>IF(U115="","", 100*_xlfn.STDEV.P(U114:U115)/AVERAGE(U114:U115))</f>
        <v/>
      </c>
      <c r="X115" s="8">
        <f t="array" ref="X115">IF(U115="","", IFERROR(((IF(U$5&lt;&gt;"", U$5*M$5, 0) + SUMPRODUCT(--(U$6:U115&lt;&gt;""), U$6:U115, (M$6:M115-M$5:M114)))/1000), ""))</f>
        <v/>
      </c>
    </row>
    <row r="116"/>
  </sheetData>
  <conditionalFormatting sqref="I5:L115">
    <cfRule type="containsErrors" priority="2" dxfId="0">
      <formula>ISERROR(I5)</formula>
    </cfRule>
  </conditionalFormatting>
  <conditionalFormatting sqref="K6:K115">
    <cfRule type="cellIs" priority="16" operator="between" dxfId="29">
      <formula>0</formula>
      <formula>15</formula>
    </cfRule>
    <cfRule type="cellIs" priority="17" operator="between" dxfId="28">
      <formula>15</formula>
      <formula>25</formula>
    </cfRule>
    <cfRule type="cellIs" priority="18" operator="between" dxfId="27">
      <formula>25</formula>
      <formula>1000</formula>
    </cfRule>
  </conditionalFormatting>
  <conditionalFormatting sqref="L2:L3 X2:X3">
    <cfRule type="containsErrors" priority="9" dxfId="0">
      <formula>ISERROR(L2)</formula>
    </cfRule>
  </conditionalFormatting>
  <conditionalFormatting sqref="U5:X115">
    <cfRule type="containsErrors" priority="1" dxfId="0">
      <formula>ISERROR(U5)</formula>
    </cfRule>
  </conditionalFormatting>
  <conditionalFormatting sqref="W6:W115">
    <cfRule type="cellIs" priority="13" operator="between" dxfId="29">
      <formula>0</formula>
      <formula>15</formula>
    </cfRule>
    <cfRule type="cellIs" priority="14" operator="between" dxfId="28">
      <formula>15</formula>
      <formula>25</formula>
    </cfRule>
    <cfRule type="cellIs" priority="15" operator="between" dxfId="27">
      <formula>25</formula>
      <formula>1000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116"/>
  <sheetViews>
    <sheetView zoomScaleNormal="100" workbookViewId="0">
      <selection activeCell="A1" sqref="A1"/>
    </sheetView>
  </sheetViews>
  <sheetFormatPr baseColWidth="8" defaultRowHeight="15"/>
  <cols>
    <col width="11.710937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4.85546875" bestFit="1" customWidth="1" style="1" min="9" max="9"/>
    <col width="18" customWidth="1" style="1" min="10" max="10"/>
    <col width="12.140625" customWidth="1" style="1" min="11" max="11"/>
    <col width="14.140625" customWidth="1" style="7" min="12" max="12"/>
    <col width="11.710937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14.85546875" bestFit="1" customWidth="1" style="1" min="21" max="21"/>
    <col width="18" customWidth="1" style="1" min="22" max="22"/>
    <col width="12.140625" customWidth="1" style="1" min="23" max="23"/>
    <col width="14.140625" customWidth="1" style="7" min="24" max="24"/>
    <col width="9.140625" customWidth="1" style="1" min="25" max="16384"/>
  </cols>
  <sheetData>
    <row r="1" ht="45" customFormat="1" customHeight="1" s="27">
      <c r="A1" s="3" t="inlineStr">
        <is>
          <t>Long Puff Lifetime Test</t>
        </is>
      </c>
      <c r="C1" s="4" t="inlineStr">
        <is>
          <t>Date:</t>
        </is>
      </c>
      <c r="E1" s="4" t="inlineStr">
        <is>
          <t>Sample ID:</t>
        </is>
      </c>
      <c r="G1" s="4" t="inlineStr">
        <is>
          <t>Heating Technology:</t>
        </is>
      </c>
      <c r="J1" s="4" t="inlineStr">
        <is>
          <t>Did this burn?</t>
        </is>
      </c>
      <c r="L1" s="6" t="inlineStr">
        <is>
          <t>Average TPM and Standard deviation</t>
        </is>
      </c>
      <c r="M1" s="3" t="inlineStr">
        <is>
          <t>Long Puff Lifetime Test</t>
        </is>
      </c>
      <c r="O1" s="4" t="inlineStr">
        <is>
          <t>Date:</t>
        </is>
      </c>
      <c r="Q1" s="4" t="inlineStr">
        <is>
          <t>Sample ID:</t>
        </is>
      </c>
      <c r="S1" s="4" t="inlineStr">
        <is>
          <t>Heating Technology:</t>
        </is>
      </c>
      <c r="V1" s="4" t="inlineStr">
        <is>
          <t>Did this burn?</t>
        </is>
      </c>
      <c r="X1" s="6" t="inlineStr">
        <is>
          <t>Average TPM and Standard deviation</t>
        </is>
      </c>
    </row>
    <row r="2" ht="45"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200mL/10s/60s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200mL/10s/60s</t>
        </is>
      </c>
      <c r="U2" s="4" t="inlineStr">
        <is>
          <t>Usage Efficiency
                  ↓</t>
        </is>
      </c>
      <c r="V2" s="4" t="inlineStr">
        <is>
          <t>Did this clog?</t>
        </is>
      </c>
      <c r="X2" s="20">
        <f>IF(U5="","",AVERAGEIFS(U5:U115,U5:U115,"&lt;&gt;0",U5:U115,"&lt;&gt;"))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row>
    <row r="4" ht="45" customFormat="1" customHeight="1" s="27">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row>
    <row r="5">
      <c r="A5" s="1" t="n">
        <v>2</v>
      </c>
      <c r="B5" s="1" t="n">
        <v>0</v>
      </c>
      <c r="E5" t="inlineStr">
        <is>
          <t>200mL/10s/60s</t>
        </is>
      </c>
      <c r="I5" s="1">
        <f>IF(C5="", "", (B5-C5)*1000/A5)</f>
        <v/>
      </c>
      <c r="J5" s="1">
        <f>IF(I5="","",I5/F$2/10)</f>
        <v/>
      </c>
      <c r="L5" s="8">
        <f>IF(I5="","", IFERROR(((IF(I$5&lt;&gt;"", I$5*A$5, 0))/1000), ""))</f>
        <v/>
      </c>
      <c r="M5" s="1" t="n">
        <v>2</v>
      </c>
      <c r="Q5" t="inlineStr">
        <is>
          <t>200mL/10s/60s</t>
        </is>
      </c>
      <c r="U5" s="1">
        <f>IF(O5="", "", (N5-O5)*1000/M5)</f>
        <v/>
      </c>
      <c r="V5" s="1">
        <f>IF(U5="","",U5/R$2/10)</f>
        <v/>
      </c>
      <c r="X5" s="8">
        <f>IF(U5="","", IFERROR(((IF(U$5&lt;&gt;"", U$5*M$5, 0))/1000), ""))</f>
        <v/>
      </c>
    </row>
    <row r="6">
      <c r="A6" s="1">
        <f>A5+2</f>
        <v/>
      </c>
      <c r="B6" s="1">
        <f>C5</f>
        <v/>
      </c>
      <c r="E6" t="inlineStr">
        <is>
          <t>200mL/10s/60s</t>
        </is>
      </c>
      <c r="I6" s="1">
        <f>IF(C6="", "", (B6-C6)*1000/(A6-A5))</f>
        <v/>
      </c>
      <c r="J6" s="1">
        <f>IF(I6="","",I6/F$2/10)</f>
        <v/>
      </c>
      <c r="K6" s="1">
        <f>IF(I6="","", 100*_xlfn.STDEV.P(I5:I6)/AVERAGE(I5:I6))</f>
        <v/>
      </c>
      <c r="L6" s="8">
        <f t="array" ref="L6">IF(I6="","", IFERROR(((IF(I$5&lt;&gt;"", I$5*A$5, 0) + SUMPRODUCT(--(I$6:I6&lt;&gt;""), I$6:I6, (A$6:A6-A$5:A5)))/1000), ""))</f>
        <v/>
      </c>
      <c r="M6" s="1">
        <f>M5+2</f>
        <v/>
      </c>
      <c r="N6" s="1">
        <f>O5</f>
        <v/>
      </c>
      <c r="Q6" t="inlineStr">
        <is>
          <t>200mL/10s/60s</t>
        </is>
      </c>
      <c r="U6" s="1">
        <f>IF(O6="", "", (N6-O6)*1000/(M6-M5))</f>
        <v/>
      </c>
      <c r="V6" s="1">
        <f>IF(U6="","",U6/R$2/10)</f>
        <v/>
      </c>
      <c r="W6" s="1">
        <f>IF(U6="","", 100*_xlfn.STDEV.P(U5:U6)/AVERAGE(U5:U6))</f>
        <v/>
      </c>
      <c r="X6" s="8">
        <f t="array" ref="X6">IF(U6="","", IFERROR(((IF(U$5&lt;&gt;"", U$5*M$5, 0) + SUMPRODUCT(--(U$6:U6&lt;&gt;""), U$6:U6, (M$6:M6-M$5:M5)))/1000), ""))</f>
        <v/>
      </c>
    </row>
    <row r="7">
      <c r="A7" s="1">
        <f>A6+2</f>
        <v/>
      </c>
      <c r="B7" s="1">
        <f>C6</f>
        <v/>
      </c>
      <c r="E7" t="inlineStr">
        <is>
          <t>200mL/10s/60s</t>
        </is>
      </c>
      <c r="I7" s="1">
        <f>IF(C7="", "", (B7-C7)*1000/(A7-A6))</f>
        <v/>
      </c>
      <c r="J7" s="1">
        <f>IF(I7="","",I7/F$2/10)</f>
        <v/>
      </c>
      <c r="K7" s="1">
        <f>IF(I7="","", 100*_xlfn.STDEV.P(I6:I7)/AVERAGE(I6:I7))</f>
        <v/>
      </c>
      <c r="L7" s="8">
        <f t="array" ref="L7">IF(I7="","", IFERROR(((IF(I$5&lt;&gt;"", I$5*A$5, 0) + SUMPRODUCT(--(I$6:I7&lt;&gt;""), I$6:I7, (A$6:A7-A$5:A6)))/1000), ""))</f>
        <v/>
      </c>
      <c r="M7" s="1">
        <f>M6+2</f>
        <v/>
      </c>
      <c r="N7" s="1">
        <f>O6</f>
        <v/>
      </c>
      <c r="Q7" t="inlineStr">
        <is>
          <t>200mL/10s/60s</t>
        </is>
      </c>
      <c r="U7" s="1">
        <f>IF(O7="", "", (N7-O7)*1000/(M7-M6))</f>
        <v/>
      </c>
      <c r="V7" s="1">
        <f>IF(U7="","",U7/R$2/10)</f>
        <v/>
      </c>
      <c r="W7" s="1">
        <f>IF(U7="","", 100*_xlfn.STDEV.P(U6:U7)/AVERAGE(U6:U7))</f>
        <v/>
      </c>
      <c r="X7" s="8">
        <f t="array" ref="X7">IF(U7="","", IFERROR(((IF(U$5&lt;&gt;"", U$5*M$5, 0) + SUMPRODUCT(--(U$6:U7&lt;&gt;""), U$6:U7, (M$6:M7-M$5:M6)))/1000), ""))</f>
        <v/>
      </c>
    </row>
    <row r="8">
      <c r="A8" s="1">
        <f>A7+2</f>
        <v/>
      </c>
      <c r="B8" s="1">
        <f>C7</f>
        <v/>
      </c>
      <c r="E8" t="inlineStr">
        <is>
          <t>200mL/10s/60s</t>
        </is>
      </c>
      <c r="I8" s="1">
        <f>IF(C8="", "", (B8-C8)*1000/(A8-A7))</f>
        <v/>
      </c>
      <c r="J8" s="1">
        <f>IF(I8="","",I8/F$2/10)</f>
        <v/>
      </c>
      <c r="K8" s="1">
        <f>IF(I8="","", 100*_xlfn.STDEV.P(I7:I8)/AVERAGE(I7:I8))</f>
        <v/>
      </c>
      <c r="L8" s="8">
        <f t="array" ref="L8">IF(I8="","", IFERROR(((IF(I$5&lt;&gt;"", I$5*A$5, 0) + SUMPRODUCT(--(I$6:I8&lt;&gt;""), I$6:I8, (A$6:A8-A$5:A7)))/1000), ""))</f>
        <v/>
      </c>
      <c r="M8" s="1">
        <f>M7+2</f>
        <v/>
      </c>
      <c r="N8" s="1">
        <f>O7</f>
        <v/>
      </c>
      <c r="Q8" t="inlineStr">
        <is>
          <t>200mL/10s/60s</t>
        </is>
      </c>
      <c r="U8" s="1">
        <f>IF(O8="", "", (N8-O8)*1000/(M8-M7))</f>
        <v/>
      </c>
      <c r="V8" s="1">
        <f>IF(U8="","",U8/R$2/10)</f>
        <v/>
      </c>
      <c r="W8" s="1">
        <f>IF(U8="","", 100*_xlfn.STDEV.P(U7:U8)/AVERAGE(U7:U8))</f>
        <v/>
      </c>
      <c r="X8" s="8">
        <f t="array" ref="X8">IF(U8="","", IFERROR(((IF(U$5&lt;&gt;"", U$5*M$5, 0) + SUMPRODUCT(--(U$6:U8&lt;&gt;""), U$6:U8, (M$6:M8-M$5:M7)))/1000), ""))</f>
        <v/>
      </c>
    </row>
    <row r="9">
      <c r="A9" s="1">
        <f>A8+2</f>
        <v/>
      </c>
      <c r="B9" s="1">
        <f>C8</f>
        <v/>
      </c>
      <c r="E9" t="inlineStr">
        <is>
          <t>200mL/10s/60s</t>
        </is>
      </c>
      <c r="I9" s="1">
        <f>IF(C9="", "", (B9-C9)*1000/(A9-A8))</f>
        <v/>
      </c>
      <c r="J9" s="1">
        <f>IF(I9="","",I9/F$2/10)</f>
        <v/>
      </c>
      <c r="K9" s="1">
        <f>IF(I9="","", 100*_xlfn.STDEV.P(I8:I9)/AVERAGE(I8:I9))</f>
        <v/>
      </c>
      <c r="L9" s="8">
        <f t="array" ref="L9">IF(I9="","", IFERROR(((IF(I$5&lt;&gt;"", I$5*A$5, 0) + SUMPRODUCT(--(I$6:I9&lt;&gt;""), I$6:I9, (A$6:A9-A$5:A8)))/1000), ""))</f>
        <v/>
      </c>
      <c r="M9" s="1">
        <f>M8+2</f>
        <v/>
      </c>
      <c r="N9" s="1">
        <f>O8</f>
        <v/>
      </c>
      <c r="Q9" t="inlineStr">
        <is>
          <t>200mL/10s/60s</t>
        </is>
      </c>
      <c r="U9" s="1">
        <f>IF(O9="", "", (N9-O9)*1000/(M9-M8))</f>
        <v/>
      </c>
      <c r="V9" s="1">
        <f>IF(U9="","",U9/R$2/10)</f>
        <v/>
      </c>
      <c r="W9" s="1">
        <f>IF(U9="","", 100*_xlfn.STDEV.P(U8:U9)/AVERAGE(U8:U9))</f>
        <v/>
      </c>
      <c r="X9" s="8">
        <f t="array" ref="X9">IF(U9="","", IFERROR(((IF(U$5&lt;&gt;"", U$5*M$5, 0) + SUMPRODUCT(--(U$6:U9&lt;&gt;""), U$6:U9, (M$6:M9-M$5:M8)))/1000), ""))</f>
        <v/>
      </c>
    </row>
    <row r="10">
      <c r="A10" s="1">
        <f>A9+2</f>
        <v/>
      </c>
      <c r="B10" s="1">
        <f>C9</f>
        <v/>
      </c>
      <c r="E10" t="inlineStr">
        <is>
          <t>200mL/10s/60s</t>
        </is>
      </c>
      <c r="I10" s="1">
        <f>IF(C10="", "", (B10-C10)*1000/(A10-A9))</f>
        <v/>
      </c>
      <c r="J10" s="1">
        <f>IF(I10="","",I10/F$2/10)</f>
        <v/>
      </c>
      <c r="K10" s="1">
        <f>IF(I10="","", 100*_xlfn.STDEV.P(I9:I10)/AVERAGE(I9:I10))</f>
        <v/>
      </c>
      <c r="L10" s="8">
        <f t="array" ref="L10">IF(I10="","", IFERROR(((IF(I$5&lt;&gt;"", I$5*A$5, 0) + SUMPRODUCT(--(I$6:I10&lt;&gt;""), I$6:I10, (A$6:A10-A$5:A9)))/1000), ""))</f>
        <v/>
      </c>
      <c r="M10" s="1">
        <f>M9+2</f>
        <v/>
      </c>
      <c r="N10" s="1">
        <f>O9</f>
        <v/>
      </c>
      <c r="Q10" t="inlineStr">
        <is>
          <t>200mL/10s/60s</t>
        </is>
      </c>
      <c r="U10" s="1">
        <f>IF(O10="", "", (N10-O10)*1000/(M10-M9))</f>
        <v/>
      </c>
      <c r="V10" s="1">
        <f>IF(U10="","",U10/R$2/10)</f>
        <v/>
      </c>
      <c r="W10" s="1">
        <f>IF(U10="","", 100*_xlfn.STDEV.P(U9:U10)/AVERAGE(U9:U10))</f>
        <v/>
      </c>
      <c r="X10" s="8">
        <f t="array" ref="X10">IF(U10="","", IFERROR(((IF(U$5&lt;&gt;"", U$5*M$5, 0) + SUMPRODUCT(--(U$6:U10&lt;&gt;""), U$6:U10, (M$6:M10-M$5:M9)))/1000), ""))</f>
        <v/>
      </c>
    </row>
    <row r="11">
      <c r="A11" s="1">
        <f>A10+2</f>
        <v/>
      </c>
      <c r="B11" s="1">
        <f>C10</f>
        <v/>
      </c>
      <c r="E11" t="inlineStr">
        <is>
          <t>200mL/10s/60s</t>
        </is>
      </c>
      <c r="I11" s="1">
        <f>IF(C11="", "", (B11-C11)*1000/(A11-A10))</f>
        <v/>
      </c>
      <c r="J11" s="1">
        <f>IF(I11="","",I11/F$2/10)</f>
        <v/>
      </c>
      <c r="K11" s="1">
        <f>IF(I11="","", 100*_xlfn.STDEV.P(I10:I11)/AVERAGE(I10:I11))</f>
        <v/>
      </c>
      <c r="L11" s="8">
        <f t="array" ref="L11">IF(I11="","", IFERROR(((IF(I$5&lt;&gt;"", I$5*A$5, 0) + SUMPRODUCT(--(I$6:I11&lt;&gt;""), I$6:I11, (A$6:A11-A$5:A10)))/1000), ""))</f>
        <v/>
      </c>
      <c r="M11" s="1">
        <f>M10+2</f>
        <v/>
      </c>
      <c r="N11" s="1">
        <f>O10</f>
        <v/>
      </c>
      <c r="Q11" t="inlineStr">
        <is>
          <t>200mL/10s/60s</t>
        </is>
      </c>
      <c r="U11" s="1">
        <f>IF(O11="", "", (N11-O11)*1000/(M11-M10))</f>
        <v/>
      </c>
      <c r="V11" s="1">
        <f>IF(U11="","",U11/R$2/10)</f>
        <v/>
      </c>
      <c r="W11" s="1">
        <f>IF(U11="","", 100*_xlfn.STDEV.P(U10:U11)/AVERAGE(U10:U11))</f>
        <v/>
      </c>
      <c r="X11" s="8">
        <f t="array" ref="X11">IF(U11="","", IFERROR(((IF(U$5&lt;&gt;"", U$5*M$5, 0) + SUMPRODUCT(--(U$6:U11&lt;&gt;""), U$6:U11, (M$6:M11-M$5:M10)))/1000), ""))</f>
        <v/>
      </c>
    </row>
    <row r="12">
      <c r="A12" s="1">
        <f>A11+2</f>
        <v/>
      </c>
      <c r="B12" s="1">
        <f>C11</f>
        <v/>
      </c>
      <c r="E12" t="inlineStr">
        <is>
          <t>200mL/10s/60s</t>
        </is>
      </c>
      <c r="I12" s="1">
        <f>IF(C12="", "", (B12-C12)*1000/(A12-A11))</f>
        <v/>
      </c>
      <c r="J12" s="1">
        <f>IF(I12="","",I12/F$2/10)</f>
        <v/>
      </c>
      <c r="K12" s="1">
        <f>IF(I12="","", 100*_xlfn.STDEV.P(I11:I12)/AVERAGE(I11:I12))</f>
        <v/>
      </c>
      <c r="L12" s="8">
        <f t="array" ref="L12">IF(I12="","", IFERROR(((IF(I$5&lt;&gt;"", I$5*A$5, 0) + SUMPRODUCT(--(I$6:I12&lt;&gt;""), I$6:I12, (A$6:A12-A$5:A11)))/1000), ""))</f>
        <v/>
      </c>
      <c r="M12" s="1">
        <f>M11+2</f>
        <v/>
      </c>
      <c r="N12" s="1">
        <f>O11</f>
        <v/>
      </c>
      <c r="Q12" t="inlineStr">
        <is>
          <t>200mL/10s/60s</t>
        </is>
      </c>
      <c r="U12" s="1">
        <f>IF(O12="", "", (N12-O12)*1000/(M12-M11))</f>
        <v/>
      </c>
      <c r="V12" s="1">
        <f>IF(U12="","",U12/R$2/10)</f>
        <v/>
      </c>
      <c r="W12" s="1">
        <f>IF(U12="","", 100*_xlfn.STDEV.P(U11:U12)/AVERAGE(U11:U12))</f>
        <v/>
      </c>
      <c r="X12" s="8">
        <f t="array" ref="X12">IF(U12="","", IFERROR(((IF(U$5&lt;&gt;"", U$5*M$5, 0) + SUMPRODUCT(--(U$6:U12&lt;&gt;""), U$6:U12, (M$6:M12-M$5:M11)))/1000), ""))</f>
        <v/>
      </c>
    </row>
    <row r="13">
      <c r="A13" s="1">
        <f>A12+2</f>
        <v/>
      </c>
      <c r="B13" s="1">
        <f>C12</f>
        <v/>
      </c>
      <c r="E13" t="inlineStr">
        <is>
          <t>200mL/10s/60s</t>
        </is>
      </c>
      <c r="I13" s="1">
        <f>IF(C13="", "", (B13-C13)*1000/(A13-A12))</f>
        <v/>
      </c>
      <c r="J13" s="1">
        <f>IF(I13="","",I13/F$2/10)</f>
        <v/>
      </c>
      <c r="K13" s="1">
        <f>IF(I13="","", 100*_xlfn.STDEV.P(I12:I13)/AVERAGE(I12:I13))</f>
        <v/>
      </c>
      <c r="L13" s="8">
        <f t="array" ref="L13">IF(I13="","", IFERROR(((IF(I$5&lt;&gt;"", I$5*A$5, 0) + SUMPRODUCT(--(I$6:I13&lt;&gt;""), I$6:I13, (A$6:A13-A$5:A12)))/1000), ""))</f>
        <v/>
      </c>
      <c r="M13" s="1">
        <f>M12+2</f>
        <v/>
      </c>
      <c r="N13" s="1">
        <f>O12</f>
        <v/>
      </c>
      <c r="Q13" t="inlineStr">
        <is>
          <t>200mL/10s/60s</t>
        </is>
      </c>
      <c r="U13" s="1">
        <f>IF(O13="", "", (N13-O13)*1000/(M13-M12))</f>
        <v/>
      </c>
      <c r="V13" s="1">
        <f>IF(U13="","",U13/R$2/10)</f>
        <v/>
      </c>
      <c r="W13" s="1">
        <f>IF(U13="","", 100*_xlfn.STDEV.P(U12:U13)/AVERAGE(U12:U13))</f>
        <v/>
      </c>
      <c r="X13" s="8">
        <f t="array" ref="X13">IF(U13="","", IFERROR(((IF(U$5&lt;&gt;"", U$5*M$5, 0) + SUMPRODUCT(--(U$6:U13&lt;&gt;""), U$6:U13, (M$6:M13-M$5:M12)))/1000), ""))</f>
        <v/>
      </c>
    </row>
    <row r="14">
      <c r="A14" s="1">
        <f>A13+2</f>
        <v/>
      </c>
      <c r="B14" s="1">
        <f>C13</f>
        <v/>
      </c>
      <c r="E14" t="inlineStr">
        <is>
          <t>200mL/10s/60s</t>
        </is>
      </c>
      <c r="I14" s="1">
        <f>IF(C14="", "", (B14-C14)*1000/(A14-A13))</f>
        <v/>
      </c>
      <c r="J14" s="1">
        <f>IF(I14="","",I14/F$2/10)</f>
        <v/>
      </c>
      <c r="K14" s="1">
        <f>IF(I14="","", 100*_xlfn.STDEV.P(I13:I14)/AVERAGE(I13:I14))</f>
        <v/>
      </c>
      <c r="L14" s="8">
        <f t="array" ref="L14">IF(I14="","", IFERROR(((IF(I$5&lt;&gt;"", I$5*A$5, 0) + SUMPRODUCT(--(I$6:I14&lt;&gt;""), I$6:I14, (A$6:A14-A$5:A13)))/1000), ""))</f>
        <v/>
      </c>
      <c r="M14" s="1">
        <f>M13+2</f>
        <v/>
      </c>
      <c r="N14" s="1">
        <f>O13</f>
        <v/>
      </c>
      <c r="Q14" t="inlineStr">
        <is>
          <t>200mL/10s/60s</t>
        </is>
      </c>
      <c r="U14" s="1">
        <f>IF(O14="", "", (N14-O14)*1000/(M14-M13))</f>
        <v/>
      </c>
      <c r="V14" s="1">
        <f>IF(U14="","",U14/R$2/10)</f>
        <v/>
      </c>
      <c r="W14" s="1">
        <f>IF(U14="","", 100*_xlfn.STDEV.P(U13:U14)/AVERAGE(U13:U14))</f>
        <v/>
      </c>
      <c r="X14" s="8">
        <f t="array" ref="X14">IF(U14="","", IFERROR(((IF(U$5&lt;&gt;"", U$5*M$5, 0) + SUMPRODUCT(--(U$6:U14&lt;&gt;""), U$6:U14, (M$6:M14-M$5:M13)))/1000), ""))</f>
        <v/>
      </c>
    </row>
    <row r="15">
      <c r="A15" s="1">
        <f>A14+2</f>
        <v/>
      </c>
      <c r="B15" s="1">
        <f>C14</f>
        <v/>
      </c>
      <c r="E15" t="inlineStr">
        <is>
          <t>200mL/10s/60s</t>
        </is>
      </c>
      <c r="I15" s="1">
        <f>IF(C15="", "", (B15-C15)*1000/(A15-A14))</f>
        <v/>
      </c>
      <c r="J15" s="1">
        <f>IF(I15="","",I15/F$2/10)</f>
        <v/>
      </c>
      <c r="K15" s="1">
        <f>IF(I15="","", 100*_xlfn.STDEV.P(I14:I15)/AVERAGE(I14:I15))</f>
        <v/>
      </c>
      <c r="L15" s="8">
        <f t="array" ref="L15">IF(I15="","", IFERROR(((IF(I$5&lt;&gt;"", I$5*A$5, 0) + SUMPRODUCT(--(I$6:I15&lt;&gt;""), I$6:I15, (A$6:A15-A$5:A14)))/1000), ""))</f>
        <v/>
      </c>
      <c r="M15" s="1">
        <f>M14+2</f>
        <v/>
      </c>
      <c r="N15" s="1">
        <f>O14</f>
        <v/>
      </c>
      <c r="Q15" t="inlineStr">
        <is>
          <t>200mL/10s/60s</t>
        </is>
      </c>
      <c r="U15" s="1">
        <f>IF(O15="", "", (N15-O15)*1000/(M15-M14))</f>
        <v/>
      </c>
      <c r="V15" s="1">
        <f>IF(U15="","",U15/R$2/10)</f>
        <v/>
      </c>
      <c r="W15" s="1">
        <f>IF(U15="","", 100*_xlfn.STDEV.P(U14:U15)/AVERAGE(U14:U15))</f>
        <v/>
      </c>
      <c r="X15" s="8">
        <f t="array" ref="X15">IF(U15="","", IFERROR(((IF(U$5&lt;&gt;"", U$5*M$5, 0) + SUMPRODUCT(--(U$6:U15&lt;&gt;""), U$6:U15, (M$6:M15-M$5:M14)))/1000), ""))</f>
        <v/>
      </c>
    </row>
    <row r="16">
      <c r="A16" s="1">
        <f>A15+2</f>
        <v/>
      </c>
      <c r="B16" s="1">
        <f>C15</f>
        <v/>
      </c>
      <c r="E16" t="inlineStr">
        <is>
          <t>200mL/10s/60s</t>
        </is>
      </c>
      <c r="I16" s="1">
        <f>IF(C16="", "", (B16-C16)*1000/(A16-A15))</f>
        <v/>
      </c>
      <c r="J16" s="1">
        <f>IF(I16="","",I16/F$2/10)</f>
        <v/>
      </c>
      <c r="K16" s="1">
        <f>IF(I16="","", 100*_xlfn.STDEV.P(I15:I16)/AVERAGE(I15:I16))</f>
        <v/>
      </c>
      <c r="L16" s="8">
        <f t="array" ref="L16">IF(I16="","", IFERROR(((IF(I$5&lt;&gt;"", I$5*A$5, 0) + SUMPRODUCT(--(I$6:I16&lt;&gt;""), I$6:I16, (A$6:A16-A$5:A15)))/1000), ""))</f>
        <v/>
      </c>
      <c r="M16" s="1">
        <f>M15+2</f>
        <v/>
      </c>
      <c r="N16" s="1">
        <f>O15</f>
        <v/>
      </c>
      <c r="Q16" t="inlineStr">
        <is>
          <t>200mL/10s/60s</t>
        </is>
      </c>
      <c r="U16" s="1">
        <f>IF(O16="", "", (N16-O16)*1000/(M16-M15))</f>
        <v/>
      </c>
      <c r="V16" s="1">
        <f>IF(U16="","",U16/R$2/10)</f>
        <v/>
      </c>
      <c r="W16" s="1">
        <f>IF(U16="","", 100*_xlfn.STDEV.P(U15:U16)/AVERAGE(U15:U16))</f>
        <v/>
      </c>
      <c r="X16" s="8">
        <f t="array" ref="X16">IF(U16="","", IFERROR(((IF(U$5&lt;&gt;"", U$5*M$5, 0) + SUMPRODUCT(--(U$6:U16&lt;&gt;""), U$6:U16, (M$6:M16-M$5:M15)))/1000), ""))</f>
        <v/>
      </c>
    </row>
    <row r="17">
      <c r="A17" s="1">
        <f>A16+2</f>
        <v/>
      </c>
      <c r="B17" s="1">
        <f>C16</f>
        <v/>
      </c>
      <c r="E17" t="inlineStr">
        <is>
          <t>200mL/10s/60s</t>
        </is>
      </c>
      <c r="I17" s="1">
        <f>IF(C17="", "", (B17-C17)*1000/(A17-A16))</f>
        <v/>
      </c>
      <c r="J17" s="1">
        <f>IF(I17="","",I17/F$2/10)</f>
        <v/>
      </c>
      <c r="K17" s="1">
        <f>IF(I17="","", 100*_xlfn.STDEV.P(I16:I17)/AVERAGE(I16:I17))</f>
        <v/>
      </c>
      <c r="L17" s="8">
        <f t="array" ref="L17">IF(I17="","", IFERROR(((IF(I$5&lt;&gt;"", I$5*A$5, 0) + SUMPRODUCT(--(I$6:I17&lt;&gt;""), I$6:I17, (A$6:A17-A$5:A16)))/1000), ""))</f>
        <v/>
      </c>
      <c r="M17" s="1">
        <f>M16+2</f>
        <v/>
      </c>
      <c r="N17" s="1">
        <f>O16</f>
        <v/>
      </c>
      <c r="Q17" t="inlineStr">
        <is>
          <t>200mL/10s/60s</t>
        </is>
      </c>
      <c r="U17" s="1">
        <f>IF(O17="", "", (N17-O17)*1000/(M17-M16))</f>
        <v/>
      </c>
      <c r="V17" s="1">
        <f>IF(U17="","",U17/R$2/10)</f>
        <v/>
      </c>
      <c r="W17" s="1">
        <f>IF(U17="","", 100*_xlfn.STDEV.P(U16:U17)/AVERAGE(U16:U17))</f>
        <v/>
      </c>
      <c r="X17" s="8">
        <f t="array" ref="X17">IF(U17="","", IFERROR(((IF(U$5&lt;&gt;"", U$5*M$5, 0) + SUMPRODUCT(--(U$6:U17&lt;&gt;""), U$6:U17, (M$6:M17-M$5:M16)))/1000), ""))</f>
        <v/>
      </c>
    </row>
    <row r="18">
      <c r="A18" s="1">
        <f>A17+2</f>
        <v/>
      </c>
      <c r="B18" s="1">
        <f>C17</f>
        <v/>
      </c>
      <c r="E18" t="inlineStr">
        <is>
          <t>200mL/10s/60s</t>
        </is>
      </c>
      <c r="I18" s="1">
        <f>IF(C18="", "", (B18-C18)*1000/(A18-A17))</f>
        <v/>
      </c>
      <c r="J18" s="1">
        <f>IF(I18="","",I18/F$2/10)</f>
        <v/>
      </c>
      <c r="K18" s="1">
        <f>IF(I18="","", 100*_xlfn.STDEV.P(I17:I18)/AVERAGE(I17:I18))</f>
        <v/>
      </c>
      <c r="L18" s="8">
        <f t="array" ref="L18">IF(I18="","", IFERROR(((IF(I$5&lt;&gt;"", I$5*A$5, 0) + SUMPRODUCT(--(I$6:I18&lt;&gt;""), I$6:I18, (A$6:A18-A$5:A17)))/1000), ""))</f>
        <v/>
      </c>
      <c r="M18" s="1">
        <f>M17+2</f>
        <v/>
      </c>
      <c r="N18" s="1">
        <f>O17</f>
        <v/>
      </c>
      <c r="Q18" t="inlineStr">
        <is>
          <t>200mL/10s/60s</t>
        </is>
      </c>
      <c r="U18" s="1">
        <f>IF(O18="", "", (N18-O18)*1000/(M18-M17))</f>
        <v/>
      </c>
      <c r="V18" s="1">
        <f>IF(U18="","",U18/R$2/10)</f>
        <v/>
      </c>
      <c r="W18" s="1">
        <f>IF(U18="","", 100*_xlfn.STDEV.P(U17:U18)/AVERAGE(U17:U18))</f>
        <v/>
      </c>
      <c r="X18" s="8">
        <f t="array" ref="X18">IF(U18="","", IFERROR(((IF(U$5&lt;&gt;"", U$5*M$5, 0) + SUMPRODUCT(--(U$6:U18&lt;&gt;""), U$6:U18, (M$6:M18-M$5:M17)))/1000), ""))</f>
        <v/>
      </c>
    </row>
    <row r="19">
      <c r="A19" s="1">
        <f>A18+2</f>
        <v/>
      </c>
      <c r="B19" s="1">
        <f>C18</f>
        <v/>
      </c>
      <c r="E19" t="inlineStr">
        <is>
          <t>200mL/10s/60s</t>
        </is>
      </c>
      <c r="I19" s="1">
        <f>IF(C19="", "", (B19-C19)*1000/(A19-A18))</f>
        <v/>
      </c>
      <c r="J19" s="1">
        <f>IF(I19="","",I19/F$2/10)</f>
        <v/>
      </c>
      <c r="K19" s="1">
        <f>IF(I19="","", 100*_xlfn.STDEV.P(I18:I19)/AVERAGE(I18:I19))</f>
        <v/>
      </c>
      <c r="L19" s="8">
        <f t="array" ref="L19">IF(I19="","", IFERROR(((IF(I$5&lt;&gt;"", I$5*A$5, 0) + SUMPRODUCT(--(I$6:I19&lt;&gt;""), I$6:I19, (A$6:A19-A$5:A18)))/1000), ""))</f>
        <v/>
      </c>
      <c r="M19" s="1">
        <f>M18+2</f>
        <v/>
      </c>
      <c r="N19" s="1">
        <f>O18</f>
        <v/>
      </c>
      <c r="Q19" t="inlineStr">
        <is>
          <t>200mL/10s/60s</t>
        </is>
      </c>
      <c r="U19" s="1">
        <f>IF(O19="", "", (N19-O19)*1000/(M19-M18))</f>
        <v/>
      </c>
      <c r="V19" s="1">
        <f>IF(U19="","",U19/R$2/10)</f>
        <v/>
      </c>
      <c r="W19" s="1">
        <f>IF(U19="","", 100*_xlfn.STDEV.P(U18:U19)/AVERAGE(U18:U19))</f>
        <v/>
      </c>
      <c r="X19" s="8">
        <f t="array" ref="X19">IF(U19="","", IFERROR(((IF(U$5&lt;&gt;"", U$5*M$5, 0) + SUMPRODUCT(--(U$6:U19&lt;&gt;""), U$6:U19, (M$6:M19-M$5:M18)))/1000), ""))</f>
        <v/>
      </c>
    </row>
    <row r="20">
      <c r="A20" s="1">
        <f>A19+2</f>
        <v/>
      </c>
      <c r="B20" s="1">
        <f>C19</f>
        <v/>
      </c>
      <c r="E20" t="inlineStr">
        <is>
          <t>200mL/10s/60s</t>
        </is>
      </c>
      <c r="I20" s="1">
        <f>IF(C20="", "", (B20-C20)*1000/(A20-A19))</f>
        <v/>
      </c>
      <c r="J20" s="1">
        <f>IF(I20="","",I20/F$2/10)</f>
        <v/>
      </c>
      <c r="K20" s="1">
        <f>IF(I20="","", 100*_xlfn.STDEV.P(I19:I20)/AVERAGE(I19:I20))</f>
        <v/>
      </c>
      <c r="L20" s="8">
        <f t="array" ref="L20">IF(I20="","", IFERROR(((IF(I$5&lt;&gt;"", I$5*A$5, 0) + SUMPRODUCT(--(I$6:I20&lt;&gt;""), I$6:I20, (A$6:A20-A$5:A19)))/1000), ""))</f>
        <v/>
      </c>
      <c r="M20" s="1">
        <f>M19+2</f>
        <v/>
      </c>
      <c r="N20" s="1">
        <f>O19</f>
        <v/>
      </c>
      <c r="Q20" t="inlineStr">
        <is>
          <t>200mL/10s/60s</t>
        </is>
      </c>
      <c r="U20" s="1">
        <f>IF(O20="", "", (N20-O20)*1000/(M20-M19))</f>
        <v/>
      </c>
      <c r="V20" s="1">
        <f>IF(U20="","",U20/R$2/10)</f>
        <v/>
      </c>
      <c r="W20" s="1">
        <f>IF(U20="","", 100*_xlfn.STDEV.P(U19:U20)/AVERAGE(U19:U20))</f>
        <v/>
      </c>
      <c r="X20" s="8">
        <f t="array" ref="X20">IF(U20="","", IFERROR(((IF(U$5&lt;&gt;"", U$5*M$5, 0) + SUMPRODUCT(--(U$6:U20&lt;&gt;""), U$6:U20, (M$6:M20-M$5:M19)))/1000), ""))</f>
        <v/>
      </c>
    </row>
    <row r="21">
      <c r="A21" s="1">
        <f>A20+2</f>
        <v/>
      </c>
      <c r="B21" s="1">
        <f>C20</f>
        <v/>
      </c>
      <c r="E21" t="inlineStr">
        <is>
          <t>200mL/10s/60s</t>
        </is>
      </c>
      <c r="I21" s="1">
        <f>IF(C21="", "", (B21-C21)*1000/(A21-A20))</f>
        <v/>
      </c>
      <c r="J21" s="1">
        <f>IF(I21="","",I21/F$2/10)</f>
        <v/>
      </c>
      <c r="K21" s="1">
        <f>IF(I21="","", 100*_xlfn.STDEV.P(I20:I21)/AVERAGE(I20:I21))</f>
        <v/>
      </c>
      <c r="L21" s="8">
        <f t="array" ref="L21">IF(I21="","", IFERROR(((IF(I$5&lt;&gt;"", I$5*A$5, 0) + SUMPRODUCT(--(I$6:I21&lt;&gt;""), I$6:I21, (A$6:A21-A$5:A20)))/1000), ""))</f>
        <v/>
      </c>
      <c r="M21" s="1">
        <f>M20+2</f>
        <v/>
      </c>
      <c r="N21" s="1">
        <f>O20</f>
        <v/>
      </c>
      <c r="Q21" t="inlineStr">
        <is>
          <t>200mL/10s/60s</t>
        </is>
      </c>
      <c r="U21" s="1">
        <f>IF(O21="", "", (N21-O21)*1000/(M21-M20))</f>
        <v/>
      </c>
      <c r="V21" s="1">
        <f>IF(U21="","",U21/R$2/10)</f>
        <v/>
      </c>
      <c r="W21" s="1">
        <f>IF(U21="","", 100*_xlfn.STDEV.P(U20:U21)/AVERAGE(U20:U21))</f>
        <v/>
      </c>
      <c r="X21" s="8">
        <f t="array" ref="X21">IF(U21="","", IFERROR(((IF(U$5&lt;&gt;"", U$5*M$5, 0) + SUMPRODUCT(--(U$6:U21&lt;&gt;""), U$6:U21, (M$6:M21-M$5:M20)))/1000), ""))</f>
        <v/>
      </c>
    </row>
    <row r="22">
      <c r="A22" s="1">
        <f>A21+2</f>
        <v/>
      </c>
      <c r="B22" s="1">
        <f>C21</f>
        <v/>
      </c>
      <c r="E22" t="inlineStr">
        <is>
          <t>200mL/10s/60s</t>
        </is>
      </c>
      <c r="I22" s="1">
        <f>IF(C22="", "", (B22-C22)*1000/(A22-A21))</f>
        <v/>
      </c>
      <c r="J22" s="1">
        <f>IF(I22="","",I22/F$2/10)</f>
        <v/>
      </c>
      <c r="K22" s="1">
        <f>IF(I22="","", 100*_xlfn.STDEV.P(I21:I22)/AVERAGE(I21:I22))</f>
        <v/>
      </c>
      <c r="L22" s="8">
        <f t="array" ref="L22">IF(I22="","", IFERROR(((IF(I$5&lt;&gt;"", I$5*A$5, 0) + SUMPRODUCT(--(I$6:I22&lt;&gt;""), I$6:I22, (A$6:A22-A$5:A21)))/1000), ""))</f>
        <v/>
      </c>
      <c r="M22" s="1">
        <f>M21+2</f>
        <v/>
      </c>
      <c r="N22" s="1">
        <f>O21</f>
        <v/>
      </c>
      <c r="Q22" t="inlineStr">
        <is>
          <t>200mL/10s/60s</t>
        </is>
      </c>
      <c r="U22" s="1">
        <f>IF(O22="", "", (N22-O22)*1000/(M22-M21))</f>
        <v/>
      </c>
      <c r="V22" s="1">
        <f>IF(U22="","",U22/R$2/10)</f>
        <v/>
      </c>
      <c r="W22" s="1">
        <f>IF(U22="","", 100*_xlfn.STDEV.P(U21:U22)/AVERAGE(U21:U22))</f>
        <v/>
      </c>
      <c r="X22" s="8">
        <f t="array" ref="X22">IF(U22="","", IFERROR(((IF(U$5&lt;&gt;"", U$5*M$5, 0) + SUMPRODUCT(--(U$6:U22&lt;&gt;""), U$6:U22, (M$6:M22-M$5:M21)))/1000), ""))</f>
        <v/>
      </c>
    </row>
    <row r="23">
      <c r="A23" s="1">
        <f>A22+2</f>
        <v/>
      </c>
      <c r="B23" s="1">
        <f>C22</f>
        <v/>
      </c>
      <c r="E23" t="inlineStr">
        <is>
          <t>200mL/10s/60s</t>
        </is>
      </c>
      <c r="I23" s="1">
        <f>IF(C23="", "", (B23-C23)*1000/(A23-A22))</f>
        <v/>
      </c>
      <c r="J23" s="1">
        <f>IF(I23="","",I23/F$2/10)</f>
        <v/>
      </c>
      <c r="K23" s="1">
        <f>IF(I23="","", 100*_xlfn.STDEV.P(I22:I23)/AVERAGE(I22:I23))</f>
        <v/>
      </c>
      <c r="L23" s="8">
        <f t="array" ref="L23">IF(I23="","", IFERROR(((IF(I$5&lt;&gt;"", I$5*A$5, 0) + SUMPRODUCT(--(I$6:I23&lt;&gt;""), I$6:I23, (A$6:A23-A$5:A22)))/1000), ""))</f>
        <v/>
      </c>
      <c r="M23" s="1">
        <f>M22+2</f>
        <v/>
      </c>
      <c r="N23" s="1">
        <f>O22</f>
        <v/>
      </c>
      <c r="Q23" t="inlineStr">
        <is>
          <t>200mL/10s/60s</t>
        </is>
      </c>
      <c r="U23" s="1">
        <f>IF(O23="", "", (N23-O23)*1000/(M23-M22))</f>
        <v/>
      </c>
      <c r="V23" s="1">
        <f>IF(U23="","",U23/R$2/10)</f>
        <v/>
      </c>
      <c r="W23" s="1">
        <f>IF(U23="","", 100*_xlfn.STDEV.P(U22:U23)/AVERAGE(U22:U23))</f>
        <v/>
      </c>
      <c r="X23" s="8">
        <f t="array" ref="X23">IF(U23="","", IFERROR(((IF(U$5&lt;&gt;"", U$5*M$5, 0) + SUMPRODUCT(--(U$6:U23&lt;&gt;""), U$6:U23, (M$6:M23-M$5:M22)))/1000), ""))</f>
        <v/>
      </c>
    </row>
    <row r="24">
      <c r="A24" s="1">
        <f>A23+2</f>
        <v/>
      </c>
      <c r="B24" s="1">
        <f>C23</f>
        <v/>
      </c>
      <c r="E24" t="inlineStr">
        <is>
          <t>200mL/10s/60s</t>
        </is>
      </c>
      <c r="I24" s="1">
        <f>IF(C24="", "", (B24-C24)*1000/(A24-A23))</f>
        <v/>
      </c>
      <c r="J24" s="1">
        <f>IF(I24="","",I24/F$2/10)</f>
        <v/>
      </c>
      <c r="K24" s="1">
        <f>IF(I24="","", 100*_xlfn.STDEV.P(I23:I24)/AVERAGE(I23:I24))</f>
        <v/>
      </c>
      <c r="L24" s="8">
        <f t="array" ref="L24">IF(I24="","", IFERROR(((IF(I$5&lt;&gt;"", I$5*A$5, 0) + SUMPRODUCT(--(I$6:I24&lt;&gt;""), I$6:I24, (A$6:A24-A$5:A23)))/1000), ""))</f>
        <v/>
      </c>
      <c r="M24" s="1">
        <f>M23+2</f>
        <v/>
      </c>
      <c r="N24" s="1">
        <f>O23</f>
        <v/>
      </c>
      <c r="Q24" t="inlineStr">
        <is>
          <t>200mL/10s/60s</t>
        </is>
      </c>
      <c r="U24" s="1">
        <f>IF(O24="", "", (N24-O24)*1000/(M24-M23))</f>
        <v/>
      </c>
      <c r="V24" s="1">
        <f>IF(U24="","",U24/R$2/10)</f>
        <v/>
      </c>
      <c r="W24" s="1">
        <f>IF(U24="","", 100*_xlfn.STDEV.P(U23:U24)/AVERAGE(U23:U24))</f>
        <v/>
      </c>
      <c r="X24" s="8">
        <f t="array" ref="X24">IF(U24="","", IFERROR(((IF(U$5&lt;&gt;"", U$5*M$5, 0) + SUMPRODUCT(--(U$6:U24&lt;&gt;""), U$6:U24, (M$6:M24-M$5:M23)))/1000), ""))</f>
        <v/>
      </c>
    </row>
    <row r="25">
      <c r="A25" s="1">
        <f>A24+2</f>
        <v/>
      </c>
      <c r="B25" s="1">
        <f>C24</f>
        <v/>
      </c>
      <c r="E25" t="inlineStr">
        <is>
          <t>200mL/10s/60s</t>
        </is>
      </c>
      <c r="I25" s="1">
        <f>IF(C25="", "", (B25-C25)*1000/(A25-A24))</f>
        <v/>
      </c>
      <c r="J25" s="1">
        <f>IF(I25="","",I25/F$2/10)</f>
        <v/>
      </c>
      <c r="K25" s="1">
        <f>IF(I25="","", 100*_xlfn.STDEV.P(I24:I25)/AVERAGE(I24:I25))</f>
        <v/>
      </c>
      <c r="L25" s="8">
        <f t="array" ref="L25">IF(I25="","", IFERROR(((IF(I$5&lt;&gt;"", I$5*A$5, 0) + SUMPRODUCT(--(I$6:I25&lt;&gt;""), I$6:I25, (A$6:A25-A$5:A24)))/1000), ""))</f>
        <v/>
      </c>
      <c r="M25" s="1">
        <f>M24+2</f>
        <v/>
      </c>
      <c r="N25" s="1">
        <f>O24</f>
        <v/>
      </c>
      <c r="Q25" t="inlineStr">
        <is>
          <t>200mL/10s/60s</t>
        </is>
      </c>
      <c r="U25" s="1">
        <f>IF(O25="", "", (N25-O25)*1000/(M25-M24))</f>
        <v/>
      </c>
      <c r="V25" s="1">
        <f>IF(U25="","",U25/R$2/10)</f>
        <v/>
      </c>
      <c r="W25" s="1">
        <f>IF(U25="","", 100*_xlfn.STDEV.P(U24:U25)/AVERAGE(U24:U25))</f>
        <v/>
      </c>
      <c r="X25" s="8">
        <f t="array" ref="X25">IF(U25="","", IFERROR(((IF(U$5&lt;&gt;"", U$5*M$5, 0) + SUMPRODUCT(--(U$6:U25&lt;&gt;""), U$6:U25, (M$6:M25-M$5:M24)))/1000), ""))</f>
        <v/>
      </c>
    </row>
    <row r="26">
      <c r="A26" s="1">
        <f>A25+2</f>
        <v/>
      </c>
      <c r="B26" s="1">
        <f>C25</f>
        <v/>
      </c>
      <c r="E26" t="inlineStr">
        <is>
          <t>200mL/10s/60s</t>
        </is>
      </c>
      <c r="I26" s="1">
        <f>IF(C26="", "", (B26-C26)*1000/(A26-A25))</f>
        <v/>
      </c>
      <c r="J26" s="1">
        <f>IF(I26="","",I26/F$2/10)</f>
        <v/>
      </c>
      <c r="K26" s="1">
        <f>IF(I26="","", 100*_xlfn.STDEV.P(I25:I26)/AVERAGE(I25:I26))</f>
        <v/>
      </c>
      <c r="L26" s="8">
        <f t="array" ref="L26">IF(I26="","", IFERROR(((IF(I$5&lt;&gt;"", I$5*A$5, 0) + SUMPRODUCT(--(I$6:I26&lt;&gt;""), I$6:I26, (A$6:A26-A$5:A25)))/1000), ""))</f>
        <v/>
      </c>
      <c r="M26" s="1">
        <f>M25+2</f>
        <v/>
      </c>
      <c r="N26" s="1">
        <f>O25</f>
        <v/>
      </c>
      <c r="Q26" t="inlineStr">
        <is>
          <t>200mL/10s/60s</t>
        </is>
      </c>
      <c r="U26" s="1">
        <f>IF(O26="", "", (N26-O26)*1000/(M26-M25))</f>
        <v/>
      </c>
      <c r="V26" s="1">
        <f>IF(U26="","",U26/R$2/10)</f>
        <v/>
      </c>
      <c r="W26" s="1">
        <f>IF(U26="","", 100*_xlfn.STDEV.P(U25:U26)/AVERAGE(U25:U26))</f>
        <v/>
      </c>
      <c r="X26" s="8">
        <f t="array" ref="X26">IF(U26="","", IFERROR(((IF(U$5&lt;&gt;"", U$5*M$5, 0) + SUMPRODUCT(--(U$6:U26&lt;&gt;""), U$6:U26, (M$6:M26-M$5:M25)))/1000), ""))</f>
        <v/>
      </c>
    </row>
    <row r="27">
      <c r="A27" s="1">
        <f>A26+2</f>
        <v/>
      </c>
      <c r="B27" s="1">
        <f>C26</f>
        <v/>
      </c>
      <c r="E27" t="inlineStr">
        <is>
          <t>200mL/10s/60s</t>
        </is>
      </c>
      <c r="I27" s="1">
        <f>IF(C27="", "", (B27-C27)*1000/(A27-A26))</f>
        <v/>
      </c>
      <c r="J27" s="1">
        <f>IF(I27="","",I27/F$2/10)</f>
        <v/>
      </c>
      <c r="K27" s="1">
        <f>IF(I27="","", 100*_xlfn.STDEV.P(I26:I27)/AVERAGE(I26:I27))</f>
        <v/>
      </c>
      <c r="L27" s="8">
        <f t="array" ref="L27">IF(I27="","", IFERROR(((IF(I$5&lt;&gt;"", I$5*A$5, 0) + SUMPRODUCT(--(I$6:I27&lt;&gt;""), I$6:I27, (A$6:A27-A$5:A26)))/1000), ""))</f>
        <v/>
      </c>
      <c r="M27" s="1">
        <f>M26+2</f>
        <v/>
      </c>
      <c r="N27" s="1">
        <f>O26</f>
        <v/>
      </c>
      <c r="Q27" t="inlineStr">
        <is>
          <t>200mL/10s/60s</t>
        </is>
      </c>
      <c r="U27" s="1">
        <f>IF(O27="", "", (N27-O27)*1000/(M27-M26))</f>
        <v/>
      </c>
      <c r="V27" s="1">
        <f>IF(U27="","",U27/R$2/10)</f>
        <v/>
      </c>
      <c r="W27" s="1">
        <f>IF(U27="","", 100*_xlfn.STDEV.P(U26:U27)/AVERAGE(U26:U27))</f>
        <v/>
      </c>
      <c r="X27" s="8">
        <f t="array" ref="X27">IF(U27="","", IFERROR(((IF(U$5&lt;&gt;"", U$5*M$5, 0) + SUMPRODUCT(--(U$6:U27&lt;&gt;""), U$6:U27, (M$6:M27-M$5:M26)))/1000), ""))</f>
        <v/>
      </c>
    </row>
    <row r="28">
      <c r="A28" s="1">
        <f>A27+2</f>
        <v/>
      </c>
      <c r="B28" s="1">
        <f>C27</f>
        <v/>
      </c>
      <c r="E28" t="inlineStr">
        <is>
          <t>200mL/10s/60s</t>
        </is>
      </c>
      <c r="I28" s="1">
        <f>IF(C28="", "", (B28-C28)*1000/(A28-A27))</f>
        <v/>
      </c>
      <c r="J28" s="1">
        <f>IF(I28="","",I28/F$2/10)</f>
        <v/>
      </c>
      <c r="K28" s="1">
        <f>IF(I28="","", 100*_xlfn.STDEV.P(I27:I28)/AVERAGE(I27:I28))</f>
        <v/>
      </c>
      <c r="L28" s="8">
        <f t="array" ref="L28">IF(I28="","", IFERROR(((IF(I$5&lt;&gt;"", I$5*A$5, 0) + SUMPRODUCT(--(I$6:I28&lt;&gt;""), I$6:I28, (A$6:A28-A$5:A27)))/1000), ""))</f>
        <v/>
      </c>
      <c r="M28" s="1">
        <f>M27+2</f>
        <v/>
      </c>
      <c r="N28" s="1">
        <f>O27</f>
        <v/>
      </c>
      <c r="Q28" t="inlineStr">
        <is>
          <t>200mL/10s/60s</t>
        </is>
      </c>
      <c r="U28" s="1">
        <f>IF(O28="", "", (N28-O28)*1000/(M28-M27))</f>
        <v/>
      </c>
      <c r="V28" s="1">
        <f>IF(U28="","",U28/R$2/10)</f>
        <v/>
      </c>
      <c r="W28" s="1">
        <f>IF(U28="","", 100*_xlfn.STDEV.P(U27:U28)/AVERAGE(U27:U28))</f>
        <v/>
      </c>
      <c r="X28" s="8">
        <f t="array" ref="X28">IF(U28="","", IFERROR(((IF(U$5&lt;&gt;"", U$5*M$5, 0) + SUMPRODUCT(--(U$6:U28&lt;&gt;""), U$6:U28, (M$6:M28-M$5:M27)))/1000), ""))</f>
        <v/>
      </c>
    </row>
    <row r="29">
      <c r="A29" s="1">
        <f>A28+2</f>
        <v/>
      </c>
      <c r="B29" s="1">
        <f>C28</f>
        <v/>
      </c>
      <c r="E29" t="inlineStr">
        <is>
          <t>200mL/10s/60s</t>
        </is>
      </c>
      <c r="F29" s="9" t="n"/>
      <c r="G29" s="9" t="n"/>
      <c r="H29" s="9" t="n"/>
      <c r="I29" s="1">
        <f>IF(C29="", "", (B29-C29)*1000/(A29-A28))</f>
        <v/>
      </c>
      <c r="J29" s="1">
        <f>IF(I29="","",I29/F$2/10)</f>
        <v/>
      </c>
      <c r="K29" s="1">
        <f>IF(I29="","", 100*_xlfn.STDEV.P(I28:I29)/AVERAGE(I28:I29))</f>
        <v/>
      </c>
      <c r="L29" s="8">
        <f t="array" ref="L29">IF(I29="","", IFERROR(((IF(I$5&lt;&gt;"", I$5*A$5, 0) + SUMPRODUCT(--(I$6:I29&lt;&gt;""), I$6:I29, (A$6:A29-A$5:A28)))/1000), ""))</f>
        <v/>
      </c>
      <c r="M29" s="1">
        <f>M28+2</f>
        <v/>
      </c>
      <c r="N29" s="1">
        <f>O28</f>
        <v/>
      </c>
      <c r="Q29" t="inlineStr">
        <is>
          <t>200mL/10s/60s</t>
        </is>
      </c>
      <c r="R29" s="9" t="n"/>
      <c r="S29" s="9" t="n"/>
      <c r="T29" s="9" t="n"/>
      <c r="U29" s="1">
        <f>IF(O29="", "", (N29-O29)*1000/(M29-M28))</f>
        <v/>
      </c>
      <c r="V29" s="1">
        <f>IF(U29="","",U29/R$2/10)</f>
        <v/>
      </c>
      <c r="W29" s="1">
        <f>IF(U29="","", 100*_xlfn.STDEV.P(U28:U29)/AVERAGE(U28:U29))</f>
        <v/>
      </c>
      <c r="X29" s="8">
        <f t="array" ref="X29">IF(U29="","", IFERROR(((IF(U$5&lt;&gt;"", U$5*M$5, 0) + SUMPRODUCT(--(U$6:U29&lt;&gt;""), U$6:U29, (M$6:M29-M$5:M28)))/1000), ""))</f>
        <v/>
      </c>
    </row>
    <row r="30">
      <c r="A30" s="1">
        <f>A29+2</f>
        <v/>
      </c>
      <c r="B30" s="1">
        <f>C29</f>
        <v/>
      </c>
      <c r="E30" t="inlineStr">
        <is>
          <t>200mL/10s/60s</t>
        </is>
      </c>
      <c r="I30" s="1">
        <f>IF(C30="", "", (B30-C30)*1000/(A30-A29))</f>
        <v/>
      </c>
      <c r="J30" s="1">
        <f>IF(I30="","",I30/F$2/10)</f>
        <v/>
      </c>
      <c r="K30" s="1">
        <f>IF(I30="","", 100*_xlfn.STDEV.P(I29:I30)/AVERAGE(I29:I30))</f>
        <v/>
      </c>
      <c r="L30" s="8">
        <f t="array" ref="L30">IF(I30="","", IFERROR(((IF(I$5&lt;&gt;"", I$5*A$5, 0) + SUMPRODUCT(--(I$6:I30&lt;&gt;""), I$6:I30, (A$6:A30-A$5:A29)))/1000), ""))</f>
        <v/>
      </c>
      <c r="M30" s="1">
        <f>M29+2</f>
        <v/>
      </c>
      <c r="N30" s="1">
        <f>O29</f>
        <v/>
      </c>
      <c r="Q30" t="inlineStr">
        <is>
          <t>200mL/10s/60s</t>
        </is>
      </c>
      <c r="U30" s="1">
        <f>IF(O30="", "", (N30-O30)*1000/(M30-M29))</f>
        <v/>
      </c>
      <c r="V30" s="1">
        <f>IF(U30="","",U30/R$2/10)</f>
        <v/>
      </c>
      <c r="W30" s="1">
        <f>IF(U30="","", 100*_xlfn.STDEV.P(U29:U30)/AVERAGE(U29:U30))</f>
        <v/>
      </c>
      <c r="X30" s="8">
        <f t="array" ref="X30">IF(U30="","", IFERROR(((IF(U$5&lt;&gt;"", U$5*M$5, 0) + SUMPRODUCT(--(U$6:U30&lt;&gt;""), U$6:U30, (M$6:M30-M$5:M29)))/1000), ""))</f>
        <v/>
      </c>
    </row>
    <row r="31">
      <c r="A31" s="1">
        <f>A30+2</f>
        <v/>
      </c>
      <c r="B31" s="1">
        <f>C30</f>
        <v/>
      </c>
      <c r="E31" t="inlineStr">
        <is>
          <t>200mL/10s/60s</t>
        </is>
      </c>
      <c r="I31" s="1">
        <f>IF(C31="", "", (B31-C31)*1000/(A31-A30))</f>
        <v/>
      </c>
      <c r="J31" s="1">
        <f>IF(I31="","",I31/F$2/10)</f>
        <v/>
      </c>
      <c r="K31" s="1">
        <f>IF(I31="","", 100*_xlfn.STDEV.P(I30:I31)/AVERAGE(I30:I31))</f>
        <v/>
      </c>
      <c r="L31" s="8">
        <f t="array" ref="L31">IF(I31="","", IFERROR(((IF(I$5&lt;&gt;"", I$5*A$5, 0) + SUMPRODUCT(--(I$6:I31&lt;&gt;""), I$6:I31, (A$6:A31-A$5:A30)))/1000), ""))</f>
        <v/>
      </c>
      <c r="M31" s="1">
        <f>M30+2</f>
        <v/>
      </c>
      <c r="N31" s="1">
        <f>O30</f>
        <v/>
      </c>
      <c r="Q31" t="inlineStr">
        <is>
          <t>200mL/10s/60s</t>
        </is>
      </c>
      <c r="U31" s="1">
        <f>IF(O31="", "", (N31-O31)*1000/(M31-M30))</f>
        <v/>
      </c>
      <c r="V31" s="1">
        <f>IF(U31="","",U31/R$2/10)</f>
        <v/>
      </c>
      <c r="W31" s="1">
        <f>IF(U31="","", 100*_xlfn.STDEV.P(U30:U31)/AVERAGE(U30:U31))</f>
        <v/>
      </c>
      <c r="X31" s="8">
        <f t="array" ref="X31">IF(U31="","", IFERROR(((IF(U$5&lt;&gt;"", U$5*M$5, 0) + SUMPRODUCT(--(U$6:U31&lt;&gt;""), U$6:U31, (M$6:M31-M$5:M30)))/1000), ""))</f>
        <v/>
      </c>
    </row>
    <row r="32">
      <c r="A32" s="1">
        <f>A31+2</f>
        <v/>
      </c>
      <c r="B32" s="1">
        <f>C31</f>
        <v/>
      </c>
      <c r="E32" t="inlineStr">
        <is>
          <t>200mL/10s/60s</t>
        </is>
      </c>
      <c r="I32" s="1">
        <f>IF(C32="", "", (B32-C32)*1000/(A32-A31))</f>
        <v/>
      </c>
      <c r="J32" s="1">
        <f>IF(I32="","",I32/F$2/10)</f>
        <v/>
      </c>
      <c r="K32" s="1">
        <f>IF(I32="","", 100*_xlfn.STDEV.P(I31:I32)/AVERAGE(I31:I32))</f>
        <v/>
      </c>
      <c r="L32" s="8">
        <f t="array" ref="L32">IF(I32="","", IFERROR(((IF(I$5&lt;&gt;"", I$5*A$5, 0) + SUMPRODUCT(--(I$6:I32&lt;&gt;""), I$6:I32, (A$6:A32-A$5:A31)))/1000), ""))</f>
        <v/>
      </c>
      <c r="M32" s="1">
        <f>M31+2</f>
        <v/>
      </c>
      <c r="N32" s="1">
        <f>O31</f>
        <v/>
      </c>
      <c r="Q32" t="inlineStr">
        <is>
          <t>200mL/10s/60s</t>
        </is>
      </c>
      <c r="U32" s="1">
        <f>IF(O32="", "", (N32-O32)*1000/(M32-M31))</f>
        <v/>
      </c>
      <c r="V32" s="1">
        <f>IF(U32="","",U32/R$2/10)</f>
        <v/>
      </c>
      <c r="W32" s="1">
        <f>IF(U32="","", 100*_xlfn.STDEV.P(U31:U32)/AVERAGE(U31:U32))</f>
        <v/>
      </c>
      <c r="X32" s="8">
        <f t="array" ref="X32">IF(U32="","", IFERROR(((IF(U$5&lt;&gt;"", U$5*M$5, 0) + SUMPRODUCT(--(U$6:U32&lt;&gt;""), U$6:U32, (M$6:M32-M$5:M31)))/1000), ""))</f>
        <v/>
      </c>
    </row>
    <row r="33">
      <c r="A33" s="1">
        <f>A32+2</f>
        <v/>
      </c>
      <c r="B33" s="1">
        <f>C32</f>
        <v/>
      </c>
      <c r="E33" t="inlineStr">
        <is>
          <t>200mL/10s/60s</t>
        </is>
      </c>
      <c r="I33" s="1">
        <f>IF(C33="", "", (B33-C33)*1000/(A33-A32))</f>
        <v/>
      </c>
      <c r="J33" s="1">
        <f>IF(I33="","",I33/F$2/10)</f>
        <v/>
      </c>
      <c r="K33" s="1">
        <f>IF(I33="","", 100*_xlfn.STDEV.P(I32:I33)/AVERAGE(I32:I33))</f>
        <v/>
      </c>
      <c r="L33" s="8">
        <f t="array" ref="L33">IF(I33="","", IFERROR(((IF(I$5&lt;&gt;"", I$5*A$5, 0) + SUMPRODUCT(--(I$6:I33&lt;&gt;""), I$6:I33, (A$6:A33-A$5:A32)))/1000), ""))</f>
        <v/>
      </c>
      <c r="M33" s="1">
        <f>M32+2</f>
        <v/>
      </c>
      <c r="N33" s="1">
        <f>O32</f>
        <v/>
      </c>
      <c r="Q33" t="inlineStr">
        <is>
          <t>200mL/10s/60s</t>
        </is>
      </c>
      <c r="U33" s="1">
        <f>IF(O33="", "", (N33-O33)*1000/(M33-M32))</f>
        <v/>
      </c>
      <c r="V33" s="1">
        <f>IF(U33="","",U33/R$2/10)</f>
        <v/>
      </c>
      <c r="W33" s="1">
        <f>IF(U33="","", 100*_xlfn.STDEV.P(U32:U33)/AVERAGE(U32:U33))</f>
        <v/>
      </c>
      <c r="X33" s="8">
        <f t="array" ref="X33">IF(U33="","", IFERROR(((IF(U$5&lt;&gt;"", U$5*M$5, 0) + SUMPRODUCT(--(U$6:U33&lt;&gt;""), U$6:U33, (M$6:M33-M$5:M32)))/1000), ""))</f>
        <v/>
      </c>
    </row>
    <row r="34">
      <c r="A34" s="1">
        <f>A33+2</f>
        <v/>
      </c>
      <c r="B34" s="1">
        <f>C33</f>
        <v/>
      </c>
      <c r="E34" t="inlineStr">
        <is>
          <t>200mL/10s/60s</t>
        </is>
      </c>
      <c r="I34" s="1">
        <f>IF(C34="", "", (B34-C34)*1000/(A34-A33))</f>
        <v/>
      </c>
      <c r="J34" s="1">
        <f>IF(I34="","",I34/F$2/10)</f>
        <v/>
      </c>
      <c r="K34" s="1">
        <f>IF(I34="","", 100*_xlfn.STDEV.P(I33:I34)/AVERAGE(I33:I34))</f>
        <v/>
      </c>
      <c r="L34" s="8">
        <f t="array" ref="L34">IF(I34="","", IFERROR(((IF(I$5&lt;&gt;"", I$5*A$5, 0) + SUMPRODUCT(--(I$6:I34&lt;&gt;""), I$6:I34, (A$6:A34-A$5:A33)))/1000), ""))</f>
        <v/>
      </c>
      <c r="M34" s="1">
        <f>M33+2</f>
        <v/>
      </c>
      <c r="N34" s="1">
        <f>O33</f>
        <v/>
      </c>
      <c r="Q34" t="inlineStr">
        <is>
          <t>200mL/10s/60s</t>
        </is>
      </c>
      <c r="U34" s="1">
        <f>IF(O34="", "", (N34-O34)*1000/(M34-M33))</f>
        <v/>
      </c>
      <c r="V34" s="1">
        <f>IF(U34="","",U34/R$2/10)</f>
        <v/>
      </c>
      <c r="W34" s="1">
        <f>IF(U34="","", 100*_xlfn.STDEV.P(U33:U34)/AVERAGE(U33:U34))</f>
        <v/>
      </c>
      <c r="X34" s="8">
        <f t="array" ref="X34">IF(U34="","", IFERROR(((IF(U$5&lt;&gt;"", U$5*M$5, 0) + SUMPRODUCT(--(U$6:U34&lt;&gt;""), U$6:U34, (M$6:M34-M$5:M33)))/1000), ""))</f>
        <v/>
      </c>
    </row>
    <row r="35">
      <c r="A35" s="1">
        <f>A34+2</f>
        <v/>
      </c>
      <c r="B35" s="1">
        <f>C34</f>
        <v/>
      </c>
      <c r="E35" t="inlineStr">
        <is>
          <t>200mL/10s/60s</t>
        </is>
      </c>
      <c r="I35" s="1">
        <f>IF(C35="", "", (B35-C35)*1000/(A35-A34))</f>
        <v/>
      </c>
      <c r="J35" s="1">
        <f>IF(I35="","",I35/F$2/10)</f>
        <v/>
      </c>
      <c r="K35" s="1">
        <f>IF(I35="","", 100*_xlfn.STDEV.P(I34:I35)/AVERAGE(I34:I35))</f>
        <v/>
      </c>
      <c r="L35" s="8">
        <f t="array" ref="L35">IF(I35="","", IFERROR(((IF(I$5&lt;&gt;"", I$5*A$5, 0) + SUMPRODUCT(--(I$6:I35&lt;&gt;""), I$6:I35, (A$6:A35-A$5:A34)))/1000), ""))</f>
        <v/>
      </c>
      <c r="M35" s="1">
        <f>M34+2</f>
        <v/>
      </c>
      <c r="N35" s="1">
        <f>O34</f>
        <v/>
      </c>
      <c r="Q35" t="inlineStr">
        <is>
          <t>200mL/10s/60s</t>
        </is>
      </c>
      <c r="U35" s="1">
        <f>IF(O35="", "", (N35-O35)*1000/(M35-M34))</f>
        <v/>
      </c>
      <c r="V35" s="1">
        <f>IF(U35="","",U35/R$2/10)</f>
        <v/>
      </c>
      <c r="W35" s="1">
        <f>IF(U35="","", 100*_xlfn.STDEV.P(U34:U35)/AVERAGE(U34:U35))</f>
        <v/>
      </c>
      <c r="X35" s="8">
        <f t="array" ref="X35">IF(U35="","", IFERROR(((IF(U$5&lt;&gt;"", U$5*M$5, 0) + SUMPRODUCT(--(U$6:U35&lt;&gt;""), U$6:U35, (M$6:M35-M$5:M34)))/1000), ""))</f>
        <v/>
      </c>
    </row>
    <row r="36">
      <c r="A36" s="1">
        <f>A35+2</f>
        <v/>
      </c>
      <c r="B36" s="1">
        <f>C35</f>
        <v/>
      </c>
      <c r="E36" t="inlineStr">
        <is>
          <t>200mL/10s/60s</t>
        </is>
      </c>
      <c r="I36" s="1">
        <f>IF(C36="", "", (B36-C36)*1000/(A36-A35))</f>
        <v/>
      </c>
      <c r="J36" s="1">
        <f>IF(I36="","",I36/F$2/10)</f>
        <v/>
      </c>
      <c r="K36" s="1">
        <f>IF(I36="","", 100*_xlfn.STDEV.P(I35:I36)/AVERAGE(I35:I36))</f>
        <v/>
      </c>
      <c r="L36" s="8">
        <f t="array" ref="L36">IF(I36="","", IFERROR(((IF(I$5&lt;&gt;"", I$5*A$5, 0) + SUMPRODUCT(--(I$6:I36&lt;&gt;""), I$6:I36, (A$6:A36-A$5:A35)))/1000), ""))</f>
        <v/>
      </c>
      <c r="M36" s="1">
        <f>M35+2</f>
        <v/>
      </c>
      <c r="N36" s="1">
        <f>O35</f>
        <v/>
      </c>
      <c r="Q36" t="inlineStr">
        <is>
          <t>200mL/10s/60s</t>
        </is>
      </c>
      <c r="U36" s="1">
        <f>IF(O36="", "", (N36-O36)*1000/(M36-M35))</f>
        <v/>
      </c>
      <c r="V36" s="1">
        <f>IF(U36="","",U36/R$2/10)</f>
        <v/>
      </c>
      <c r="W36" s="1">
        <f>IF(U36="","", 100*_xlfn.STDEV.P(U35:U36)/AVERAGE(U35:U36))</f>
        <v/>
      </c>
      <c r="X36" s="8">
        <f t="array" ref="X36">IF(U36="","", IFERROR(((IF(U$5&lt;&gt;"", U$5*M$5, 0) + SUMPRODUCT(--(U$6:U36&lt;&gt;""), U$6:U36, (M$6:M36-M$5:M35)))/1000), ""))</f>
        <v/>
      </c>
    </row>
    <row r="37">
      <c r="A37" s="1">
        <f>A36+2</f>
        <v/>
      </c>
      <c r="B37" s="1">
        <f>C36</f>
        <v/>
      </c>
      <c r="E37" t="inlineStr">
        <is>
          <t>200mL/10s/60s</t>
        </is>
      </c>
      <c r="I37" s="1">
        <f>IF(C37="", "", (B37-C37)*1000/(A37-A36))</f>
        <v/>
      </c>
      <c r="J37" s="1">
        <f>IF(I37="","",I37/F$2/10)</f>
        <v/>
      </c>
      <c r="K37" s="1">
        <f>IF(I37="","", 100*_xlfn.STDEV.P(I36:I37)/AVERAGE(I36:I37))</f>
        <v/>
      </c>
      <c r="L37" s="8">
        <f t="array" ref="L37">IF(I37="","", IFERROR(((IF(I$5&lt;&gt;"", I$5*A$5, 0) + SUMPRODUCT(--(I$6:I37&lt;&gt;""), I$6:I37, (A$6:A37-A$5:A36)))/1000), ""))</f>
        <v/>
      </c>
      <c r="M37" s="1">
        <f>M36+2</f>
        <v/>
      </c>
      <c r="N37" s="1">
        <f>O36</f>
        <v/>
      </c>
      <c r="Q37" t="inlineStr">
        <is>
          <t>200mL/10s/60s</t>
        </is>
      </c>
      <c r="U37" s="1">
        <f>IF(O37="", "", (N37-O37)*1000/(M37-M36))</f>
        <v/>
      </c>
      <c r="V37" s="1">
        <f>IF(U37="","",U37/R$2/10)</f>
        <v/>
      </c>
      <c r="W37" s="1">
        <f>IF(U37="","", 100*_xlfn.STDEV.P(U36:U37)/AVERAGE(U36:U37))</f>
        <v/>
      </c>
      <c r="X37" s="8">
        <f t="array" ref="X37">IF(U37="","", IFERROR(((IF(U$5&lt;&gt;"", U$5*M$5, 0) + SUMPRODUCT(--(U$6:U37&lt;&gt;""), U$6:U37, (M$6:M37-M$5:M36)))/1000), ""))</f>
        <v/>
      </c>
    </row>
    <row r="38">
      <c r="A38" s="1">
        <f>A37+2</f>
        <v/>
      </c>
      <c r="B38" s="1">
        <f>C37</f>
        <v/>
      </c>
      <c r="E38" t="inlineStr">
        <is>
          <t>200mL/10s/60s</t>
        </is>
      </c>
      <c r="I38" s="1">
        <f>IF(C38="", "", (B38-C38)*1000/(A38-A37))</f>
        <v/>
      </c>
      <c r="J38" s="1">
        <f>IF(I38="","",I38/F$2/10)</f>
        <v/>
      </c>
      <c r="K38" s="1">
        <f>IF(I38="","", 100*_xlfn.STDEV.P(I37:I38)/AVERAGE(I37:I38))</f>
        <v/>
      </c>
      <c r="L38" s="8">
        <f t="array" ref="L38">IF(I38="","", IFERROR(((IF(I$5&lt;&gt;"", I$5*A$5, 0) + SUMPRODUCT(--(I$6:I38&lt;&gt;""), I$6:I38, (A$6:A38-A$5:A37)))/1000), ""))</f>
        <v/>
      </c>
      <c r="M38" s="1">
        <f>M37+2</f>
        <v/>
      </c>
      <c r="N38" s="1">
        <f>O37</f>
        <v/>
      </c>
      <c r="Q38" t="inlineStr">
        <is>
          <t>200mL/10s/60s</t>
        </is>
      </c>
      <c r="U38" s="1">
        <f>IF(O38="", "", (N38-O38)*1000/(M38-M37))</f>
        <v/>
      </c>
      <c r="V38" s="1">
        <f>IF(U38="","",U38/R$2/10)</f>
        <v/>
      </c>
      <c r="W38" s="1">
        <f>IF(U38="","", 100*_xlfn.STDEV.P(U37:U38)/AVERAGE(U37:U38))</f>
        <v/>
      </c>
      <c r="X38" s="8">
        <f t="array" ref="X38">IF(U38="","", IFERROR(((IF(U$5&lt;&gt;"", U$5*M$5, 0) + SUMPRODUCT(--(U$6:U38&lt;&gt;""), U$6:U38, (M$6:M38-M$5:M37)))/1000), ""))</f>
        <v/>
      </c>
    </row>
    <row r="39">
      <c r="A39" s="1">
        <f>A38+2</f>
        <v/>
      </c>
      <c r="B39" s="1">
        <f>C38</f>
        <v/>
      </c>
      <c r="E39" t="inlineStr">
        <is>
          <t>200mL/10s/60s</t>
        </is>
      </c>
      <c r="I39" s="1">
        <f>IF(C39="", "", (B39-C39)*1000/(A39-A38))</f>
        <v/>
      </c>
      <c r="J39" s="1">
        <f>IF(I39="","",I39/F$2/10)</f>
        <v/>
      </c>
      <c r="K39" s="1">
        <f>IF(I39="","", 100*_xlfn.STDEV.P(I38:I39)/AVERAGE(I38:I39))</f>
        <v/>
      </c>
      <c r="L39" s="8">
        <f t="array" ref="L39">IF(I39="","", IFERROR(((IF(I$5&lt;&gt;"", I$5*A$5, 0) + SUMPRODUCT(--(I$6:I39&lt;&gt;""), I$6:I39, (A$6:A39-A$5:A38)))/1000), ""))</f>
        <v/>
      </c>
      <c r="M39" s="1">
        <f>M38+2</f>
        <v/>
      </c>
      <c r="N39" s="1">
        <f>O38</f>
        <v/>
      </c>
      <c r="Q39" t="inlineStr">
        <is>
          <t>200mL/10s/60s</t>
        </is>
      </c>
      <c r="U39" s="1">
        <f>IF(O39="", "", (N39-O39)*1000/(M39-M38))</f>
        <v/>
      </c>
      <c r="V39" s="1">
        <f>IF(U39="","",U39/R$2/10)</f>
        <v/>
      </c>
      <c r="W39" s="1">
        <f>IF(U39="","", 100*_xlfn.STDEV.P(U38:U39)/AVERAGE(U38:U39))</f>
        <v/>
      </c>
      <c r="X39" s="8">
        <f t="array" ref="X39">IF(U39="","", IFERROR(((IF(U$5&lt;&gt;"", U$5*M$5, 0) + SUMPRODUCT(--(U$6:U39&lt;&gt;""), U$6:U39, (M$6:M39-M$5:M38)))/1000), ""))</f>
        <v/>
      </c>
    </row>
    <row r="40">
      <c r="A40" s="1">
        <f>A39+2</f>
        <v/>
      </c>
      <c r="B40" s="1">
        <f>C39</f>
        <v/>
      </c>
      <c r="E40" t="inlineStr">
        <is>
          <t>200mL/10s/60s</t>
        </is>
      </c>
      <c r="I40" s="1">
        <f>IF(C40="", "", (B40-C40)*1000/(A40-A39))</f>
        <v/>
      </c>
      <c r="J40" s="1">
        <f>IF(I40="","",I40/F$2/10)</f>
        <v/>
      </c>
      <c r="K40" s="1">
        <f>IF(I40="","", 100*_xlfn.STDEV.P(I39:I40)/AVERAGE(I39:I40))</f>
        <v/>
      </c>
      <c r="L40" s="8">
        <f t="array" ref="L40">IF(I40="","", IFERROR(((IF(I$5&lt;&gt;"", I$5*A$5, 0) + SUMPRODUCT(--(I$6:I40&lt;&gt;""), I$6:I40, (A$6:A40-A$5:A39)))/1000), ""))</f>
        <v/>
      </c>
      <c r="M40" s="1">
        <f>M39+2</f>
        <v/>
      </c>
      <c r="N40" s="1">
        <f>O39</f>
        <v/>
      </c>
      <c r="Q40" t="inlineStr">
        <is>
          <t>200mL/10s/60s</t>
        </is>
      </c>
      <c r="U40" s="1">
        <f>IF(O40="", "", (N40-O40)*1000/(M40-M39))</f>
        <v/>
      </c>
      <c r="V40" s="1">
        <f>IF(U40="","",U40/R$2/10)</f>
        <v/>
      </c>
      <c r="W40" s="1">
        <f>IF(U40="","", 100*_xlfn.STDEV.P(U39:U40)/AVERAGE(U39:U40))</f>
        <v/>
      </c>
      <c r="X40" s="8">
        <f t="array" ref="X40">IF(U40="","", IFERROR(((IF(U$5&lt;&gt;"", U$5*M$5, 0) + SUMPRODUCT(--(U$6:U40&lt;&gt;""), U$6:U40, (M$6:M40-M$5:M39)))/1000), ""))</f>
        <v/>
      </c>
    </row>
    <row r="41">
      <c r="A41" s="1">
        <f>A40+2</f>
        <v/>
      </c>
      <c r="B41" s="1">
        <f>C40</f>
        <v/>
      </c>
      <c r="E41" t="inlineStr">
        <is>
          <t>200mL/10s/60s</t>
        </is>
      </c>
      <c r="I41" s="1">
        <f>IF(C41="", "", (B41-C41)*1000/(A41-A40))</f>
        <v/>
      </c>
      <c r="J41" s="1">
        <f>IF(I41="","",I41/F$2/10)</f>
        <v/>
      </c>
      <c r="K41" s="1">
        <f>IF(I41="","", 100*_xlfn.STDEV.P(I40:I41)/AVERAGE(I40:I41))</f>
        <v/>
      </c>
      <c r="L41" s="8">
        <f t="array" ref="L41">IF(I41="","", IFERROR(((IF(I$5&lt;&gt;"", I$5*A$5, 0) + SUMPRODUCT(--(I$6:I41&lt;&gt;""), I$6:I41, (A$6:A41-A$5:A40)))/1000), ""))</f>
        <v/>
      </c>
      <c r="M41" s="1">
        <f>M40+2</f>
        <v/>
      </c>
      <c r="N41" s="1">
        <f>O40</f>
        <v/>
      </c>
      <c r="Q41" t="inlineStr">
        <is>
          <t>200mL/10s/60s</t>
        </is>
      </c>
      <c r="U41" s="1">
        <f>IF(O41="", "", (N41-O41)*1000/(M41-M40))</f>
        <v/>
      </c>
      <c r="V41" s="1">
        <f>IF(U41="","",U41/R$2/10)</f>
        <v/>
      </c>
      <c r="W41" s="1">
        <f>IF(U41="","", 100*_xlfn.STDEV.P(U40:U41)/AVERAGE(U40:U41))</f>
        <v/>
      </c>
      <c r="X41" s="8">
        <f t="array" ref="X41">IF(U41="","", IFERROR(((IF(U$5&lt;&gt;"", U$5*M$5, 0) + SUMPRODUCT(--(U$6:U41&lt;&gt;""), U$6:U41, (M$6:M41-M$5:M40)))/1000), ""))</f>
        <v/>
      </c>
    </row>
    <row r="42">
      <c r="A42" s="1">
        <f>A41+2</f>
        <v/>
      </c>
      <c r="B42" s="1">
        <f>C41</f>
        <v/>
      </c>
      <c r="E42" t="inlineStr">
        <is>
          <t>200mL/10s/60s</t>
        </is>
      </c>
      <c r="I42" s="1">
        <f>IF(C42="", "", (B42-C42)*1000/(A42-A41))</f>
        <v/>
      </c>
      <c r="J42" s="1">
        <f>IF(I42="","",I42/F$2/10)</f>
        <v/>
      </c>
      <c r="K42" s="1">
        <f>IF(I42="","", 100*_xlfn.STDEV.P(I41:I42)/AVERAGE(I41:I42))</f>
        <v/>
      </c>
      <c r="L42" s="8">
        <f t="array" ref="L42">IF(I42="","", IFERROR(((IF(I$5&lt;&gt;"", I$5*A$5, 0) + SUMPRODUCT(--(I$6:I42&lt;&gt;""), I$6:I42, (A$6:A42-A$5:A41)))/1000), ""))</f>
        <v/>
      </c>
      <c r="M42" s="1">
        <f>M41+2</f>
        <v/>
      </c>
      <c r="N42" s="1">
        <f>O41</f>
        <v/>
      </c>
      <c r="Q42" t="inlineStr">
        <is>
          <t>200mL/10s/60s</t>
        </is>
      </c>
      <c r="U42" s="1">
        <f>IF(O42="", "", (N42-O42)*1000/(M42-M41))</f>
        <v/>
      </c>
      <c r="V42" s="1">
        <f>IF(U42="","",U42/R$2/10)</f>
        <v/>
      </c>
      <c r="W42" s="1">
        <f>IF(U42="","", 100*_xlfn.STDEV.P(U41:U42)/AVERAGE(U41:U42))</f>
        <v/>
      </c>
      <c r="X42" s="8">
        <f t="array" ref="X42">IF(U42="","", IFERROR(((IF(U$5&lt;&gt;"", U$5*M$5, 0) + SUMPRODUCT(--(U$6:U42&lt;&gt;""), U$6:U42, (M$6:M42-M$5:M41)))/1000), ""))</f>
        <v/>
      </c>
    </row>
    <row r="43">
      <c r="A43" s="1">
        <f>A42+2</f>
        <v/>
      </c>
      <c r="B43" s="1">
        <f>C42</f>
        <v/>
      </c>
      <c r="E43" t="inlineStr">
        <is>
          <t>200mL/10s/60s</t>
        </is>
      </c>
      <c r="I43" s="1">
        <f>IF(C43="", "", (B43-C43)*1000/(A43-A42))</f>
        <v/>
      </c>
      <c r="J43" s="1">
        <f>IF(I43="","",I43/F$2/10)</f>
        <v/>
      </c>
      <c r="K43" s="1">
        <f>IF(I43="","", 100*_xlfn.STDEV.P(I42:I43)/AVERAGE(I42:I43))</f>
        <v/>
      </c>
      <c r="L43" s="8">
        <f t="array" ref="L43">IF(I43="","", IFERROR(((IF(I$5&lt;&gt;"", I$5*A$5, 0) + SUMPRODUCT(--(I$6:I43&lt;&gt;""), I$6:I43, (A$6:A43-A$5:A42)))/1000), ""))</f>
        <v/>
      </c>
      <c r="M43" s="1">
        <f>M42+2</f>
        <v/>
      </c>
      <c r="N43" s="1">
        <f>O42</f>
        <v/>
      </c>
      <c r="Q43" t="inlineStr">
        <is>
          <t>200mL/10s/60s</t>
        </is>
      </c>
      <c r="U43" s="1">
        <f>IF(O43="", "", (N43-O43)*1000/(M43-M42))</f>
        <v/>
      </c>
      <c r="V43" s="1">
        <f>IF(U43="","",U43/R$2/10)</f>
        <v/>
      </c>
      <c r="W43" s="1">
        <f>IF(U43="","", 100*_xlfn.STDEV.P(U42:U43)/AVERAGE(U42:U43))</f>
        <v/>
      </c>
      <c r="X43" s="8">
        <f t="array" ref="X43">IF(U43="","", IFERROR(((IF(U$5&lt;&gt;"", U$5*M$5, 0) + SUMPRODUCT(--(U$6:U43&lt;&gt;""), U$6:U43, (M$6:M43-M$5:M42)))/1000), ""))</f>
        <v/>
      </c>
    </row>
    <row r="44">
      <c r="A44" s="1">
        <f>A43+2</f>
        <v/>
      </c>
      <c r="B44" s="1">
        <f>C43</f>
        <v/>
      </c>
      <c r="E44" t="inlineStr">
        <is>
          <t>200mL/10s/60s</t>
        </is>
      </c>
      <c r="I44" s="1">
        <f>IF(C44="", "", (B44-C44)*1000/(A44-A43))</f>
        <v/>
      </c>
      <c r="J44" s="1">
        <f>IF(I44="","",I44/F$2/10)</f>
        <v/>
      </c>
      <c r="K44" s="1">
        <f>IF(I44="","", 100*_xlfn.STDEV.P(I43:I44)/AVERAGE(I43:I44))</f>
        <v/>
      </c>
      <c r="L44" s="8">
        <f t="array" ref="L44">IF(I44="","", IFERROR(((IF(I$5&lt;&gt;"", I$5*A$5, 0) + SUMPRODUCT(--(I$6:I44&lt;&gt;""), I$6:I44, (A$6:A44-A$5:A43)))/1000), ""))</f>
        <v/>
      </c>
      <c r="M44" s="1">
        <f>M43+2</f>
        <v/>
      </c>
      <c r="N44" s="1">
        <f>O43</f>
        <v/>
      </c>
      <c r="Q44" t="inlineStr">
        <is>
          <t>200mL/10s/60s</t>
        </is>
      </c>
      <c r="U44" s="1">
        <f>IF(O44="", "", (N44-O44)*1000/(M44-M43))</f>
        <v/>
      </c>
      <c r="V44" s="1">
        <f>IF(U44="","",U44/R$2/10)</f>
        <v/>
      </c>
      <c r="W44" s="1">
        <f>IF(U44="","", 100*_xlfn.STDEV.P(U43:U44)/AVERAGE(U43:U44))</f>
        <v/>
      </c>
      <c r="X44" s="8">
        <f t="array" ref="X44">IF(U44="","", IFERROR(((IF(U$5&lt;&gt;"", U$5*M$5, 0) + SUMPRODUCT(--(U$6:U44&lt;&gt;""), U$6:U44, (M$6:M44-M$5:M43)))/1000), ""))</f>
        <v/>
      </c>
    </row>
    <row r="45">
      <c r="A45" s="1">
        <f>A44+2</f>
        <v/>
      </c>
      <c r="B45" s="1">
        <f>C44</f>
        <v/>
      </c>
      <c r="E45" t="inlineStr">
        <is>
          <t>200mL/10s/60s</t>
        </is>
      </c>
      <c r="I45" s="1">
        <f>IF(C45="", "", (B45-C45)*1000/(A45-A44))</f>
        <v/>
      </c>
      <c r="J45" s="1">
        <f>IF(I45="","",I45/F$2/10)</f>
        <v/>
      </c>
      <c r="K45" s="1">
        <f>IF(I45="","", 100*_xlfn.STDEV.P(I44:I45)/AVERAGE(I44:I45))</f>
        <v/>
      </c>
      <c r="L45" s="8">
        <f t="array" ref="L45">IF(I45="","", IFERROR(((IF(I$5&lt;&gt;"", I$5*A$5, 0) + SUMPRODUCT(--(I$6:I45&lt;&gt;""), I$6:I45, (A$6:A45-A$5:A44)))/1000), ""))</f>
        <v/>
      </c>
      <c r="M45" s="1">
        <f>M44+2</f>
        <v/>
      </c>
      <c r="N45" s="1">
        <f>O44</f>
        <v/>
      </c>
      <c r="Q45" t="inlineStr">
        <is>
          <t>200mL/10s/60s</t>
        </is>
      </c>
      <c r="U45" s="1">
        <f>IF(O45="", "", (N45-O45)*1000/(M45-M44))</f>
        <v/>
      </c>
      <c r="V45" s="1">
        <f>IF(U45="","",U45/R$2/10)</f>
        <v/>
      </c>
      <c r="W45" s="1">
        <f>IF(U45="","", 100*_xlfn.STDEV.P(U44:U45)/AVERAGE(U44:U45))</f>
        <v/>
      </c>
      <c r="X45" s="8">
        <f t="array" ref="X45">IF(U45="","", IFERROR(((IF(U$5&lt;&gt;"", U$5*M$5, 0) + SUMPRODUCT(--(U$6:U45&lt;&gt;""), U$6:U45, (M$6:M45-M$5:M44)))/1000), ""))</f>
        <v/>
      </c>
    </row>
    <row r="46">
      <c r="A46" s="1">
        <f>A45+2</f>
        <v/>
      </c>
      <c r="B46" s="1">
        <f>C45</f>
        <v/>
      </c>
      <c r="E46" t="inlineStr">
        <is>
          <t>200mL/10s/60s</t>
        </is>
      </c>
      <c r="I46" s="1">
        <f>IF(C46="", "", (B46-C46)*1000/(A46-A45))</f>
        <v/>
      </c>
      <c r="J46" s="1">
        <f>IF(I46="","",I46/F$2/10)</f>
        <v/>
      </c>
      <c r="K46" s="1">
        <f>IF(I46="","", 100*_xlfn.STDEV.P(I45:I46)/AVERAGE(I45:I46))</f>
        <v/>
      </c>
      <c r="L46" s="8">
        <f t="array" ref="L46">IF(I46="","", IFERROR(((IF(I$5&lt;&gt;"", I$5*A$5, 0) + SUMPRODUCT(--(I$6:I46&lt;&gt;""), I$6:I46, (A$6:A46-A$5:A45)))/1000), ""))</f>
        <v/>
      </c>
      <c r="M46" s="1">
        <f>M45+2</f>
        <v/>
      </c>
      <c r="N46" s="1">
        <f>O45</f>
        <v/>
      </c>
      <c r="Q46" t="inlineStr">
        <is>
          <t>200mL/10s/60s</t>
        </is>
      </c>
      <c r="U46" s="1">
        <f>IF(O46="", "", (N46-O46)*1000/(M46-M45))</f>
        <v/>
      </c>
      <c r="V46" s="1">
        <f>IF(U46="","",U46/R$2/10)</f>
        <v/>
      </c>
      <c r="W46" s="1">
        <f>IF(U46="","", 100*_xlfn.STDEV.P(U45:U46)/AVERAGE(U45:U46))</f>
        <v/>
      </c>
      <c r="X46" s="8">
        <f t="array" ref="X46">IF(U46="","", IFERROR(((IF(U$5&lt;&gt;"", U$5*M$5, 0) + SUMPRODUCT(--(U$6:U46&lt;&gt;""), U$6:U46, (M$6:M46-M$5:M45)))/1000), ""))</f>
        <v/>
      </c>
    </row>
    <row r="47">
      <c r="A47" s="1">
        <f>A46+2</f>
        <v/>
      </c>
      <c r="B47" s="1">
        <f>C46</f>
        <v/>
      </c>
      <c r="E47" t="inlineStr">
        <is>
          <t>200mL/10s/60s</t>
        </is>
      </c>
      <c r="I47" s="1">
        <f>IF(C47="", "", (B47-C47)*1000/(A47-A46))</f>
        <v/>
      </c>
      <c r="J47" s="1">
        <f>IF(I47="","",I47/F$2/10)</f>
        <v/>
      </c>
      <c r="K47" s="1">
        <f>IF(I47="","", 100*_xlfn.STDEV.P(I46:I47)/AVERAGE(I46:I47))</f>
        <v/>
      </c>
      <c r="L47" s="8">
        <f t="array" ref="L47">IF(I47="","", IFERROR(((IF(I$5&lt;&gt;"", I$5*A$5, 0) + SUMPRODUCT(--(I$6:I47&lt;&gt;""), I$6:I47, (A$6:A47-A$5:A46)))/1000), ""))</f>
        <v/>
      </c>
      <c r="M47" s="1">
        <f>M46+2</f>
        <v/>
      </c>
      <c r="N47" s="1">
        <f>O46</f>
        <v/>
      </c>
      <c r="Q47" t="inlineStr">
        <is>
          <t>200mL/10s/60s</t>
        </is>
      </c>
      <c r="U47" s="1">
        <f>IF(O47="", "", (N47-O47)*1000/(M47-M46))</f>
        <v/>
      </c>
      <c r="V47" s="1">
        <f>IF(U47="","",U47/R$2/10)</f>
        <v/>
      </c>
      <c r="W47" s="1">
        <f>IF(U47="","", 100*_xlfn.STDEV.P(U46:U47)/AVERAGE(U46:U47))</f>
        <v/>
      </c>
      <c r="X47" s="8">
        <f t="array" ref="X47">IF(U47="","", IFERROR(((IF(U$5&lt;&gt;"", U$5*M$5, 0) + SUMPRODUCT(--(U$6:U47&lt;&gt;""), U$6:U47, (M$6:M47-M$5:M46)))/1000), ""))</f>
        <v/>
      </c>
    </row>
    <row r="48">
      <c r="A48" s="1">
        <f>A47+2</f>
        <v/>
      </c>
      <c r="B48" s="1">
        <f>C47</f>
        <v/>
      </c>
      <c r="E48" t="inlineStr">
        <is>
          <t>200mL/10s/60s</t>
        </is>
      </c>
      <c r="I48" s="1">
        <f>IF(C48="", "", (B48-C48)*1000/(A48-A47))</f>
        <v/>
      </c>
      <c r="J48" s="1">
        <f>IF(I48="","",I48/F$2/10)</f>
        <v/>
      </c>
      <c r="K48" s="1">
        <f>IF(I48="","", 100*_xlfn.STDEV.P(I47:I48)/AVERAGE(I47:I48))</f>
        <v/>
      </c>
      <c r="L48" s="8">
        <f t="array" ref="L48">IF(I48="","", IFERROR(((IF(I$5&lt;&gt;"", I$5*A$5, 0) + SUMPRODUCT(--(I$6:I48&lt;&gt;""), I$6:I48, (A$6:A48-A$5:A47)))/1000), ""))</f>
        <v/>
      </c>
      <c r="M48" s="1">
        <f>M47+2</f>
        <v/>
      </c>
      <c r="N48" s="1">
        <f>O47</f>
        <v/>
      </c>
      <c r="Q48" t="inlineStr">
        <is>
          <t>200mL/10s/60s</t>
        </is>
      </c>
      <c r="U48" s="1">
        <f>IF(O48="", "", (N48-O48)*1000/(M48-M47))</f>
        <v/>
      </c>
      <c r="V48" s="1">
        <f>IF(U48="","",U48/R$2/10)</f>
        <v/>
      </c>
      <c r="W48" s="1">
        <f>IF(U48="","", 100*_xlfn.STDEV.P(U47:U48)/AVERAGE(U47:U48))</f>
        <v/>
      </c>
      <c r="X48" s="8">
        <f t="array" ref="X48">IF(U48="","", IFERROR(((IF(U$5&lt;&gt;"", U$5*M$5, 0) + SUMPRODUCT(--(U$6:U48&lt;&gt;""), U$6:U48, (M$6:M48-M$5:M47)))/1000), ""))</f>
        <v/>
      </c>
    </row>
    <row r="49">
      <c r="A49" s="1">
        <f>A48+2</f>
        <v/>
      </c>
      <c r="B49" s="1">
        <f>C48</f>
        <v/>
      </c>
      <c r="E49" t="inlineStr">
        <is>
          <t>200mL/10s/60s</t>
        </is>
      </c>
      <c r="I49" s="1">
        <f>IF(C49="", "", (B49-C49)*1000/(A49-A48))</f>
        <v/>
      </c>
      <c r="J49" s="1">
        <f>IF(I49="","",I49/F$2/10)</f>
        <v/>
      </c>
      <c r="K49" s="1">
        <f>IF(I49="","", 100*_xlfn.STDEV.P(I48:I49)/AVERAGE(I48:I49))</f>
        <v/>
      </c>
      <c r="L49" s="8">
        <f t="array" ref="L49">IF(I49="","", IFERROR(((IF(I$5&lt;&gt;"", I$5*A$5, 0) + SUMPRODUCT(--(I$6:I49&lt;&gt;""), I$6:I49, (A$6:A49-A$5:A48)))/1000), ""))</f>
        <v/>
      </c>
      <c r="M49" s="1">
        <f>M48+2</f>
        <v/>
      </c>
      <c r="N49" s="1">
        <f>O48</f>
        <v/>
      </c>
      <c r="Q49" t="inlineStr">
        <is>
          <t>200mL/10s/60s</t>
        </is>
      </c>
      <c r="U49" s="1">
        <f>IF(O49="", "", (N49-O49)*1000/(M49-M48))</f>
        <v/>
      </c>
      <c r="V49" s="1">
        <f>IF(U49="","",U49/R$2/10)</f>
        <v/>
      </c>
      <c r="W49" s="1">
        <f>IF(U49="","", 100*_xlfn.STDEV.P(U48:U49)/AVERAGE(U48:U49))</f>
        <v/>
      </c>
      <c r="X49" s="8">
        <f t="array" ref="X49">IF(U49="","", IFERROR(((IF(U$5&lt;&gt;"", U$5*M$5, 0) + SUMPRODUCT(--(U$6:U49&lt;&gt;""), U$6:U49, (M$6:M49-M$5:M48)))/1000), ""))</f>
        <v/>
      </c>
    </row>
    <row r="50">
      <c r="A50" s="1">
        <f>A49+2</f>
        <v/>
      </c>
      <c r="B50" s="1">
        <f>C49</f>
        <v/>
      </c>
      <c r="E50" t="inlineStr">
        <is>
          <t>200mL/10s/60s</t>
        </is>
      </c>
      <c r="I50" s="1">
        <f>IF(C50="", "", (B50-C50)*1000/(A50-A49))</f>
        <v/>
      </c>
      <c r="J50" s="1">
        <f>IF(I50="","",I50/F$2/10)</f>
        <v/>
      </c>
      <c r="K50" s="1">
        <f>IF(I50="","", 100*_xlfn.STDEV.P(I49:I50)/AVERAGE(I49:I50))</f>
        <v/>
      </c>
      <c r="L50" s="8">
        <f t="array" ref="L50">IF(I50="","", IFERROR(((IF(I$5&lt;&gt;"", I$5*A$5, 0) + SUMPRODUCT(--(I$6:I50&lt;&gt;""), I$6:I50, (A$6:A50-A$5:A49)))/1000), ""))</f>
        <v/>
      </c>
      <c r="M50" s="1">
        <f>M49+2</f>
        <v/>
      </c>
      <c r="N50" s="1">
        <f>O49</f>
        <v/>
      </c>
      <c r="Q50" t="inlineStr">
        <is>
          <t>200mL/10s/60s</t>
        </is>
      </c>
      <c r="U50" s="1">
        <f>IF(O50="", "", (N50-O50)*1000/(M50-M49))</f>
        <v/>
      </c>
      <c r="V50" s="1">
        <f>IF(U50="","",U50/R$2/10)</f>
        <v/>
      </c>
      <c r="W50" s="1">
        <f>IF(U50="","", 100*_xlfn.STDEV.P(U49:U50)/AVERAGE(U49:U50))</f>
        <v/>
      </c>
      <c r="X50" s="8">
        <f t="array" ref="X50">IF(U50="","", IFERROR(((IF(U$5&lt;&gt;"", U$5*M$5, 0) + SUMPRODUCT(--(U$6:U50&lt;&gt;""), U$6:U50, (M$6:M50-M$5:M49)))/1000), ""))</f>
        <v/>
      </c>
    </row>
    <row r="51">
      <c r="A51" s="1">
        <f>A50+2</f>
        <v/>
      </c>
      <c r="B51" s="1">
        <f>C50</f>
        <v/>
      </c>
      <c r="E51" t="inlineStr">
        <is>
          <t>200mL/10s/60s</t>
        </is>
      </c>
      <c r="I51" s="1">
        <f>IF(C51="", "", (B51-C51)*1000/(A51-A50))</f>
        <v/>
      </c>
      <c r="J51" s="1">
        <f>IF(I51="","",I51/F$2/10)</f>
        <v/>
      </c>
      <c r="K51" s="1">
        <f>IF(I51="","", 100*_xlfn.STDEV.P(I50:I51)/AVERAGE(I50:I51))</f>
        <v/>
      </c>
      <c r="L51" s="8">
        <f t="array" ref="L51">IF(I51="","", IFERROR(((IF(I$5&lt;&gt;"", I$5*A$5, 0) + SUMPRODUCT(--(I$6:I51&lt;&gt;""), I$6:I51, (A$6:A51-A$5:A50)))/1000), ""))</f>
        <v/>
      </c>
      <c r="M51" s="1">
        <f>M50+2</f>
        <v/>
      </c>
      <c r="N51" s="1">
        <f>O50</f>
        <v/>
      </c>
      <c r="Q51" t="inlineStr">
        <is>
          <t>200mL/10s/60s</t>
        </is>
      </c>
      <c r="U51" s="1">
        <f>IF(O51="", "", (N51-O51)*1000/(M51-M50))</f>
        <v/>
      </c>
      <c r="V51" s="1">
        <f>IF(U51="","",U51/R$2/10)</f>
        <v/>
      </c>
      <c r="W51" s="1">
        <f>IF(U51="","", 100*_xlfn.STDEV.P(U50:U51)/AVERAGE(U50:U51))</f>
        <v/>
      </c>
      <c r="X51" s="8">
        <f t="array" ref="X51">IF(U51="","", IFERROR(((IF(U$5&lt;&gt;"", U$5*M$5, 0) + SUMPRODUCT(--(U$6:U51&lt;&gt;""), U$6:U51, (M$6:M51-M$5:M50)))/1000), ""))</f>
        <v/>
      </c>
    </row>
    <row r="52">
      <c r="A52" s="1">
        <f>A51+2</f>
        <v/>
      </c>
      <c r="B52" s="1">
        <f>C51</f>
        <v/>
      </c>
      <c r="E52" t="inlineStr">
        <is>
          <t>200mL/10s/60s</t>
        </is>
      </c>
      <c r="I52" s="1">
        <f>IF(C52="", "", (B52-C52)*1000/(A52-A51))</f>
        <v/>
      </c>
      <c r="J52" s="1">
        <f>IF(I52="","",I52/F$2/10)</f>
        <v/>
      </c>
      <c r="K52" s="1">
        <f>IF(I52="","", 100*_xlfn.STDEV.P(I51:I52)/AVERAGE(I51:I52))</f>
        <v/>
      </c>
      <c r="L52" s="8">
        <f t="array" ref="L52">IF(I52="","", IFERROR(((IF(I$5&lt;&gt;"", I$5*A$5, 0) + SUMPRODUCT(--(I$6:I52&lt;&gt;""), I$6:I52, (A$6:A52-A$5:A51)))/1000), ""))</f>
        <v/>
      </c>
      <c r="M52" s="1">
        <f>M51+2</f>
        <v/>
      </c>
      <c r="N52" s="1">
        <f>O51</f>
        <v/>
      </c>
      <c r="Q52" t="inlineStr">
        <is>
          <t>200mL/10s/60s</t>
        </is>
      </c>
      <c r="U52" s="1">
        <f>IF(O52="", "", (N52-O52)*1000/(M52-M51))</f>
        <v/>
      </c>
      <c r="V52" s="1">
        <f>IF(U52="","",U52/R$2/10)</f>
        <v/>
      </c>
      <c r="W52" s="1">
        <f>IF(U52="","", 100*_xlfn.STDEV.P(U51:U52)/AVERAGE(U51:U52))</f>
        <v/>
      </c>
      <c r="X52" s="8">
        <f t="array" ref="X52">IF(U52="","", IFERROR(((IF(U$5&lt;&gt;"", U$5*M$5, 0) + SUMPRODUCT(--(U$6:U52&lt;&gt;""), U$6:U52, (M$6:M52-M$5:M51)))/1000), ""))</f>
        <v/>
      </c>
    </row>
    <row r="53">
      <c r="A53" s="1">
        <f>A52+2</f>
        <v/>
      </c>
      <c r="B53" s="1">
        <f>C52</f>
        <v/>
      </c>
      <c r="E53" t="inlineStr">
        <is>
          <t>200mL/10s/60s</t>
        </is>
      </c>
      <c r="I53" s="1">
        <f>IF(C53="", "", (B53-C53)*1000/(A53-A52))</f>
        <v/>
      </c>
      <c r="J53" s="1">
        <f>IF(I53="","",I53/F$2/10)</f>
        <v/>
      </c>
      <c r="K53" s="1">
        <f>IF(I53="","", 100*_xlfn.STDEV.P(I52:I53)/AVERAGE(I52:I53))</f>
        <v/>
      </c>
      <c r="L53" s="8">
        <f t="array" ref="L53">IF(I53="","", IFERROR(((IF(I$5&lt;&gt;"", I$5*A$5, 0) + SUMPRODUCT(--(I$6:I53&lt;&gt;""), I$6:I53, (A$6:A53-A$5:A52)))/1000), ""))</f>
        <v/>
      </c>
      <c r="M53" s="1">
        <f>M52+2</f>
        <v/>
      </c>
      <c r="N53" s="1">
        <f>O52</f>
        <v/>
      </c>
      <c r="Q53" t="inlineStr">
        <is>
          <t>200mL/10s/60s</t>
        </is>
      </c>
      <c r="U53" s="1">
        <f>IF(O53="", "", (N53-O53)*1000/(M53-M52))</f>
        <v/>
      </c>
      <c r="V53" s="1">
        <f>IF(U53="","",U53/R$2/10)</f>
        <v/>
      </c>
      <c r="W53" s="1">
        <f>IF(U53="","", 100*_xlfn.STDEV.P(U52:U53)/AVERAGE(U52:U53))</f>
        <v/>
      </c>
      <c r="X53" s="8">
        <f t="array" ref="X53">IF(U53="","", IFERROR(((IF(U$5&lt;&gt;"", U$5*M$5, 0) + SUMPRODUCT(--(U$6:U53&lt;&gt;""), U$6:U53, (M$6:M53-M$5:M52)))/1000), ""))</f>
        <v/>
      </c>
    </row>
    <row r="54">
      <c r="A54" s="1">
        <f>A53+2</f>
        <v/>
      </c>
      <c r="B54" s="1">
        <f>C53</f>
        <v/>
      </c>
      <c r="E54" t="inlineStr">
        <is>
          <t>200mL/10s/60s</t>
        </is>
      </c>
      <c r="I54" s="1">
        <f>IF(C54="", "", (B54-C54)*1000/(A54-A53))</f>
        <v/>
      </c>
      <c r="J54" s="1">
        <f>IF(I54="","",I54/F$2/10)</f>
        <v/>
      </c>
      <c r="K54" s="1">
        <f>IF(I54="","", 100*_xlfn.STDEV.P(I53:I54)/AVERAGE(I53:I54))</f>
        <v/>
      </c>
      <c r="L54" s="8">
        <f t="array" ref="L54">IF(I54="","", IFERROR(((IF(I$5&lt;&gt;"", I$5*A$5, 0) + SUMPRODUCT(--(I$6:I54&lt;&gt;""), I$6:I54, (A$6:A54-A$5:A53)))/1000), ""))</f>
        <v/>
      </c>
      <c r="M54" s="1">
        <f>M53+2</f>
        <v/>
      </c>
      <c r="N54" s="1">
        <f>O53</f>
        <v/>
      </c>
      <c r="Q54" t="inlineStr">
        <is>
          <t>200mL/10s/60s</t>
        </is>
      </c>
      <c r="U54" s="1">
        <f>IF(O54="", "", (N54-O54)*1000/(M54-M53))</f>
        <v/>
      </c>
      <c r="V54" s="1">
        <f>IF(U54="","",U54/R$2/10)</f>
        <v/>
      </c>
      <c r="W54" s="1">
        <f>IF(U54="","", 100*_xlfn.STDEV.P(U53:U54)/AVERAGE(U53:U54))</f>
        <v/>
      </c>
      <c r="X54" s="8">
        <f t="array" ref="X54">IF(U54="","", IFERROR(((IF(U$5&lt;&gt;"", U$5*M$5, 0) + SUMPRODUCT(--(U$6:U54&lt;&gt;""), U$6:U54, (M$6:M54-M$5:M53)))/1000), ""))</f>
        <v/>
      </c>
    </row>
    <row r="55">
      <c r="A55" s="1">
        <f>A54+2</f>
        <v/>
      </c>
      <c r="B55" s="1">
        <f>C54</f>
        <v/>
      </c>
      <c r="E55" t="inlineStr">
        <is>
          <t>200mL/10s/60s</t>
        </is>
      </c>
      <c r="I55" s="1">
        <f>IF(C55="", "", (B55-C55)*1000/(A55-A54))</f>
        <v/>
      </c>
      <c r="J55" s="1">
        <f>IF(I55="","",I55/F$2/10)</f>
        <v/>
      </c>
      <c r="K55" s="1">
        <f>IF(I55="","", 100*_xlfn.STDEV.P(I54:I55)/AVERAGE(I54:I55))</f>
        <v/>
      </c>
      <c r="L55" s="8">
        <f t="array" ref="L55">IF(I55="","", IFERROR(((IF(I$5&lt;&gt;"", I$5*A$5, 0) + SUMPRODUCT(--(I$6:I55&lt;&gt;""), I$6:I55, (A$6:A55-A$5:A54)))/1000), ""))</f>
        <v/>
      </c>
      <c r="M55" s="1">
        <f>M54+2</f>
        <v/>
      </c>
      <c r="N55" s="1">
        <f>O54</f>
        <v/>
      </c>
      <c r="Q55" t="inlineStr">
        <is>
          <t>200mL/10s/60s</t>
        </is>
      </c>
      <c r="U55" s="1">
        <f>IF(O55="", "", (N55-O55)*1000/(M55-M54))</f>
        <v/>
      </c>
      <c r="V55" s="1">
        <f>IF(U55="","",U55/R$2/10)</f>
        <v/>
      </c>
      <c r="W55" s="1">
        <f>IF(U55="","", 100*_xlfn.STDEV.P(U54:U55)/AVERAGE(U54:U55))</f>
        <v/>
      </c>
      <c r="X55" s="8">
        <f t="array" ref="X55">IF(U55="","", IFERROR(((IF(U$5&lt;&gt;"", U$5*M$5, 0) + SUMPRODUCT(--(U$6:U55&lt;&gt;""), U$6:U55, (M$6:M55-M$5:M54)))/1000), ""))</f>
        <v/>
      </c>
    </row>
    <row r="56">
      <c r="A56" s="1">
        <f>A55+2</f>
        <v/>
      </c>
      <c r="B56" s="1">
        <f>C55</f>
        <v/>
      </c>
      <c r="E56" t="inlineStr">
        <is>
          <t>200mL/10s/60s</t>
        </is>
      </c>
      <c r="I56" s="1">
        <f>IF(C56="", "", (B56-C56)*1000/(A56-A55))</f>
        <v/>
      </c>
      <c r="J56" s="1">
        <f>IF(I56="","",I56/F$2/10)</f>
        <v/>
      </c>
      <c r="K56" s="1">
        <f>IF(I56="","", 100*_xlfn.STDEV.P(I55:I56)/AVERAGE(I55:I56))</f>
        <v/>
      </c>
      <c r="L56" s="8">
        <f t="array" ref="L56">IF(I56="","", IFERROR(((IF(I$5&lt;&gt;"", I$5*A$5, 0) + SUMPRODUCT(--(I$6:I56&lt;&gt;""), I$6:I56, (A$6:A56-A$5:A55)))/1000), ""))</f>
        <v/>
      </c>
      <c r="M56" s="1">
        <f>M55+2</f>
        <v/>
      </c>
      <c r="N56" s="1">
        <f>O55</f>
        <v/>
      </c>
      <c r="Q56" t="inlineStr">
        <is>
          <t>200mL/10s/60s</t>
        </is>
      </c>
      <c r="U56" s="1">
        <f>IF(O56="", "", (N56-O56)*1000/(M56-M55))</f>
        <v/>
      </c>
      <c r="V56" s="1">
        <f>IF(U56="","",U56/R$2/10)</f>
        <v/>
      </c>
      <c r="W56" s="1">
        <f>IF(U56="","", 100*_xlfn.STDEV.P(U55:U56)/AVERAGE(U55:U56))</f>
        <v/>
      </c>
      <c r="X56" s="8">
        <f t="array" ref="X56">IF(U56="","", IFERROR(((IF(U$5&lt;&gt;"", U$5*M$5, 0) + SUMPRODUCT(--(U$6:U56&lt;&gt;""), U$6:U56, (M$6:M56-M$5:M55)))/1000), ""))</f>
        <v/>
      </c>
    </row>
    <row r="57">
      <c r="A57" s="1">
        <f>A56+2</f>
        <v/>
      </c>
      <c r="B57" s="1">
        <f>C56</f>
        <v/>
      </c>
      <c r="E57" t="inlineStr">
        <is>
          <t>200mL/10s/60s</t>
        </is>
      </c>
      <c r="I57" s="1">
        <f>IF(C57="", "", (B57-C57)*1000/(A57-A56))</f>
        <v/>
      </c>
      <c r="J57" s="1">
        <f>IF(I57="","",I57/F$2/10)</f>
        <v/>
      </c>
      <c r="K57" s="1">
        <f>IF(I57="","", 100*_xlfn.STDEV.P(I56:I57)/AVERAGE(I56:I57))</f>
        <v/>
      </c>
      <c r="L57" s="8">
        <f t="array" ref="L57">IF(I57="","", IFERROR(((IF(I$5&lt;&gt;"", I$5*A$5, 0) + SUMPRODUCT(--(I$6:I57&lt;&gt;""), I$6:I57, (A$6:A57-A$5:A56)))/1000), ""))</f>
        <v/>
      </c>
      <c r="M57" s="1">
        <f>M56+2</f>
        <v/>
      </c>
      <c r="N57" s="1">
        <f>O56</f>
        <v/>
      </c>
      <c r="Q57" t="inlineStr">
        <is>
          <t>200mL/10s/60s</t>
        </is>
      </c>
      <c r="U57" s="1">
        <f>IF(O57="", "", (N57-O57)*1000/(M57-M56))</f>
        <v/>
      </c>
      <c r="V57" s="1">
        <f>IF(U57="","",U57/R$2/10)</f>
        <v/>
      </c>
      <c r="W57" s="1">
        <f>IF(U57="","", 100*_xlfn.STDEV.P(U56:U57)/AVERAGE(U56:U57))</f>
        <v/>
      </c>
      <c r="X57" s="8">
        <f t="array" ref="X57">IF(U57="","", IFERROR(((IF(U$5&lt;&gt;"", U$5*M$5, 0) + SUMPRODUCT(--(U$6:U57&lt;&gt;""), U$6:U57, (M$6:M57-M$5:M56)))/1000), ""))</f>
        <v/>
      </c>
    </row>
    <row r="58">
      <c r="A58" s="1">
        <f>A57+2</f>
        <v/>
      </c>
      <c r="B58" s="1">
        <f>C57</f>
        <v/>
      </c>
      <c r="E58" t="inlineStr">
        <is>
          <t>200mL/10s/60s</t>
        </is>
      </c>
      <c r="I58" s="1">
        <f>IF(C58="", "", (B58-C58)*1000/(A58-A57))</f>
        <v/>
      </c>
      <c r="J58" s="1">
        <f>IF(I58="","",I58/F$2/10)</f>
        <v/>
      </c>
      <c r="K58" s="1">
        <f>IF(I58="","", 100*_xlfn.STDEV.P(I57:I58)/AVERAGE(I57:I58))</f>
        <v/>
      </c>
      <c r="L58" s="8">
        <f t="array" ref="L58">IF(I58="","", IFERROR(((IF(I$5&lt;&gt;"", I$5*A$5, 0) + SUMPRODUCT(--(I$6:I58&lt;&gt;""), I$6:I58, (A$6:A58-A$5:A57)))/1000), ""))</f>
        <v/>
      </c>
      <c r="M58" s="1">
        <f>M57+2</f>
        <v/>
      </c>
      <c r="N58" s="1">
        <f>O57</f>
        <v/>
      </c>
      <c r="Q58" t="inlineStr">
        <is>
          <t>200mL/10s/60s</t>
        </is>
      </c>
      <c r="U58" s="1">
        <f>IF(O58="", "", (N58-O58)*1000/(M58-M57))</f>
        <v/>
      </c>
      <c r="V58" s="1">
        <f>IF(U58="","",U58/R$2/10)</f>
        <v/>
      </c>
      <c r="W58" s="1">
        <f>IF(U58="","", 100*_xlfn.STDEV.P(U57:U58)/AVERAGE(U57:U58))</f>
        <v/>
      </c>
      <c r="X58" s="8">
        <f t="array" ref="X58">IF(U58="","", IFERROR(((IF(U$5&lt;&gt;"", U$5*M$5, 0) + SUMPRODUCT(--(U$6:U58&lt;&gt;""), U$6:U58, (M$6:M58-M$5:M57)))/1000), ""))</f>
        <v/>
      </c>
    </row>
    <row r="59">
      <c r="A59" s="1">
        <f>A58+2</f>
        <v/>
      </c>
      <c r="B59" s="1">
        <f>C58</f>
        <v/>
      </c>
      <c r="E59" t="inlineStr">
        <is>
          <t>200mL/10s/60s</t>
        </is>
      </c>
      <c r="I59" s="1">
        <f>IF(C59="", "", (B59-C59)*1000/(A59-A58))</f>
        <v/>
      </c>
      <c r="J59" s="1">
        <f>IF(I59="","",I59/F$2/10)</f>
        <v/>
      </c>
      <c r="K59" s="1">
        <f>IF(I59="","", 100*_xlfn.STDEV.P(I58:I59)/AVERAGE(I58:I59))</f>
        <v/>
      </c>
      <c r="L59" s="8">
        <f t="array" ref="L59">IF(I59="","", IFERROR(((IF(I$5&lt;&gt;"", I$5*A$5, 0) + SUMPRODUCT(--(I$6:I59&lt;&gt;""), I$6:I59, (A$6:A59-A$5:A58)))/1000), ""))</f>
        <v/>
      </c>
      <c r="M59" s="1">
        <f>M58+2</f>
        <v/>
      </c>
      <c r="N59" s="1">
        <f>O58</f>
        <v/>
      </c>
      <c r="Q59" t="inlineStr">
        <is>
          <t>200mL/10s/60s</t>
        </is>
      </c>
      <c r="U59" s="1">
        <f>IF(O59="", "", (N59-O59)*1000/(M59-M58))</f>
        <v/>
      </c>
      <c r="V59" s="1">
        <f>IF(U59="","",U59/R$2/10)</f>
        <v/>
      </c>
      <c r="W59" s="1">
        <f>IF(U59="","", 100*_xlfn.STDEV.P(U58:U59)/AVERAGE(U58:U59))</f>
        <v/>
      </c>
      <c r="X59" s="8">
        <f t="array" ref="X59">IF(U59="","", IFERROR(((IF(U$5&lt;&gt;"", U$5*M$5, 0) + SUMPRODUCT(--(U$6:U59&lt;&gt;""), U$6:U59, (M$6:M59-M$5:M58)))/1000), ""))</f>
        <v/>
      </c>
    </row>
    <row r="60">
      <c r="A60" s="1">
        <f>A59+2</f>
        <v/>
      </c>
      <c r="B60" s="1">
        <f>C59</f>
        <v/>
      </c>
      <c r="E60" t="inlineStr">
        <is>
          <t>200mL/10s/60s</t>
        </is>
      </c>
      <c r="I60" s="1">
        <f>IF(C60="", "", (B60-C60)*1000/(A60-A59))</f>
        <v/>
      </c>
      <c r="J60" s="1">
        <f>IF(I60="","",I60/F$2/10)</f>
        <v/>
      </c>
      <c r="K60" s="1">
        <f>IF(I60="","", 100*_xlfn.STDEV.P(I59:I60)/AVERAGE(I59:I60))</f>
        <v/>
      </c>
      <c r="L60" s="8">
        <f t="array" ref="L60">IF(I60="","", IFERROR(((IF(I$5&lt;&gt;"", I$5*A$5, 0) + SUMPRODUCT(--(I$6:I60&lt;&gt;""), I$6:I60, (A$6:A60-A$5:A59)))/1000), ""))</f>
        <v/>
      </c>
      <c r="M60" s="1">
        <f>M59+2</f>
        <v/>
      </c>
      <c r="N60" s="1">
        <f>O59</f>
        <v/>
      </c>
      <c r="Q60" t="inlineStr">
        <is>
          <t>200mL/10s/60s</t>
        </is>
      </c>
      <c r="U60" s="1">
        <f>IF(O60="", "", (N60-O60)*1000/(M60-M59))</f>
        <v/>
      </c>
      <c r="V60" s="1">
        <f>IF(U60="","",U60/R$2/10)</f>
        <v/>
      </c>
      <c r="W60" s="1">
        <f>IF(U60="","", 100*_xlfn.STDEV.P(U59:U60)/AVERAGE(U59:U60))</f>
        <v/>
      </c>
      <c r="X60" s="8">
        <f t="array" ref="X60">IF(U60="","", IFERROR(((IF(U$5&lt;&gt;"", U$5*M$5, 0) + SUMPRODUCT(--(U$6:U60&lt;&gt;""), U$6:U60, (M$6:M60-M$5:M59)))/1000), ""))</f>
        <v/>
      </c>
    </row>
    <row r="61">
      <c r="A61" s="1">
        <f>A60+2</f>
        <v/>
      </c>
      <c r="B61" s="1">
        <f>C60</f>
        <v/>
      </c>
      <c r="E61" t="inlineStr">
        <is>
          <t>200mL/10s/60s</t>
        </is>
      </c>
      <c r="I61" s="1">
        <f>IF(C61="", "", (B61-C61)*1000/(A61-A60))</f>
        <v/>
      </c>
      <c r="J61" s="1">
        <f>IF(I61="","",I61/F$2/10)</f>
        <v/>
      </c>
      <c r="K61" s="1">
        <f>IF(I61="","", 100*_xlfn.STDEV.P(I60:I61)/AVERAGE(I60:I61))</f>
        <v/>
      </c>
      <c r="L61" s="8">
        <f t="array" ref="L61">IF(I61="","", IFERROR(((IF(I$5&lt;&gt;"", I$5*A$5, 0) + SUMPRODUCT(--(I$6:I61&lt;&gt;""), I$6:I61, (A$6:A61-A$5:A60)))/1000), ""))</f>
        <v/>
      </c>
      <c r="M61" s="1">
        <f>M60+2</f>
        <v/>
      </c>
      <c r="N61" s="1">
        <f>O60</f>
        <v/>
      </c>
      <c r="Q61" t="inlineStr">
        <is>
          <t>200mL/10s/60s</t>
        </is>
      </c>
      <c r="U61" s="1">
        <f>IF(O61="", "", (N61-O61)*1000/(M61-M60))</f>
        <v/>
      </c>
      <c r="V61" s="1">
        <f>IF(U61="","",U61/R$2/10)</f>
        <v/>
      </c>
      <c r="W61" s="1">
        <f>IF(U61="","", 100*_xlfn.STDEV.P(U60:U61)/AVERAGE(U60:U61))</f>
        <v/>
      </c>
      <c r="X61" s="8">
        <f t="array" ref="X61">IF(U61="","", IFERROR(((IF(U$5&lt;&gt;"", U$5*M$5, 0) + SUMPRODUCT(--(U$6:U61&lt;&gt;""), U$6:U61, (M$6:M61-M$5:M60)))/1000), ""))</f>
        <v/>
      </c>
    </row>
    <row r="62">
      <c r="A62" s="1">
        <f>A61+2</f>
        <v/>
      </c>
      <c r="B62" s="1">
        <f>C61</f>
        <v/>
      </c>
      <c r="E62" t="inlineStr">
        <is>
          <t>200mL/10s/60s</t>
        </is>
      </c>
      <c r="I62" s="1">
        <f>IF(C62="", "", (B62-C62)*1000/(A62-A61))</f>
        <v/>
      </c>
      <c r="J62" s="1">
        <f>IF(I62="","",I62/F$2/10)</f>
        <v/>
      </c>
      <c r="K62" s="1">
        <f>IF(I62="","", 100*_xlfn.STDEV.P(I61:I62)/AVERAGE(I61:I62))</f>
        <v/>
      </c>
      <c r="L62" s="8">
        <f t="array" ref="L62">IF(I62="","", IFERROR(((IF(I$5&lt;&gt;"", I$5*A$5, 0) + SUMPRODUCT(--(I$6:I62&lt;&gt;""), I$6:I62, (A$6:A62-A$5:A61)))/1000), ""))</f>
        <v/>
      </c>
      <c r="M62" s="1">
        <f>M61+2</f>
        <v/>
      </c>
      <c r="N62" s="1">
        <f>O61</f>
        <v/>
      </c>
      <c r="Q62" t="inlineStr">
        <is>
          <t>200mL/10s/60s</t>
        </is>
      </c>
      <c r="U62" s="1">
        <f>IF(O62="", "", (N62-O62)*1000/(M62-M61))</f>
        <v/>
      </c>
      <c r="V62" s="1">
        <f>IF(U62="","",U62/R$2/10)</f>
        <v/>
      </c>
      <c r="W62" s="1">
        <f>IF(U62="","", 100*_xlfn.STDEV.P(U61:U62)/AVERAGE(U61:U62))</f>
        <v/>
      </c>
      <c r="X62" s="8">
        <f t="array" ref="X62">IF(U62="","", IFERROR(((IF(U$5&lt;&gt;"", U$5*M$5, 0) + SUMPRODUCT(--(U$6:U62&lt;&gt;""), U$6:U62, (M$6:M62-M$5:M61)))/1000), ""))</f>
        <v/>
      </c>
    </row>
    <row r="63">
      <c r="A63" s="1">
        <f>A62+2</f>
        <v/>
      </c>
      <c r="B63" s="1">
        <f>C62</f>
        <v/>
      </c>
      <c r="E63" t="inlineStr">
        <is>
          <t>200mL/10s/60s</t>
        </is>
      </c>
      <c r="I63" s="1">
        <f>IF(C63="", "", (B63-C63)*1000/(A63-A62))</f>
        <v/>
      </c>
      <c r="J63" s="1">
        <f>IF(I63="","",I63/F$2/10)</f>
        <v/>
      </c>
      <c r="K63" s="1">
        <f>IF(I63="","", 100*_xlfn.STDEV.P(I62:I63)/AVERAGE(I62:I63))</f>
        <v/>
      </c>
      <c r="L63" s="8">
        <f t="array" ref="L63">IF(I63="","", IFERROR(((IF(I$5&lt;&gt;"", I$5*A$5, 0) + SUMPRODUCT(--(I$6:I63&lt;&gt;""), I$6:I63, (A$6:A63-A$5:A62)))/1000), ""))</f>
        <v/>
      </c>
      <c r="M63" s="1">
        <f>M62+2</f>
        <v/>
      </c>
      <c r="N63" s="1">
        <f>O62</f>
        <v/>
      </c>
      <c r="Q63" t="inlineStr">
        <is>
          <t>200mL/10s/60s</t>
        </is>
      </c>
      <c r="U63" s="1">
        <f>IF(O63="", "", (N63-O63)*1000/(M63-M62))</f>
        <v/>
      </c>
      <c r="V63" s="1">
        <f>IF(U63="","",U63/R$2/10)</f>
        <v/>
      </c>
      <c r="W63" s="1">
        <f>IF(U63="","", 100*_xlfn.STDEV.P(U62:U63)/AVERAGE(U62:U63))</f>
        <v/>
      </c>
      <c r="X63" s="8">
        <f t="array" ref="X63">IF(U63="","", IFERROR(((IF(U$5&lt;&gt;"", U$5*M$5, 0) + SUMPRODUCT(--(U$6:U63&lt;&gt;""), U$6:U63, (M$6:M63-M$5:M62)))/1000), ""))</f>
        <v/>
      </c>
    </row>
    <row r="64">
      <c r="A64" s="1">
        <f>A63+2</f>
        <v/>
      </c>
      <c r="B64" s="1">
        <f>C63</f>
        <v/>
      </c>
      <c r="E64" t="inlineStr">
        <is>
          <t>200mL/10s/60s</t>
        </is>
      </c>
      <c r="I64" s="1">
        <f>IF(C64="", "", (B64-C64)*1000/(A64-A63))</f>
        <v/>
      </c>
      <c r="J64" s="1">
        <f>IF(I64="","",I64/F$2/10)</f>
        <v/>
      </c>
      <c r="K64" s="1">
        <f>IF(I64="","", 100*_xlfn.STDEV.P(I63:I64)/AVERAGE(I63:I64))</f>
        <v/>
      </c>
      <c r="L64" s="8">
        <f t="array" ref="L64">IF(I64="","", IFERROR(((IF(I$5&lt;&gt;"", I$5*A$5, 0) + SUMPRODUCT(--(I$6:I64&lt;&gt;""), I$6:I64, (A$6:A64-A$5:A63)))/1000), ""))</f>
        <v/>
      </c>
      <c r="M64" s="1">
        <f>M63+2</f>
        <v/>
      </c>
      <c r="N64" s="1">
        <f>O63</f>
        <v/>
      </c>
      <c r="Q64" t="inlineStr">
        <is>
          <t>200mL/10s/60s</t>
        </is>
      </c>
      <c r="U64" s="1">
        <f>IF(O64="", "", (N64-O64)*1000/(M64-M63))</f>
        <v/>
      </c>
      <c r="V64" s="1">
        <f>IF(U64="","",U64/R$2/10)</f>
        <v/>
      </c>
      <c r="W64" s="1">
        <f>IF(U64="","", 100*_xlfn.STDEV.P(U63:U64)/AVERAGE(U63:U64))</f>
        <v/>
      </c>
      <c r="X64" s="8">
        <f t="array" ref="X64">IF(U64="","", IFERROR(((IF(U$5&lt;&gt;"", U$5*M$5, 0) + SUMPRODUCT(--(U$6:U64&lt;&gt;""), U$6:U64, (M$6:M64-M$5:M63)))/1000), ""))</f>
        <v/>
      </c>
    </row>
    <row r="65">
      <c r="A65" s="1">
        <f>A64+2</f>
        <v/>
      </c>
      <c r="B65" s="1">
        <f>C64</f>
        <v/>
      </c>
      <c r="E65" t="inlineStr">
        <is>
          <t>200mL/10s/60s</t>
        </is>
      </c>
      <c r="I65" s="1">
        <f>IF(C65="", "", (B65-C65)*1000/(A65-A64))</f>
        <v/>
      </c>
      <c r="J65" s="1">
        <f>IF(I65="","",I65/F$2/10)</f>
        <v/>
      </c>
      <c r="K65" s="1">
        <f>IF(I65="","", 100*_xlfn.STDEV.P(I64:I65)/AVERAGE(I64:I65))</f>
        <v/>
      </c>
      <c r="L65" s="8">
        <f t="array" ref="L65">IF(I65="","", IFERROR(((IF(I$5&lt;&gt;"", I$5*A$5, 0) + SUMPRODUCT(--(I$6:I65&lt;&gt;""), I$6:I65, (A$6:A65-A$5:A64)))/1000), ""))</f>
        <v/>
      </c>
      <c r="M65" s="1">
        <f>M64+2</f>
        <v/>
      </c>
      <c r="N65" s="1">
        <f>O64</f>
        <v/>
      </c>
      <c r="Q65" t="inlineStr">
        <is>
          <t>200mL/10s/60s</t>
        </is>
      </c>
      <c r="U65" s="1">
        <f>IF(O65="", "", (N65-O65)*1000/(M65-M64))</f>
        <v/>
      </c>
      <c r="V65" s="1">
        <f>IF(U65="","",U65/R$2/10)</f>
        <v/>
      </c>
      <c r="W65" s="1">
        <f>IF(U65="","", 100*_xlfn.STDEV.P(U64:U65)/AVERAGE(U64:U65))</f>
        <v/>
      </c>
      <c r="X65" s="8">
        <f t="array" ref="X65">IF(U65="","", IFERROR(((IF(U$5&lt;&gt;"", U$5*M$5, 0) + SUMPRODUCT(--(U$6:U65&lt;&gt;""), U$6:U65, (M$6:M65-M$5:M64)))/1000), ""))</f>
        <v/>
      </c>
    </row>
    <row r="66">
      <c r="A66" s="1">
        <f>A65+2</f>
        <v/>
      </c>
      <c r="B66" s="1">
        <f>C65</f>
        <v/>
      </c>
      <c r="E66" t="inlineStr">
        <is>
          <t>200mL/10s/60s</t>
        </is>
      </c>
      <c r="I66" s="1">
        <f>IF(C66="", "", (B66-C66)*1000/(A66-A65))</f>
        <v/>
      </c>
      <c r="J66" s="1">
        <f>IF(I66="","",I66/F$2/10)</f>
        <v/>
      </c>
      <c r="K66" s="1">
        <f>IF(I66="","", 100*_xlfn.STDEV.P(I65:I66)/AVERAGE(I65:I66))</f>
        <v/>
      </c>
      <c r="L66" s="8">
        <f t="array" ref="L66">IF(I66="","", IFERROR(((IF(I$5&lt;&gt;"", I$5*A$5, 0) + SUMPRODUCT(--(I$6:I66&lt;&gt;""), I$6:I66, (A$6:A66-A$5:A65)))/1000), ""))</f>
        <v/>
      </c>
      <c r="M66" s="1">
        <f>M65+2</f>
        <v/>
      </c>
      <c r="N66" s="1">
        <f>O65</f>
        <v/>
      </c>
      <c r="Q66" t="inlineStr">
        <is>
          <t>200mL/10s/60s</t>
        </is>
      </c>
      <c r="U66" s="1">
        <f>IF(O66="", "", (N66-O66)*1000/(M66-M65))</f>
        <v/>
      </c>
      <c r="V66" s="1">
        <f>IF(U66="","",U66/R$2/10)</f>
        <v/>
      </c>
      <c r="W66" s="1">
        <f>IF(U66="","", 100*_xlfn.STDEV.P(U65:U66)/AVERAGE(U65:U66))</f>
        <v/>
      </c>
      <c r="X66" s="8">
        <f t="array" ref="X66">IF(U66="","", IFERROR(((IF(U$5&lt;&gt;"", U$5*M$5, 0) + SUMPRODUCT(--(U$6:U66&lt;&gt;""), U$6:U66, (M$6:M66-M$5:M65)))/1000), ""))</f>
        <v/>
      </c>
    </row>
    <row r="67">
      <c r="A67" s="1">
        <f>A66+2</f>
        <v/>
      </c>
      <c r="B67" s="1">
        <f>C66</f>
        <v/>
      </c>
      <c r="E67" t="inlineStr">
        <is>
          <t>200mL/10s/60s</t>
        </is>
      </c>
      <c r="I67" s="1">
        <f>IF(C67="", "", (B67-C67)*1000/(A67-A66))</f>
        <v/>
      </c>
      <c r="J67" s="1">
        <f>IF(I67="","",I67/F$2/10)</f>
        <v/>
      </c>
      <c r="K67" s="1">
        <f>IF(I67="","", 100*_xlfn.STDEV.P(I66:I67)/AVERAGE(I66:I67))</f>
        <v/>
      </c>
      <c r="L67" s="8">
        <f t="array" ref="L67">IF(I67="","", IFERROR(((IF(I$5&lt;&gt;"", I$5*A$5, 0) + SUMPRODUCT(--(I$6:I67&lt;&gt;""), I$6:I67, (A$6:A67-A$5:A66)))/1000), ""))</f>
        <v/>
      </c>
      <c r="M67" s="1">
        <f>M66+2</f>
        <v/>
      </c>
      <c r="N67" s="1">
        <f>O66</f>
        <v/>
      </c>
      <c r="Q67" t="inlineStr">
        <is>
          <t>200mL/10s/60s</t>
        </is>
      </c>
      <c r="U67" s="1">
        <f>IF(O67="", "", (N67-O67)*1000/(M67-M66))</f>
        <v/>
      </c>
      <c r="V67" s="1">
        <f>IF(U67="","",U67/R$2/10)</f>
        <v/>
      </c>
      <c r="W67" s="1">
        <f>IF(U67="","", 100*_xlfn.STDEV.P(U66:U67)/AVERAGE(U66:U67))</f>
        <v/>
      </c>
      <c r="X67" s="8">
        <f t="array" ref="X67">IF(U67="","", IFERROR(((IF(U$5&lt;&gt;"", U$5*M$5, 0) + SUMPRODUCT(--(U$6:U67&lt;&gt;""), U$6:U67, (M$6:M67-M$5:M66)))/1000), ""))</f>
        <v/>
      </c>
    </row>
    <row r="68">
      <c r="A68" s="1">
        <f>A67+2</f>
        <v/>
      </c>
      <c r="B68" s="1">
        <f>C67</f>
        <v/>
      </c>
      <c r="E68" t="inlineStr">
        <is>
          <t>200mL/10s/60s</t>
        </is>
      </c>
      <c r="I68" s="1">
        <f>IF(C68="", "", (B68-C68)*1000/(A68-A67))</f>
        <v/>
      </c>
      <c r="J68" s="1">
        <f>IF(I68="","",I68/F$2/10)</f>
        <v/>
      </c>
      <c r="K68" s="1">
        <f>IF(I68="","", 100*_xlfn.STDEV.P(I67:I68)/AVERAGE(I67:I68))</f>
        <v/>
      </c>
      <c r="L68" s="8">
        <f t="array" ref="L68">IF(I68="","", IFERROR(((IF(I$5&lt;&gt;"", I$5*A$5, 0) + SUMPRODUCT(--(I$6:I68&lt;&gt;""), I$6:I68, (A$6:A68-A$5:A67)))/1000), ""))</f>
        <v/>
      </c>
      <c r="M68" s="1">
        <f>M67+2</f>
        <v/>
      </c>
      <c r="N68" s="1">
        <f>O67</f>
        <v/>
      </c>
      <c r="Q68" t="inlineStr">
        <is>
          <t>200mL/10s/60s</t>
        </is>
      </c>
      <c r="U68" s="1">
        <f>IF(O68="", "", (N68-O68)*1000/(M68-M67))</f>
        <v/>
      </c>
      <c r="V68" s="1">
        <f>IF(U68="","",U68/R$2/10)</f>
        <v/>
      </c>
      <c r="W68" s="1">
        <f>IF(U68="","", 100*_xlfn.STDEV.P(U67:U68)/AVERAGE(U67:U68))</f>
        <v/>
      </c>
      <c r="X68" s="8">
        <f t="array" ref="X68">IF(U68="","", IFERROR(((IF(U$5&lt;&gt;"", U$5*M$5, 0) + SUMPRODUCT(--(U$6:U68&lt;&gt;""), U$6:U68, (M$6:M68-M$5:M67)))/1000), ""))</f>
        <v/>
      </c>
    </row>
    <row r="69">
      <c r="A69" s="1">
        <f>A68+2</f>
        <v/>
      </c>
      <c r="B69" s="1">
        <f>C68</f>
        <v/>
      </c>
      <c r="E69" t="inlineStr">
        <is>
          <t>200mL/10s/60s</t>
        </is>
      </c>
      <c r="I69" s="1">
        <f>IF(C69="", "", (B69-C69)*1000/(A69-A68))</f>
        <v/>
      </c>
      <c r="J69" s="1">
        <f>IF(I69="","",I69/F$2/10)</f>
        <v/>
      </c>
      <c r="K69" s="1">
        <f>IF(I69="","", 100*_xlfn.STDEV.P(I68:I69)/AVERAGE(I68:I69))</f>
        <v/>
      </c>
      <c r="L69" s="8">
        <f t="array" ref="L69">IF(I69="","", IFERROR(((IF(I$5&lt;&gt;"", I$5*A$5, 0) + SUMPRODUCT(--(I$6:I69&lt;&gt;""), I$6:I69, (A$6:A69-A$5:A68)))/1000), ""))</f>
        <v/>
      </c>
      <c r="M69" s="1">
        <f>M68+2</f>
        <v/>
      </c>
      <c r="N69" s="1">
        <f>O68</f>
        <v/>
      </c>
      <c r="Q69" t="inlineStr">
        <is>
          <t>200mL/10s/60s</t>
        </is>
      </c>
      <c r="U69" s="1">
        <f>IF(O69="", "", (N69-O69)*1000/(M69-M68))</f>
        <v/>
      </c>
      <c r="V69" s="1">
        <f>IF(U69="","",U69/R$2/10)</f>
        <v/>
      </c>
      <c r="W69" s="1">
        <f>IF(U69="","", 100*_xlfn.STDEV.P(U68:U69)/AVERAGE(U68:U69))</f>
        <v/>
      </c>
      <c r="X69" s="8">
        <f t="array" ref="X69">IF(U69="","", IFERROR(((IF(U$5&lt;&gt;"", U$5*M$5, 0) + SUMPRODUCT(--(U$6:U69&lt;&gt;""), U$6:U69, (M$6:M69-M$5:M68)))/1000), ""))</f>
        <v/>
      </c>
    </row>
    <row r="70">
      <c r="A70" s="1">
        <f>A69+2</f>
        <v/>
      </c>
      <c r="B70" s="1">
        <f>C69</f>
        <v/>
      </c>
      <c r="E70" t="inlineStr">
        <is>
          <t>200mL/10s/60s</t>
        </is>
      </c>
      <c r="I70" s="1">
        <f>IF(C70="", "", (B70-C70)*1000/(A70-A69))</f>
        <v/>
      </c>
      <c r="J70" s="1">
        <f>IF(I70="","",I70/F$2/10)</f>
        <v/>
      </c>
      <c r="K70" s="1">
        <f>IF(I70="","", 100*_xlfn.STDEV.P(I69:I70)/AVERAGE(I69:I70))</f>
        <v/>
      </c>
      <c r="L70" s="8">
        <f t="array" ref="L70">IF(I70="","", IFERROR(((IF(I$5&lt;&gt;"", I$5*A$5, 0) + SUMPRODUCT(--(I$6:I70&lt;&gt;""), I$6:I70, (A$6:A70-A$5:A69)))/1000), ""))</f>
        <v/>
      </c>
      <c r="M70" s="1">
        <f>M69+2</f>
        <v/>
      </c>
      <c r="N70" s="1">
        <f>O69</f>
        <v/>
      </c>
      <c r="Q70" t="inlineStr">
        <is>
          <t>200mL/10s/60s</t>
        </is>
      </c>
      <c r="U70" s="1">
        <f>IF(O70="", "", (N70-O70)*1000/(M70-M69))</f>
        <v/>
      </c>
      <c r="V70" s="1">
        <f>IF(U70="","",U70/R$2/10)</f>
        <v/>
      </c>
      <c r="W70" s="1">
        <f>IF(U70="","", 100*_xlfn.STDEV.P(U69:U70)/AVERAGE(U69:U70))</f>
        <v/>
      </c>
      <c r="X70" s="8">
        <f t="array" ref="X70">IF(U70="","", IFERROR(((IF(U$5&lt;&gt;"", U$5*M$5, 0) + SUMPRODUCT(--(U$6:U70&lt;&gt;""), U$6:U70, (M$6:M70-M$5:M69)))/1000), ""))</f>
        <v/>
      </c>
    </row>
    <row r="71">
      <c r="A71" s="1">
        <f>A70+2</f>
        <v/>
      </c>
      <c r="B71" s="1">
        <f>C70</f>
        <v/>
      </c>
      <c r="E71" t="inlineStr">
        <is>
          <t>200mL/10s/60s</t>
        </is>
      </c>
      <c r="I71" s="1">
        <f>IF(C71="", "", (B71-C71)*1000/(A71-A70))</f>
        <v/>
      </c>
      <c r="J71" s="1">
        <f>IF(I71="","",I71/F$2/10)</f>
        <v/>
      </c>
      <c r="K71" s="1">
        <f>IF(I71="","", 100*_xlfn.STDEV.P(I70:I71)/AVERAGE(I70:I71))</f>
        <v/>
      </c>
      <c r="L71" s="8">
        <f t="array" ref="L71">IF(I71="","", IFERROR(((IF(I$5&lt;&gt;"", I$5*A$5, 0) + SUMPRODUCT(--(I$6:I71&lt;&gt;""), I$6:I71, (A$6:A71-A$5:A70)))/1000), ""))</f>
        <v/>
      </c>
      <c r="M71" s="1">
        <f>M70+2</f>
        <v/>
      </c>
      <c r="N71" s="1">
        <f>O70</f>
        <v/>
      </c>
      <c r="Q71" t="inlineStr">
        <is>
          <t>200mL/10s/60s</t>
        </is>
      </c>
      <c r="U71" s="1">
        <f>IF(O71="", "", (N71-O71)*1000/(M71-M70))</f>
        <v/>
      </c>
      <c r="V71" s="1">
        <f>IF(U71="","",U71/R$2/10)</f>
        <v/>
      </c>
      <c r="W71" s="1">
        <f>IF(U71="","", 100*_xlfn.STDEV.P(U70:U71)/AVERAGE(U70:U71))</f>
        <v/>
      </c>
      <c r="X71" s="8">
        <f t="array" ref="X71">IF(U71="","", IFERROR(((IF(U$5&lt;&gt;"", U$5*M$5, 0) + SUMPRODUCT(--(U$6:U71&lt;&gt;""), U$6:U71, (M$6:M71-M$5:M70)))/1000), ""))</f>
        <v/>
      </c>
    </row>
    <row r="72">
      <c r="A72" s="1">
        <f>A71+2</f>
        <v/>
      </c>
      <c r="B72" s="1">
        <f>C71</f>
        <v/>
      </c>
      <c r="E72" t="inlineStr">
        <is>
          <t>200mL/10s/60s</t>
        </is>
      </c>
      <c r="I72" s="1">
        <f>IF(C72="", "", (B72-C72)*1000/(A72-A71))</f>
        <v/>
      </c>
      <c r="J72" s="1">
        <f>IF(I72="","",I72/F$2/10)</f>
        <v/>
      </c>
      <c r="K72" s="1">
        <f>IF(I72="","", 100*_xlfn.STDEV.P(I71:I72)/AVERAGE(I71:I72))</f>
        <v/>
      </c>
      <c r="L72" s="8">
        <f t="array" ref="L72">IF(I72="","", IFERROR(((IF(I$5&lt;&gt;"", I$5*A$5, 0) + SUMPRODUCT(--(I$6:I72&lt;&gt;""), I$6:I72, (A$6:A72-A$5:A71)))/1000), ""))</f>
        <v/>
      </c>
      <c r="M72" s="1">
        <f>M71+2</f>
        <v/>
      </c>
      <c r="N72" s="1">
        <f>O71</f>
        <v/>
      </c>
      <c r="Q72" t="inlineStr">
        <is>
          <t>200mL/10s/60s</t>
        </is>
      </c>
      <c r="U72" s="1">
        <f>IF(O72="", "", (N72-O72)*1000/(M72-M71))</f>
        <v/>
      </c>
      <c r="V72" s="1">
        <f>IF(U72="","",U72/R$2/10)</f>
        <v/>
      </c>
      <c r="W72" s="1">
        <f>IF(U72="","", 100*_xlfn.STDEV.P(U71:U72)/AVERAGE(U71:U72))</f>
        <v/>
      </c>
      <c r="X72" s="8">
        <f t="array" ref="X72">IF(U72="","", IFERROR(((IF(U$5&lt;&gt;"", U$5*M$5, 0) + SUMPRODUCT(--(U$6:U72&lt;&gt;""), U$6:U72, (M$6:M72-M$5:M71)))/1000), ""))</f>
        <v/>
      </c>
    </row>
    <row r="73">
      <c r="A73" s="1">
        <f>A72+2</f>
        <v/>
      </c>
      <c r="B73" s="1">
        <f>C72</f>
        <v/>
      </c>
      <c r="E73" t="inlineStr">
        <is>
          <t>200mL/10s/60s</t>
        </is>
      </c>
      <c r="I73" s="1">
        <f>IF(C73="", "", (B73-C73)*1000/(A73-A72))</f>
        <v/>
      </c>
      <c r="J73" s="1">
        <f>IF(I73="","",I73/F$2/10)</f>
        <v/>
      </c>
      <c r="K73" s="1">
        <f>IF(I73="","", 100*_xlfn.STDEV.P(I72:I73)/AVERAGE(I72:I73))</f>
        <v/>
      </c>
      <c r="L73" s="8">
        <f t="array" ref="L73">IF(I73="","", IFERROR(((IF(I$5&lt;&gt;"", I$5*A$5, 0) + SUMPRODUCT(--(I$6:I73&lt;&gt;""), I$6:I73, (A$6:A73-A$5:A72)))/1000), ""))</f>
        <v/>
      </c>
      <c r="M73" s="1">
        <f>M72+2</f>
        <v/>
      </c>
      <c r="N73" s="1">
        <f>O72</f>
        <v/>
      </c>
      <c r="Q73" t="inlineStr">
        <is>
          <t>200mL/10s/60s</t>
        </is>
      </c>
      <c r="U73" s="1">
        <f>IF(O73="", "", (N73-O73)*1000/(M73-M72))</f>
        <v/>
      </c>
      <c r="V73" s="1">
        <f>IF(U73="","",U73/R$2/10)</f>
        <v/>
      </c>
      <c r="W73" s="1">
        <f>IF(U73="","", 100*_xlfn.STDEV.P(U72:U73)/AVERAGE(U72:U73))</f>
        <v/>
      </c>
      <c r="X73" s="8">
        <f t="array" ref="X73">IF(U73="","", IFERROR(((IF(U$5&lt;&gt;"", U$5*M$5, 0) + SUMPRODUCT(--(U$6:U73&lt;&gt;""), U$6:U73, (M$6:M73-M$5:M72)))/1000), ""))</f>
        <v/>
      </c>
    </row>
    <row r="74">
      <c r="A74" s="1">
        <f>A73+2</f>
        <v/>
      </c>
      <c r="B74" s="1">
        <f>C73</f>
        <v/>
      </c>
      <c r="E74" t="inlineStr">
        <is>
          <t>200mL/10s/60s</t>
        </is>
      </c>
      <c r="I74" s="1">
        <f>IF(C74="", "", (B74-C74)*1000/(A74-A73))</f>
        <v/>
      </c>
      <c r="J74" s="1">
        <f>IF(I74="","",I74/F$2/10)</f>
        <v/>
      </c>
      <c r="K74" s="1">
        <f>IF(I74="","", 100*_xlfn.STDEV.P(I73:I74)/AVERAGE(I73:I74))</f>
        <v/>
      </c>
      <c r="L74" s="8">
        <f t="array" ref="L74">IF(I74="","", IFERROR(((IF(I$5&lt;&gt;"", I$5*A$5, 0) + SUMPRODUCT(--(I$6:I74&lt;&gt;""), I$6:I74, (A$6:A74-A$5:A73)))/1000), ""))</f>
        <v/>
      </c>
      <c r="M74" s="1">
        <f>M73+2</f>
        <v/>
      </c>
      <c r="N74" s="1">
        <f>O73</f>
        <v/>
      </c>
      <c r="Q74" t="inlineStr">
        <is>
          <t>200mL/10s/60s</t>
        </is>
      </c>
      <c r="U74" s="1">
        <f>IF(O74="", "", (N74-O74)*1000/(M74-M73))</f>
        <v/>
      </c>
      <c r="V74" s="1">
        <f>IF(U74="","",U74/R$2/10)</f>
        <v/>
      </c>
      <c r="W74" s="1">
        <f>IF(U74="","", 100*_xlfn.STDEV.P(U73:U74)/AVERAGE(U73:U74))</f>
        <v/>
      </c>
      <c r="X74" s="8">
        <f t="array" ref="X74">IF(U74="","", IFERROR(((IF(U$5&lt;&gt;"", U$5*M$5, 0) + SUMPRODUCT(--(U$6:U74&lt;&gt;""), U$6:U74, (M$6:M74-M$5:M73)))/1000), ""))</f>
        <v/>
      </c>
    </row>
    <row r="75">
      <c r="A75" s="1">
        <f>A74+2</f>
        <v/>
      </c>
      <c r="B75" s="1">
        <f>C74</f>
        <v/>
      </c>
      <c r="E75" t="inlineStr">
        <is>
          <t>200mL/10s/60s</t>
        </is>
      </c>
      <c r="I75" s="1">
        <f>IF(C75="", "", (B75-C75)*1000/(A75-A74))</f>
        <v/>
      </c>
      <c r="J75" s="1">
        <f>IF(I75="","",I75/F$2/10)</f>
        <v/>
      </c>
      <c r="K75" s="1">
        <f>IF(I75="","", 100*_xlfn.STDEV.P(I74:I75)/AVERAGE(I74:I75))</f>
        <v/>
      </c>
      <c r="L75" s="8">
        <f t="array" ref="L75">IF(I75="","", IFERROR(((IF(I$5&lt;&gt;"", I$5*A$5, 0) + SUMPRODUCT(--(I$6:I75&lt;&gt;""), I$6:I75, (A$6:A75-A$5:A74)))/1000), ""))</f>
        <v/>
      </c>
      <c r="M75" s="1">
        <f>M74+2</f>
        <v/>
      </c>
      <c r="N75" s="1">
        <f>O74</f>
        <v/>
      </c>
      <c r="Q75" t="inlineStr">
        <is>
          <t>200mL/10s/60s</t>
        </is>
      </c>
      <c r="U75" s="1">
        <f>IF(O75="", "", (N75-O75)*1000/(M75-M74))</f>
        <v/>
      </c>
      <c r="V75" s="1">
        <f>IF(U75="","",U75/R$2/10)</f>
        <v/>
      </c>
      <c r="W75" s="1">
        <f>IF(U75="","", 100*_xlfn.STDEV.P(U74:U75)/AVERAGE(U74:U75))</f>
        <v/>
      </c>
      <c r="X75" s="8">
        <f t="array" ref="X75">IF(U75="","", IFERROR(((IF(U$5&lt;&gt;"", U$5*M$5, 0) + SUMPRODUCT(--(U$6:U75&lt;&gt;""), U$6:U75, (M$6:M75-M$5:M74)))/1000), ""))</f>
        <v/>
      </c>
    </row>
    <row r="76">
      <c r="A76" s="1">
        <f>A75+2</f>
        <v/>
      </c>
      <c r="B76" s="1">
        <f>C75</f>
        <v/>
      </c>
      <c r="E76" t="inlineStr">
        <is>
          <t>200mL/10s/60s</t>
        </is>
      </c>
      <c r="I76" s="1">
        <f>IF(C76="", "", (B76-C76)*1000/(A76-A75))</f>
        <v/>
      </c>
      <c r="J76" s="1">
        <f>IF(I76="","",I76/F$2/10)</f>
        <v/>
      </c>
      <c r="K76" s="1">
        <f>IF(I76="","", 100*_xlfn.STDEV.P(I75:I76)/AVERAGE(I75:I76))</f>
        <v/>
      </c>
      <c r="L76" s="8">
        <f t="array" ref="L76">IF(I76="","", IFERROR(((IF(I$5&lt;&gt;"", I$5*A$5, 0) + SUMPRODUCT(--(I$6:I76&lt;&gt;""), I$6:I76, (A$6:A76-A$5:A75)))/1000), ""))</f>
        <v/>
      </c>
      <c r="M76" s="1">
        <f>M75+2</f>
        <v/>
      </c>
      <c r="N76" s="1">
        <f>O75</f>
        <v/>
      </c>
      <c r="Q76" t="inlineStr">
        <is>
          <t>200mL/10s/60s</t>
        </is>
      </c>
      <c r="U76" s="1">
        <f>IF(O76="", "", (N76-O76)*1000/(M76-M75))</f>
        <v/>
      </c>
      <c r="V76" s="1">
        <f>IF(U76="","",U76/R$2/10)</f>
        <v/>
      </c>
      <c r="W76" s="1">
        <f>IF(U76="","", 100*_xlfn.STDEV.P(U75:U76)/AVERAGE(U75:U76))</f>
        <v/>
      </c>
      <c r="X76" s="8">
        <f t="array" ref="X76">IF(U76="","", IFERROR(((IF(U$5&lt;&gt;"", U$5*M$5, 0) + SUMPRODUCT(--(U$6:U76&lt;&gt;""), U$6:U76, (M$6:M76-M$5:M75)))/1000), ""))</f>
        <v/>
      </c>
    </row>
    <row r="77">
      <c r="A77" s="1">
        <f>A76+2</f>
        <v/>
      </c>
      <c r="B77" s="1">
        <f>C76</f>
        <v/>
      </c>
      <c r="E77" t="inlineStr">
        <is>
          <t>200mL/10s/60s</t>
        </is>
      </c>
      <c r="I77" s="1">
        <f>IF(C77="", "", (B77-C77)*1000/(A77-A76))</f>
        <v/>
      </c>
      <c r="J77" s="1">
        <f>IF(I77="","",I77/F$2/10)</f>
        <v/>
      </c>
      <c r="K77" s="1">
        <f>IF(I77="","", 100*_xlfn.STDEV.P(I76:I77)/AVERAGE(I76:I77))</f>
        <v/>
      </c>
      <c r="L77" s="8">
        <f t="array" ref="L77">IF(I77="","", IFERROR(((IF(I$5&lt;&gt;"", I$5*A$5, 0) + SUMPRODUCT(--(I$6:I77&lt;&gt;""), I$6:I77, (A$6:A77-A$5:A76)))/1000), ""))</f>
        <v/>
      </c>
      <c r="M77" s="1">
        <f>M76+2</f>
        <v/>
      </c>
      <c r="N77" s="1">
        <f>O76</f>
        <v/>
      </c>
      <c r="Q77" t="inlineStr">
        <is>
          <t>200mL/10s/60s</t>
        </is>
      </c>
      <c r="U77" s="1">
        <f>IF(O77="", "", (N77-O77)*1000/(M77-M76))</f>
        <v/>
      </c>
      <c r="V77" s="1">
        <f>IF(U77="","",U77/R$2/10)</f>
        <v/>
      </c>
      <c r="W77" s="1">
        <f>IF(U77="","", 100*_xlfn.STDEV.P(U76:U77)/AVERAGE(U76:U77))</f>
        <v/>
      </c>
      <c r="X77" s="8">
        <f t="array" ref="X77">IF(U77="","", IFERROR(((IF(U$5&lt;&gt;"", U$5*M$5, 0) + SUMPRODUCT(--(U$6:U77&lt;&gt;""), U$6:U77, (M$6:M77-M$5:M76)))/1000), ""))</f>
        <v/>
      </c>
    </row>
    <row r="78">
      <c r="A78" s="1">
        <f>A77+2</f>
        <v/>
      </c>
      <c r="B78" s="1">
        <f>C77</f>
        <v/>
      </c>
      <c r="E78" t="inlineStr">
        <is>
          <t>200mL/10s/60s</t>
        </is>
      </c>
      <c r="I78" s="1">
        <f>IF(C78="", "", (B78-C78)*1000/(A78-A77))</f>
        <v/>
      </c>
      <c r="J78" s="1">
        <f>IF(I78="","",I78/F$2/10)</f>
        <v/>
      </c>
      <c r="K78" s="1">
        <f>IF(I78="","", 100*_xlfn.STDEV.P(I77:I78)/AVERAGE(I77:I78))</f>
        <v/>
      </c>
      <c r="L78" s="8">
        <f t="array" ref="L78">IF(I78="","", IFERROR(((IF(I$5&lt;&gt;"", I$5*A$5, 0) + SUMPRODUCT(--(I$6:I78&lt;&gt;""), I$6:I78, (A$6:A78-A$5:A77)))/1000), ""))</f>
        <v/>
      </c>
      <c r="M78" s="1">
        <f>M77+2</f>
        <v/>
      </c>
      <c r="N78" s="1">
        <f>O77</f>
        <v/>
      </c>
      <c r="Q78" t="inlineStr">
        <is>
          <t>200mL/10s/60s</t>
        </is>
      </c>
      <c r="U78" s="1">
        <f>IF(O78="", "", (N78-O78)*1000/(M78-M77))</f>
        <v/>
      </c>
      <c r="V78" s="1">
        <f>IF(U78="","",U78/R$2/10)</f>
        <v/>
      </c>
      <c r="W78" s="1">
        <f>IF(U78="","", 100*_xlfn.STDEV.P(U77:U78)/AVERAGE(U77:U78))</f>
        <v/>
      </c>
      <c r="X78" s="8">
        <f t="array" ref="X78">IF(U78="","", IFERROR(((IF(U$5&lt;&gt;"", U$5*M$5, 0) + SUMPRODUCT(--(U$6:U78&lt;&gt;""), U$6:U78, (M$6:M78-M$5:M77)))/1000), ""))</f>
        <v/>
      </c>
    </row>
    <row r="79">
      <c r="A79" s="1">
        <f>A78+2</f>
        <v/>
      </c>
      <c r="B79" s="1">
        <f>C78</f>
        <v/>
      </c>
      <c r="E79" t="inlineStr">
        <is>
          <t>200mL/10s/60s</t>
        </is>
      </c>
      <c r="I79" s="1">
        <f>IF(C79="", "", (B79-C79)*1000/(A79-A78))</f>
        <v/>
      </c>
      <c r="J79" s="1">
        <f>IF(I79="","",I79/F$2/10)</f>
        <v/>
      </c>
      <c r="K79" s="1">
        <f>IF(I79="","", 100*_xlfn.STDEV.P(I78:I79)/AVERAGE(I78:I79))</f>
        <v/>
      </c>
      <c r="L79" s="8">
        <f t="array" ref="L79">IF(I79="","", IFERROR(((IF(I$5&lt;&gt;"", I$5*A$5, 0) + SUMPRODUCT(--(I$6:I79&lt;&gt;""), I$6:I79, (A$6:A79-A$5:A78)))/1000), ""))</f>
        <v/>
      </c>
      <c r="M79" s="1">
        <f>M78+2</f>
        <v/>
      </c>
      <c r="N79" s="1">
        <f>O78</f>
        <v/>
      </c>
      <c r="Q79" t="inlineStr">
        <is>
          <t>200mL/10s/60s</t>
        </is>
      </c>
      <c r="U79" s="1">
        <f>IF(O79="", "", (N79-O79)*1000/(M79-M78))</f>
        <v/>
      </c>
      <c r="V79" s="1">
        <f>IF(U79="","",U79/R$2/10)</f>
        <v/>
      </c>
      <c r="W79" s="1">
        <f>IF(U79="","", 100*_xlfn.STDEV.P(U78:U79)/AVERAGE(U78:U79))</f>
        <v/>
      </c>
      <c r="X79" s="8">
        <f t="array" ref="X79">IF(U79="","", IFERROR(((IF(U$5&lt;&gt;"", U$5*M$5, 0) + SUMPRODUCT(--(U$6:U79&lt;&gt;""), U$6:U79, (M$6:M79-M$5:M78)))/1000), ""))</f>
        <v/>
      </c>
    </row>
    <row r="80">
      <c r="A80" s="1">
        <f>A79+2</f>
        <v/>
      </c>
      <c r="B80" s="1">
        <f>C79</f>
        <v/>
      </c>
      <c r="E80" t="inlineStr">
        <is>
          <t>200mL/10s/60s</t>
        </is>
      </c>
      <c r="I80" s="1">
        <f>IF(C80="", "", (B80-C80)*1000/(A80-A79))</f>
        <v/>
      </c>
      <c r="J80" s="1">
        <f>IF(I80="","",I80/F$2/10)</f>
        <v/>
      </c>
      <c r="K80" s="1">
        <f>IF(I80="","", 100*_xlfn.STDEV.P(I79:I80)/AVERAGE(I79:I80))</f>
        <v/>
      </c>
      <c r="L80" s="8">
        <f t="array" ref="L80">IF(I80="","", IFERROR(((IF(I$5&lt;&gt;"", I$5*A$5, 0) + SUMPRODUCT(--(I$6:I80&lt;&gt;""), I$6:I80, (A$6:A80-A$5:A79)))/1000), ""))</f>
        <v/>
      </c>
      <c r="M80" s="1">
        <f>M79+2</f>
        <v/>
      </c>
      <c r="N80" s="1">
        <f>O79</f>
        <v/>
      </c>
      <c r="Q80" t="inlineStr">
        <is>
          <t>200mL/10s/60s</t>
        </is>
      </c>
      <c r="U80" s="1">
        <f>IF(O80="", "", (N80-O80)*1000/(M80-M79))</f>
        <v/>
      </c>
      <c r="V80" s="1">
        <f>IF(U80="","",U80/R$2/10)</f>
        <v/>
      </c>
      <c r="W80" s="1">
        <f>IF(U80="","", 100*_xlfn.STDEV.P(U79:U80)/AVERAGE(U79:U80))</f>
        <v/>
      </c>
      <c r="X80" s="8">
        <f t="array" ref="X80">IF(U80="","", IFERROR(((IF(U$5&lt;&gt;"", U$5*M$5, 0) + SUMPRODUCT(--(U$6:U80&lt;&gt;""), U$6:U80, (M$6:M80-M$5:M79)))/1000), ""))</f>
        <v/>
      </c>
    </row>
    <row r="81">
      <c r="A81" s="1">
        <f>A80+2</f>
        <v/>
      </c>
      <c r="B81" s="1">
        <f>C80</f>
        <v/>
      </c>
      <c r="E81" t="inlineStr">
        <is>
          <t>200mL/10s/60s</t>
        </is>
      </c>
      <c r="I81" s="1">
        <f>IF(C81="", "", (B81-C81)*1000/(A81-A80))</f>
        <v/>
      </c>
      <c r="J81" s="1">
        <f>IF(I81="","",I81/F$2/10)</f>
        <v/>
      </c>
      <c r="K81" s="1">
        <f>IF(I81="","", 100*_xlfn.STDEV.P(I80:I81)/AVERAGE(I80:I81))</f>
        <v/>
      </c>
      <c r="L81" s="8">
        <f t="array" ref="L81">IF(I81="","", IFERROR(((IF(I$5&lt;&gt;"", I$5*A$5, 0) + SUMPRODUCT(--(I$6:I81&lt;&gt;""), I$6:I81, (A$6:A81-A$5:A80)))/1000), ""))</f>
        <v/>
      </c>
      <c r="M81" s="1">
        <f>M80+2</f>
        <v/>
      </c>
      <c r="N81" s="1">
        <f>O80</f>
        <v/>
      </c>
      <c r="Q81" t="inlineStr">
        <is>
          <t>200mL/10s/60s</t>
        </is>
      </c>
      <c r="U81" s="1">
        <f>IF(O81="", "", (N81-O81)*1000/(M81-M80))</f>
        <v/>
      </c>
      <c r="V81" s="1">
        <f>IF(U81="","",U81/R$2/10)</f>
        <v/>
      </c>
      <c r="W81" s="1">
        <f>IF(U81="","", 100*_xlfn.STDEV.P(U80:U81)/AVERAGE(U80:U81))</f>
        <v/>
      </c>
      <c r="X81" s="8">
        <f t="array" ref="X81">IF(U81="","", IFERROR(((IF(U$5&lt;&gt;"", U$5*M$5, 0) + SUMPRODUCT(--(U$6:U81&lt;&gt;""), U$6:U81, (M$6:M81-M$5:M80)))/1000), ""))</f>
        <v/>
      </c>
    </row>
    <row r="82">
      <c r="A82" s="1">
        <f>A81+2</f>
        <v/>
      </c>
      <c r="B82" s="1">
        <f>C81</f>
        <v/>
      </c>
      <c r="E82" t="inlineStr">
        <is>
          <t>200mL/10s/60s</t>
        </is>
      </c>
      <c r="I82" s="1">
        <f>IF(C82="", "", (B82-C82)*1000/(A82-A81))</f>
        <v/>
      </c>
      <c r="J82" s="1">
        <f>IF(I82="","",I82/F$2/10)</f>
        <v/>
      </c>
      <c r="K82" s="1">
        <f>IF(I82="","", 100*_xlfn.STDEV.P(I81:I82)/AVERAGE(I81:I82))</f>
        <v/>
      </c>
      <c r="L82" s="8">
        <f t="array" ref="L82">IF(I82="","", IFERROR(((IF(I$5&lt;&gt;"", I$5*A$5, 0) + SUMPRODUCT(--(I$6:I82&lt;&gt;""), I$6:I82, (A$6:A82-A$5:A81)))/1000), ""))</f>
        <v/>
      </c>
      <c r="M82" s="1">
        <f>M81+2</f>
        <v/>
      </c>
      <c r="N82" s="1">
        <f>O81</f>
        <v/>
      </c>
      <c r="Q82" t="inlineStr">
        <is>
          <t>200mL/10s/60s</t>
        </is>
      </c>
      <c r="U82" s="1">
        <f>IF(O82="", "", (N82-O82)*1000/(M82-M81))</f>
        <v/>
      </c>
      <c r="V82" s="1">
        <f>IF(U82="","",U82/R$2/10)</f>
        <v/>
      </c>
      <c r="W82" s="1">
        <f>IF(U82="","", 100*_xlfn.STDEV.P(U81:U82)/AVERAGE(U81:U82))</f>
        <v/>
      </c>
      <c r="X82" s="8">
        <f t="array" ref="X82">IF(U82="","", IFERROR(((IF(U$5&lt;&gt;"", U$5*M$5, 0) + SUMPRODUCT(--(U$6:U82&lt;&gt;""), U$6:U82, (M$6:M82-M$5:M81)))/1000), ""))</f>
        <v/>
      </c>
    </row>
    <row r="83">
      <c r="A83" s="1">
        <f>A82+2</f>
        <v/>
      </c>
      <c r="B83" s="1">
        <f>C82</f>
        <v/>
      </c>
      <c r="E83" t="inlineStr">
        <is>
          <t>200mL/10s/60s</t>
        </is>
      </c>
      <c r="I83" s="1">
        <f>IF(C83="", "", (B83-C83)*1000/(A83-A82))</f>
        <v/>
      </c>
      <c r="J83" s="1">
        <f>IF(I83="","",I83/F$2/10)</f>
        <v/>
      </c>
      <c r="K83" s="1">
        <f>IF(I83="","", 100*_xlfn.STDEV.P(I82:I83)/AVERAGE(I82:I83))</f>
        <v/>
      </c>
      <c r="L83" s="8">
        <f t="array" ref="L83">IF(I83="","", IFERROR(((IF(I$5&lt;&gt;"", I$5*A$5, 0) + SUMPRODUCT(--(I$6:I83&lt;&gt;""), I$6:I83, (A$6:A83-A$5:A82)))/1000), ""))</f>
        <v/>
      </c>
      <c r="M83" s="1">
        <f>M82+2</f>
        <v/>
      </c>
      <c r="N83" s="1">
        <f>O82</f>
        <v/>
      </c>
      <c r="Q83" t="inlineStr">
        <is>
          <t>200mL/10s/60s</t>
        </is>
      </c>
      <c r="U83" s="1">
        <f>IF(O83="", "", (N83-O83)*1000/(M83-M82))</f>
        <v/>
      </c>
      <c r="V83" s="1">
        <f>IF(U83="","",U83/R$2/10)</f>
        <v/>
      </c>
      <c r="W83" s="1">
        <f>IF(U83="","", 100*_xlfn.STDEV.P(U82:U83)/AVERAGE(U82:U83))</f>
        <v/>
      </c>
      <c r="X83" s="8">
        <f t="array" ref="X83">IF(U83="","", IFERROR(((IF(U$5&lt;&gt;"", U$5*M$5, 0) + SUMPRODUCT(--(U$6:U83&lt;&gt;""), U$6:U83, (M$6:M83-M$5:M82)))/1000), ""))</f>
        <v/>
      </c>
    </row>
    <row r="84">
      <c r="A84" s="1">
        <f>A83+2</f>
        <v/>
      </c>
      <c r="B84" s="1">
        <f>C83</f>
        <v/>
      </c>
      <c r="E84" t="inlineStr">
        <is>
          <t>200mL/10s/60s</t>
        </is>
      </c>
      <c r="I84" s="1">
        <f>IF(C84="", "", (B84-C84)*1000/(A84-A83))</f>
        <v/>
      </c>
      <c r="J84" s="1">
        <f>IF(I84="","",I84/F$2/10)</f>
        <v/>
      </c>
      <c r="K84" s="1">
        <f>IF(I84="","", 100*_xlfn.STDEV.P(I83:I84)/AVERAGE(I83:I84))</f>
        <v/>
      </c>
      <c r="L84" s="8">
        <f t="array" ref="L84">IF(I84="","", IFERROR(((IF(I$5&lt;&gt;"", I$5*A$5, 0) + SUMPRODUCT(--(I$6:I84&lt;&gt;""), I$6:I84, (A$6:A84-A$5:A83)))/1000), ""))</f>
        <v/>
      </c>
      <c r="M84" s="1">
        <f>M83+2</f>
        <v/>
      </c>
      <c r="N84" s="1">
        <f>O83</f>
        <v/>
      </c>
      <c r="Q84" t="inlineStr">
        <is>
          <t>200mL/10s/60s</t>
        </is>
      </c>
      <c r="U84" s="1">
        <f>IF(O84="", "", (N84-O84)*1000/(M84-M83))</f>
        <v/>
      </c>
      <c r="V84" s="1">
        <f>IF(U84="","",U84/R$2/10)</f>
        <v/>
      </c>
      <c r="W84" s="1">
        <f>IF(U84="","", 100*_xlfn.STDEV.P(U83:U84)/AVERAGE(U83:U84))</f>
        <v/>
      </c>
      <c r="X84" s="8">
        <f t="array" ref="X84">IF(U84="","", IFERROR(((IF(U$5&lt;&gt;"", U$5*M$5, 0) + SUMPRODUCT(--(U$6:U84&lt;&gt;""), U$6:U84, (M$6:M84-M$5:M83)))/1000), ""))</f>
        <v/>
      </c>
    </row>
    <row r="85">
      <c r="A85" s="1">
        <f>A84+2</f>
        <v/>
      </c>
      <c r="B85" s="1">
        <f>C84</f>
        <v/>
      </c>
      <c r="E85" t="inlineStr">
        <is>
          <t>200mL/10s/60s</t>
        </is>
      </c>
      <c r="I85" s="1">
        <f>IF(C85="", "", (B85-C85)*1000/(A85-A84))</f>
        <v/>
      </c>
      <c r="J85" s="1">
        <f>IF(I85="","",I85/F$2/10)</f>
        <v/>
      </c>
      <c r="K85" s="1">
        <f>IF(I85="","", 100*_xlfn.STDEV.P(I84:I85)/AVERAGE(I84:I85))</f>
        <v/>
      </c>
      <c r="L85" s="8">
        <f t="array" ref="L85">IF(I85="","", IFERROR(((IF(I$5&lt;&gt;"", I$5*A$5, 0) + SUMPRODUCT(--(I$6:I85&lt;&gt;""), I$6:I85, (A$6:A85-A$5:A84)))/1000), ""))</f>
        <v/>
      </c>
      <c r="M85" s="1">
        <f>M84+2</f>
        <v/>
      </c>
      <c r="N85" s="1">
        <f>O84</f>
        <v/>
      </c>
      <c r="Q85" t="inlineStr">
        <is>
          <t>200mL/10s/60s</t>
        </is>
      </c>
      <c r="U85" s="1">
        <f>IF(O85="", "", (N85-O85)*1000/(M85-M84))</f>
        <v/>
      </c>
      <c r="V85" s="1">
        <f>IF(U85="","",U85/R$2/10)</f>
        <v/>
      </c>
      <c r="W85" s="1">
        <f>IF(U85="","", 100*_xlfn.STDEV.P(U84:U85)/AVERAGE(U84:U85))</f>
        <v/>
      </c>
      <c r="X85" s="8">
        <f t="array" ref="X85">IF(U85="","", IFERROR(((IF(U$5&lt;&gt;"", U$5*M$5, 0) + SUMPRODUCT(--(U$6:U85&lt;&gt;""), U$6:U85, (M$6:M85-M$5:M84)))/1000), ""))</f>
        <v/>
      </c>
    </row>
    <row r="86">
      <c r="A86" s="1">
        <f>A85+2</f>
        <v/>
      </c>
      <c r="B86" s="1">
        <f>C85</f>
        <v/>
      </c>
      <c r="E86" t="inlineStr">
        <is>
          <t>200mL/10s/60s</t>
        </is>
      </c>
      <c r="I86" s="1">
        <f>IF(C86="", "", (B86-C86)*1000/(A86-A85))</f>
        <v/>
      </c>
      <c r="J86" s="1">
        <f>IF(I86="","",I86/F$2/10)</f>
        <v/>
      </c>
      <c r="K86" s="1">
        <f>IF(I86="","", 100*_xlfn.STDEV.P(I85:I86)/AVERAGE(I85:I86))</f>
        <v/>
      </c>
      <c r="L86" s="8">
        <f t="array" ref="L86">IF(I86="","", IFERROR(((IF(I$5&lt;&gt;"", I$5*A$5, 0) + SUMPRODUCT(--(I$6:I86&lt;&gt;""), I$6:I86, (A$6:A86-A$5:A85)))/1000), ""))</f>
        <v/>
      </c>
      <c r="M86" s="1">
        <f>M85+2</f>
        <v/>
      </c>
      <c r="N86" s="1">
        <f>O85</f>
        <v/>
      </c>
      <c r="Q86" t="inlineStr">
        <is>
          <t>200mL/10s/60s</t>
        </is>
      </c>
      <c r="U86" s="1">
        <f>IF(O86="", "", (N86-O86)*1000/(M86-M85))</f>
        <v/>
      </c>
      <c r="V86" s="1">
        <f>IF(U86="","",U86/R$2/10)</f>
        <v/>
      </c>
      <c r="W86" s="1">
        <f>IF(U86="","", 100*_xlfn.STDEV.P(U85:U86)/AVERAGE(U85:U86))</f>
        <v/>
      </c>
      <c r="X86" s="8">
        <f t="array" ref="X86">IF(U86="","", IFERROR(((IF(U$5&lt;&gt;"", U$5*M$5, 0) + SUMPRODUCT(--(U$6:U86&lt;&gt;""), U$6:U86, (M$6:M86-M$5:M85)))/1000), ""))</f>
        <v/>
      </c>
    </row>
    <row r="87">
      <c r="A87" s="1">
        <f>A86+2</f>
        <v/>
      </c>
      <c r="B87" s="1">
        <f>C86</f>
        <v/>
      </c>
      <c r="E87" t="inlineStr">
        <is>
          <t>200mL/10s/60s</t>
        </is>
      </c>
      <c r="I87" s="1">
        <f>IF(C87="", "", (B87-C87)*1000/(A87-A86))</f>
        <v/>
      </c>
      <c r="J87" s="1">
        <f>IF(I87="","",I87/F$2/10)</f>
        <v/>
      </c>
      <c r="K87" s="1">
        <f>IF(I87="","", 100*_xlfn.STDEV.P(I86:I87)/AVERAGE(I86:I87))</f>
        <v/>
      </c>
      <c r="L87" s="8">
        <f t="array" ref="L87">IF(I87="","", IFERROR(((IF(I$5&lt;&gt;"", I$5*A$5, 0) + SUMPRODUCT(--(I$6:I87&lt;&gt;""), I$6:I87, (A$6:A87-A$5:A86)))/1000), ""))</f>
        <v/>
      </c>
      <c r="M87" s="1">
        <f>M86+2</f>
        <v/>
      </c>
      <c r="N87" s="1">
        <f>O86</f>
        <v/>
      </c>
      <c r="Q87" t="inlineStr">
        <is>
          <t>200mL/10s/60s</t>
        </is>
      </c>
      <c r="U87" s="1">
        <f>IF(O87="", "", (N87-O87)*1000/(M87-M86))</f>
        <v/>
      </c>
      <c r="V87" s="1">
        <f>IF(U87="","",U87/R$2/10)</f>
        <v/>
      </c>
      <c r="W87" s="1">
        <f>IF(U87="","", 100*_xlfn.STDEV.P(U86:U87)/AVERAGE(U86:U87))</f>
        <v/>
      </c>
      <c r="X87" s="8">
        <f t="array" ref="X87">IF(U87="","", IFERROR(((IF(U$5&lt;&gt;"", U$5*M$5, 0) + SUMPRODUCT(--(U$6:U87&lt;&gt;""), U$6:U87, (M$6:M87-M$5:M86)))/1000), ""))</f>
        <v/>
      </c>
    </row>
    <row r="88">
      <c r="A88" s="1">
        <f>A87+2</f>
        <v/>
      </c>
      <c r="B88" s="1">
        <f>C87</f>
        <v/>
      </c>
      <c r="E88" t="inlineStr">
        <is>
          <t>200mL/10s/60s</t>
        </is>
      </c>
      <c r="I88" s="1">
        <f>IF(C88="", "", (B88-C88)*1000/(A88-A87))</f>
        <v/>
      </c>
      <c r="J88" s="1">
        <f>IF(I88="","",I88/F$2/10)</f>
        <v/>
      </c>
      <c r="K88" s="1">
        <f>IF(I88="","", 100*_xlfn.STDEV.P(I87:I88)/AVERAGE(I87:I88))</f>
        <v/>
      </c>
      <c r="L88" s="8">
        <f t="array" ref="L88">IF(I88="","", IFERROR(((IF(I$5&lt;&gt;"", I$5*A$5, 0) + SUMPRODUCT(--(I$6:I88&lt;&gt;""), I$6:I88, (A$6:A88-A$5:A87)))/1000), ""))</f>
        <v/>
      </c>
      <c r="M88" s="1">
        <f>M87+2</f>
        <v/>
      </c>
      <c r="N88" s="1">
        <f>O87</f>
        <v/>
      </c>
      <c r="Q88" t="inlineStr">
        <is>
          <t>200mL/10s/60s</t>
        </is>
      </c>
      <c r="U88" s="1">
        <f>IF(O88="", "", (N88-O88)*1000/(M88-M87))</f>
        <v/>
      </c>
      <c r="V88" s="1">
        <f>IF(U88="","",U88/R$2/10)</f>
        <v/>
      </c>
      <c r="W88" s="1">
        <f>IF(U88="","", 100*_xlfn.STDEV.P(U87:U88)/AVERAGE(U87:U88))</f>
        <v/>
      </c>
      <c r="X88" s="8">
        <f t="array" ref="X88">IF(U88="","", IFERROR(((IF(U$5&lt;&gt;"", U$5*M$5, 0) + SUMPRODUCT(--(U$6:U88&lt;&gt;""), U$6:U88, (M$6:M88-M$5:M87)))/1000), ""))</f>
        <v/>
      </c>
    </row>
    <row r="89">
      <c r="A89" s="1">
        <f>A88+2</f>
        <v/>
      </c>
      <c r="B89" s="1">
        <f>C88</f>
        <v/>
      </c>
      <c r="E89" t="inlineStr">
        <is>
          <t>200mL/10s/60s</t>
        </is>
      </c>
      <c r="I89" s="1">
        <f>IF(C89="", "", (B89-C89)*1000/(A89-A88))</f>
        <v/>
      </c>
      <c r="J89" s="1">
        <f>IF(I89="","",I89/F$2/10)</f>
        <v/>
      </c>
      <c r="K89" s="1">
        <f>IF(I89="","", 100*_xlfn.STDEV.P(I88:I89)/AVERAGE(I88:I89))</f>
        <v/>
      </c>
      <c r="L89" s="8">
        <f t="array" ref="L89">IF(I89="","", IFERROR(((IF(I$5&lt;&gt;"", I$5*A$5, 0) + SUMPRODUCT(--(I$6:I89&lt;&gt;""), I$6:I89, (A$6:A89-A$5:A88)))/1000), ""))</f>
        <v/>
      </c>
      <c r="M89" s="1">
        <f>M88+2</f>
        <v/>
      </c>
      <c r="N89" s="1">
        <f>O88</f>
        <v/>
      </c>
      <c r="Q89" t="inlineStr">
        <is>
          <t>200mL/10s/60s</t>
        </is>
      </c>
      <c r="U89" s="1">
        <f>IF(O89="", "", (N89-O89)*1000/(M89-M88))</f>
        <v/>
      </c>
      <c r="V89" s="1">
        <f>IF(U89="","",U89/R$2/10)</f>
        <v/>
      </c>
      <c r="W89" s="1">
        <f>IF(U89="","", 100*_xlfn.STDEV.P(U88:U89)/AVERAGE(U88:U89))</f>
        <v/>
      </c>
      <c r="X89" s="8">
        <f t="array" ref="X89">IF(U89="","", IFERROR(((IF(U$5&lt;&gt;"", U$5*M$5, 0) + SUMPRODUCT(--(U$6:U89&lt;&gt;""), U$6:U89, (M$6:M89-M$5:M88)))/1000), ""))</f>
        <v/>
      </c>
    </row>
    <row r="90">
      <c r="A90" s="1">
        <f>A89+2</f>
        <v/>
      </c>
      <c r="B90" s="1">
        <f>C89</f>
        <v/>
      </c>
      <c r="E90" t="inlineStr">
        <is>
          <t>200mL/10s/60s</t>
        </is>
      </c>
      <c r="I90" s="1">
        <f>IF(C90="", "", (B90-C90)*1000/(A90-A89))</f>
        <v/>
      </c>
      <c r="J90" s="1">
        <f>IF(I90="","",I90/F$2/10)</f>
        <v/>
      </c>
      <c r="K90" s="1">
        <f>IF(I90="","", 100*_xlfn.STDEV.P(I89:I90)/AVERAGE(I89:I90))</f>
        <v/>
      </c>
      <c r="L90" s="8">
        <f t="array" ref="L90">IF(I90="","", IFERROR(((IF(I$5&lt;&gt;"", I$5*A$5, 0) + SUMPRODUCT(--(I$6:I90&lt;&gt;""), I$6:I90, (A$6:A90-A$5:A89)))/1000), ""))</f>
        <v/>
      </c>
      <c r="M90" s="1">
        <f>M89+2</f>
        <v/>
      </c>
      <c r="N90" s="1">
        <f>O89</f>
        <v/>
      </c>
      <c r="Q90" t="inlineStr">
        <is>
          <t>200mL/10s/60s</t>
        </is>
      </c>
      <c r="U90" s="1">
        <f>IF(O90="", "", (N90-O90)*1000/(M90-M89))</f>
        <v/>
      </c>
      <c r="V90" s="1">
        <f>IF(U90="","",U90/R$2/10)</f>
        <v/>
      </c>
      <c r="W90" s="1">
        <f>IF(U90="","", 100*_xlfn.STDEV.P(U89:U90)/AVERAGE(U89:U90))</f>
        <v/>
      </c>
      <c r="X90" s="8">
        <f t="array" ref="X90">IF(U90="","", IFERROR(((IF(U$5&lt;&gt;"", U$5*M$5, 0) + SUMPRODUCT(--(U$6:U90&lt;&gt;""), U$6:U90, (M$6:M90-M$5:M89)))/1000), ""))</f>
        <v/>
      </c>
    </row>
    <row r="91">
      <c r="A91" s="1">
        <f>A90+2</f>
        <v/>
      </c>
      <c r="B91" s="1">
        <f>C90</f>
        <v/>
      </c>
      <c r="E91" t="inlineStr">
        <is>
          <t>200mL/10s/60s</t>
        </is>
      </c>
      <c r="I91" s="1">
        <f>IF(C91="", "", (B91-C91)*1000/(A91-A90))</f>
        <v/>
      </c>
      <c r="J91" s="1">
        <f>IF(I91="","",I91/F$2/10)</f>
        <v/>
      </c>
      <c r="K91" s="1">
        <f>IF(I91="","", 100*_xlfn.STDEV.P(I90:I91)/AVERAGE(I90:I91))</f>
        <v/>
      </c>
      <c r="L91" s="8">
        <f t="array" ref="L91">IF(I91="","", IFERROR(((IF(I$5&lt;&gt;"", I$5*A$5, 0) + SUMPRODUCT(--(I$6:I91&lt;&gt;""), I$6:I91, (A$6:A91-A$5:A90)))/1000), ""))</f>
        <v/>
      </c>
      <c r="M91" s="1">
        <f>M90+2</f>
        <v/>
      </c>
      <c r="N91" s="1">
        <f>O90</f>
        <v/>
      </c>
      <c r="Q91" t="inlineStr">
        <is>
          <t>200mL/10s/60s</t>
        </is>
      </c>
      <c r="U91" s="1">
        <f>IF(O91="", "", (N91-O91)*1000/(M91-M90))</f>
        <v/>
      </c>
      <c r="V91" s="1">
        <f>IF(U91="","",U91/R$2/10)</f>
        <v/>
      </c>
      <c r="W91" s="1">
        <f>IF(U91="","", 100*_xlfn.STDEV.P(U90:U91)/AVERAGE(U90:U91))</f>
        <v/>
      </c>
      <c r="X91" s="8">
        <f t="array" ref="X91">IF(U91="","", IFERROR(((IF(U$5&lt;&gt;"", U$5*M$5, 0) + SUMPRODUCT(--(U$6:U91&lt;&gt;""), U$6:U91, (M$6:M91-M$5:M90)))/1000), ""))</f>
        <v/>
      </c>
    </row>
    <row r="92">
      <c r="A92" s="1">
        <f>A91+2</f>
        <v/>
      </c>
      <c r="B92" s="1">
        <f>C91</f>
        <v/>
      </c>
      <c r="E92" t="inlineStr">
        <is>
          <t>200mL/10s/60s</t>
        </is>
      </c>
      <c r="I92" s="1">
        <f>IF(C92="", "", (B92-C92)*1000/(A92-A91))</f>
        <v/>
      </c>
      <c r="J92" s="1">
        <f>IF(I92="","",I92/F$2/10)</f>
        <v/>
      </c>
      <c r="K92" s="1">
        <f>IF(I92="","", 100*_xlfn.STDEV.P(I91:I92)/AVERAGE(I91:I92))</f>
        <v/>
      </c>
      <c r="L92" s="8">
        <f t="array" ref="L92">IF(I92="","", IFERROR(((IF(I$5&lt;&gt;"", I$5*A$5, 0) + SUMPRODUCT(--(I$6:I92&lt;&gt;""), I$6:I92, (A$6:A92-A$5:A91)))/1000), ""))</f>
        <v/>
      </c>
      <c r="M92" s="1">
        <f>M91+2</f>
        <v/>
      </c>
      <c r="N92" s="1">
        <f>O91</f>
        <v/>
      </c>
      <c r="Q92" t="inlineStr">
        <is>
          <t>200mL/10s/60s</t>
        </is>
      </c>
      <c r="U92" s="1">
        <f>IF(O92="", "", (N92-O92)*1000/(M92-M91))</f>
        <v/>
      </c>
      <c r="V92" s="1">
        <f>IF(U92="","",U92/R$2/10)</f>
        <v/>
      </c>
      <c r="W92" s="1">
        <f>IF(U92="","", 100*_xlfn.STDEV.P(U91:U92)/AVERAGE(U91:U92))</f>
        <v/>
      </c>
      <c r="X92" s="8">
        <f t="array" ref="X92">IF(U92="","", IFERROR(((IF(U$5&lt;&gt;"", U$5*M$5, 0) + SUMPRODUCT(--(U$6:U92&lt;&gt;""), U$6:U92, (M$6:M92-M$5:M91)))/1000), ""))</f>
        <v/>
      </c>
    </row>
    <row r="93">
      <c r="A93" s="1">
        <f>A92+2</f>
        <v/>
      </c>
      <c r="B93" s="1">
        <f>C92</f>
        <v/>
      </c>
      <c r="E93" t="inlineStr">
        <is>
          <t>200mL/10s/60s</t>
        </is>
      </c>
      <c r="I93" s="1">
        <f>IF(C93="", "", (B93-C93)*1000/(A93-A92))</f>
        <v/>
      </c>
      <c r="J93" s="1">
        <f>IF(I93="","",I93/F$2/10)</f>
        <v/>
      </c>
      <c r="K93" s="1">
        <f>IF(I93="","", 100*_xlfn.STDEV.P(I92:I93)/AVERAGE(I92:I93))</f>
        <v/>
      </c>
      <c r="L93" s="8">
        <f t="array" ref="L93">IF(I93="","", IFERROR(((IF(I$5&lt;&gt;"", I$5*A$5, 0) + SUMPRODUCT(--(I$6:I93&lt;&gt;""), I$6:I93, (A$6:A93-A$5:A92)))/1000), ""))</f>
        <v/>
      </c>
      <c r="M93" s="1">
        <f>M92+2</f>
        <v/>
      </c>
      <c r="N93" s="1">
        <f>O92</f>
        <v/>
      </c>
      <c r="Q93" t="inlineStr">
        <is>
          <t>200mL/10s/60s</t>
        </is>
      </c>
      <c r="U93" s="1">
        <f>IF(O93="", "", (N93-O93)*1000/(M93-M92))</f>
        <v/>
      </c>
      <c r="V93" s="1">
        <f>IF(U93="","",U93/R$2/10)</f>
        <v/>
      </c>
      <c r="W93" s="1">
        <f>IF(U93="","", 100*_xlfn.STDEV.P(U92:U93)/AVERAGE(U92:U93))</f>
        <v/>
      </c>
      <c r="X93" s="8">
        <f t="array" ref="X93">IF(U93="","", IFERROR(((IF(U$5&lt;&gt;"", U$5*M$5, 0) + SUMPRODUCT(--(U$6:U93&lt;&gt;""), U$6:U93, (M$6:M93-M$5:M92)))/1000), ""))</f>
        <v/>
      </c>
    </row>
    <row r="94">
      <c r="A94" s="1">
        <f>A93+2</f>
        <v/>
      </c>
      <c r="B94" s="1">
        <f>C93</f>
        <v/>
      </c>
      <c r="E94" t="inlineStr">
        <is>
          <t>200mL/10s/60s</t>
        </is>
      </c>
      <c r="I94" s="1">
        <f>IF(C94="", "", (B94-C94)*1000/(A94-A93))</f>
        <v/>
      </c>
      <c r="J94" s="1">
        <f>IF(I94="","",I94/F$2/10)</f>
        <v/>
      </c>
      <c r="K94" s="1">
        <f>IF(I94="","", 100*_xlfn.STDEV.P(I93:I94)/AVERAGE(I93:I94))</f>
        <v/>
      </c>
      <c r="L94" s="8">
        <f t="array" ref="L94">IF(I94="","", IFERROR(((IF(I$5&lt;&gt;"", I$5*A$5, 0) + SUMPRODUCT(--(I$6:I94&lt;&gt;""), I$6:I94, (A$6:A94-A$5:A93)))/1000), ""))</f>
        <v/>
      </c>
      <c r="M94" s="1">
        <f>M93+2</f>
        <v/>
      </c>
      <c r="N94" s="1">
        <f>O93</f>
        <v/>
      </c>
      <c r="Q94" t="inlineStr">
        <is>
          <t>200mL/10s/60s</t>
        </is>
      </c>
      <c r="U94" s="1">
        <f>IF(O94="", "", (N94-O94)*1000/(M94-M93))</f>
        <v/>
      </c>
      <c r="V94" s="1">
        <f>IF(U94="","",U94/R$2/10)</f>
        <v/>
      </c>
      <c r="W94" s="1">
        <f>IF(U94="","", 100*_xlfn.STDEV.P(U93:U94)/AVERAGE(U93:U94))</f>
        <v/>
      </c>
      <c r="X94" s="8">
        <f t="array" ref="X94">IF(U94="","", IFERROR(((IF(U$5&lt;&gt;"", U$5*M$5, 0) + SUMPRODUCT(--(U$6:U94&lt;&gt;""), U$6:U94, (M$6:M94-M$5:M93)))/1000), ""))</f>
        <v/>
      </c>
    </row>
    <row r="95">
      <c r="A95" s="1">
        <f>A94+2</f>
        <v/>
      </c>
      <c r="B95" s="1">
        <f>C94</f>
        <v/>
      </c>
      <c r="E95" t="inlineStr">
        <is>
          <t>200mL/10s/60s</t>
        </is>
      </c>
      <c r="I95" s="1">
        <f>IF(C95="", "", (B95-C95)*1000/(A95-A94))</f>
        <v/>
      </c>
      <c r="J95" s="1">
        <f>IF(I95="","",I95/F$2/10)</f>
        <v/>
      </c>
      <c r="K95" s="1">
        <f>IF(I95="","", 100*_xlfn.STDEV.P(I94:I95)/AVERAGE(I94:I95))</f>
        <v/>
      </c>
      <c r="L95" s="8">
        <f t="array" ref="L95">IF(I95="","", IFERROR(((IF(I$5&lt;&gt;"", I$5*A$5, 0) + SUMPRODUCT(--(I$6:I95&lt;&gt;""), I$6:I95, (A$6:A95-A$5:A94)))/1000), ""))</f>
        <v/>
      </c>
      <c r="M95" s="1">
        <f>M94+2</f>
        <v/>
      </c>
      <c r="N95" s="1">
        <f>O94</f>
        <v/>
      </c>
      <c r="Q95" t="inlineStr">
        <is>
          <t>200mL/10s/60s</t>
        </is>
      </c>
      <c r="U95" s="1">
        <f>IF(O95="", "", (N95-O95)*1000/(M95-M94))</f>
        <v/>
      </c>
      <c r="V95" s="1">
        <f>IF(U95="","",U95/R$2/10)</f>
        <v/>
      </c>
      <c r="W95" s="1">
        <f>IF(U95="","", 100*_xlfn.STDEV.P(U94:U95)/AVERAGE(U94:U95))</f>
        <v/>
      </c>
      <c r="X95" s="8">
        <f t="array" ref="X95">IF(U95="","", IFERROR(((IF(U$5&lt;&gt;"", U$5*M$5, 0) + SUMPRODUCT(--(U$6:U95&lt;&gt;""), U$6:U95, (M$6:M95-M$5:M94)))/1000), ""))</f>
        <v/>
      </c>
    </row>
    <row r="96">
      <c r="A96" s="1">
        <f>A95+2</f>
        <v/>
      </c>
      <c r="B96" s="1">
        <f>C95</f>
        <v/>
      </c>
      <c r="E96" t="inlineStr">
        <is>
          <t>200mL/10s/60s</t>
        </is>
      </c>
      <c r="I96" s="1">
        <f>IF(C96="", "", (B96-C96)*1000/(A96-A95))</f>
        <v/>
      </c>
      <c r="J96" s="1">
        <f>IF(I96="","",I96/F$2/10)</f>
        <v/>
      </c>
      <c r="K96" s="1">
        <f>IF(I96="","", 100*_xlfn.STDEV.P(I95:I96)/AVERAGE(I95:I96))</f>
        <v/>
      </c>
      <c r="L96" s="8">
        <f t="array" ref="L96">IF(I96="","", IFERROR(((IF(I$5&lt;&gt;"", I$5*A$5, 0) + SUMPRODUCT(--(I$6:I96&lt;&gt;""), I$6:I96, (A$6:A96-A$5:A95)))/1000), ""))</f>
        <v/>
      </c>
      <c r="M96" s="1">
        <f>M95+2</f>
        <v/>
      </c>
      <c r="N96" s="1">
        <f>O95</f>
        <v/>
      </c>
      <c r="Q96" t="inlineStr">
        <is>
          <t>200mL/10s/60s</t>
        </is>
      </c>
      <c r="U96" s="1">
        <f>IF(O96="", "", (N96-O96)*1000/(M96-M95))</f>
        <v/>
      </c>
      <c r="V96" s="1">
        <f>IF(U96="","",U96/R$2/10)</f>
        <v/>
      </c>
      <c r="W96" s="1">
        <f>IF(U96="","", 100*_xlfn.STDEV.P(U95:U96)/AVERAGE(U95:U96))</f>
        <v/>
      </c>
      <c r="X96" s="8">
        <f t="array" ref="X96">IF(U96="","", IFERROR(((IF(U$5&lt;&gt;"", U$5*M$5, 0) + SUMPRODUCT(--(U$6:U96&lt;&gt;""), U$6:U96, (M$6:M96-M$5:M95)))/1000), ""))</f>
        <v/>
      </c>
    </row>
    <row r="97">
      <c r="A97" s="1">
        <f>A96+2</f>
        <v/>
      </c>
      <c r="B97" s="1">
        <f>C96</f>
        <v/>
      </c>
      <c r="E97" t="inlineStr">
        <is>
          <t>200mL/10s/60s</t>
        </is>
      </c>
      <c r="I97" s="1">
        <f>IF(C97="", "", (B97-C97)*1000/(A97-A96))</f>
        <v/>
      </c>
      <c r="J97" s="1">
        <f>IF(I97="","",I97/F$2/10)</f>
        <v/>
      </c>
      <c r="K97" s="1">
        <f>IF(I97="","", 100*_xlfn.STDEV.P(I96:I97)/AVERAGE(I96:I97))</f>
        <v/>
      </c>
      <c r="L97" s="8">
        <f t="array" ref="L97">IF(I97="","", IFERROR(((IF(I$5&lt;&gt;"", I$5*A$5, 0) + SUMPRODUCT(--(I$6:I97&lt;&gt;""), I$6:I97, (A$6:A97-A$5:A96)))/1000), ""))</f>
        <v/>
      </c>
      <c r="M97" s="1">
        <f>M96+2</f>
        <v/>
      </c>
      <c r="N97" s="1">
        <f>O96</f>
        <v/>
      </c>
      <c r="Q97" t="inlineStr">
        <is>
          <t>200mL/10s/60s</t>
        </is>
      </c>
      <c r="U97" s="1">
        <f>IF(O97="", "", (N97-O97)*1000/(M97-M96))</f>
        <v/>
      </c>
      <c r="V97" s="1">
        <f>IF(U97="","",U97/R$2/10)</f>
        <v/>
      </c>
      <c r="W97" s="1">
        <f>IF(U97="","", 100*_xlfn.STDEV.P(U96:U97)/AVERAGE(U96:U97))</f>
        <v/>
      </c>
      <c r="X97" s="8">
        <f t="array" ref="X97">IF(U97="","", IFERROR(((IF(U$5&lt;&gt;"", U$5*M$5, 0) + SUMPRODUCT(--(U$6:U97&lt;&gt;""), U$6:U97, (M$6:M97-M$5:M96)))/1000), ""))</f>
        <v/>
      </c>
    </row>
    <row r="98">
      <c r="A98" s="1">
        <f>A97+2</f>
        <v/>
      </c>
      <c r="B98" s="1">
        <f>C97</f>
        <v/>
      </c>
      <c r="E98" t="inlineStr">
        <is>
          <t>200mL/10s/60s</t>
        </is>
      </c>
      <c r="I98" s="1">
        <f>IF(C98="", "", (B98-C98)*1000/(A98-A97))</f>
        <v/>
      </c>
      <c r="J98" s="1">
        <f>IF(I98="","",I98/F$2/10)</f>
        <v/>
      </c>
      <c r="K98" s="1">
        <f>IF(I98="","", 100*_xlfn.STDEV.P(I97:I98)/AVERAGE(I97:I98))</f>
        <v/>
      </c>
      <c r="L98" s="8">
        <f t="array" ref="L98">IF(I98="","", IFERROR(((IF(I$5&lt;&gt;"", I$5*A$5, 0) + SUMPRODUCT(--(I$6:I98&lt;&gt;""), I$6:I98, (A$6:A98-A$5:A97)))/1000), ""))</f>
        <v/>
      </c>
      <c r="M98" s="1">
        <f>M97+2</f>
        <v/>
      </c>
      <c r="N98" s="1">
        <f>O97</f>
        <v/>
      </c>
      <c r="Q98" t="inlineStr">
        <is>
          <t>200mL/10s/60s</t>
        </is>
      </c>
      <c r="U98" s="1">
        <f>IF(O98="", "", (N98-O98)*1000/(M98-M97))</f>
        <v/>
      </c>
      <c r="V98" s="1">
        <f>IF(U98="","",U98/R$2/10)</f>
        <v/>
      </c>
      <c r="W98" s="1">
        <f>IF(U98="","", 100*_xlfn.STDEV.P(U97:U98)/AVERAGE(U97:U98))</f>
        <v/>
      </c>
      <c r="X98" s="8">
        <f t="array" ref="X98">IF(U98="","", IFERROR(((IF(U$5&lt;&gt;"", U$5*M$5, 0) + SUMPRODUCT(--(U$6:U98&lt;&gt;""), U$6:U98, (M$6:M98-M$5:M97)))/1000), ""))</f>
        <v/>
      </c>
    </row>
    <row r="99">
      <c r="A99" s="1">
        <f>A98+2</f>
        <v/>
      </c>
      <c r="B99" s="1">
        <f>C98</f>
        <v/>
      </c>
      <c r="E99" t="inlineStr">
        <is>
          <t>200mL/10s/60s</t>
        </is>
      </c>
      <c r="I99" s="1">
        <f>IF(C99="", "", (B99-C99)*1000/(A99-A98))</f>
        <v/>
      </c>
      <c r="J99" s="1">
        <f>IF(I99="","",I99/F$2/10)</f>
        <v/>
      </c>
      <c r="K99" s="1">
        <f>IF(I99="","", 100*_xlfn.STDEV.P(I98:I99)/AVERAGE(I98:I99))</f>
        <v/>
      </c>
      <c r="L99" s="8">
        <f t="array" ref="L99">IF(I99="","", IFERROR(((IF(I$5&lt;&gt;"", I$5*A$5, 0) + SUMPRODUCT(--(I$6:I99&lt;&gt;""), I$6:I99, (A$6:A99-A$5:A98)))/1000), ""))</f>
        <v/>
      </c>
      <c r="M99" s="1">
        <f>M98+2</f>
        <v/>
      </c>
      <c r="N99" s="1">
        <f>O98</f>
        <v/>
      </c>
      <c r="Q99" t="inlineStr">
        <is>
          <t>200mL/10s/60s</t>
        </is>
      </c>
      <c r="U99" s="1">
        <f>IF(O99="", "", (N99-O99)*1000/(M99-M98))</f>
        <v/>
      </c>
      <c r="V99" s="1">
        <f>IF(U99="","",U99/R$2/10)</f>
        <v/>
      </c>
      <c r="W99" s="1">
        <f>IF(U99="","", 100*_xlfn.STDEV.P(U98:U99)/AVERAGE(U98:U99))</f>
        <v/>
      </c>
      <c r="X99" s="8">
        <f t="array" ref="X99">IF(U99="","", IFERROR(((IF(U$5&lt;&gt;"", U$5*M$5, 0) + SUMPRODUCT(--(U$6:U99&lt;&gt;""), U$6:U99, (M$6:M99-M$5:M98)))/1000), ""))</f>
        <v/>
      </c>
    </row>
    <row r="100">
      <c r="A100" s="1">
        <f>A99+2</f>
        <v/>
      </c>
      <c r="B100" s="1">
        <f>C99</f>
        <v/>
      </c>
      <c r="E100" t="inlineStr">
        <is>
          <t>200mL/10s/60s</t>
        </is>
      </c>
      <c r="I100" s="1">
        <f>IF(C100="", "", (B100-C100)*1000/(A100-A99))</f>
        <v/>
      </c>
      <c r="J100" s="1">
        <f>IF(I100="","",I100/F$2/10)</f>
        <v/>
      </c>
      <c r="K100" s="1">
        <f>IF(I100="","", 100*_xlfn.STDEV.P(I99:I100)/AVERAGE(I99:I100))</f>
        <v/>
      </c>
      <c r="L100" s="8">
        <f t="array" ref="L100">IF(I100="","", IFERROR(((IF(I$5&lt;&gt;"", I$5*A$5, 0) + SUMPRODUCT(--(I$6:I100&lt;&gt;""), I$6:I100, (A$6:A100-A$5:A99)))/1000), ""))</f>
        <v/>
      </c>
      <c r="M100" s="1">
        <f>M99+2</f>
        <v/>
      </c>
      <c r="N100" s="1">
        <f>O99</f>
        <v/>
      </c>
      <c r="Q100" t="inlineStr">
        <is>
          <t>200mL/10s/60s</t>
        </is>
      </c>
      <c r="U100" s="1">
        <f>IF(O100="", "", (N100-O100)*1000/(M100-M99))</f>
        <v/>
      </c>
      <c r="V100" s="1">
        <f>IF(U100="","",U100/R$2/10)</f>
        <v/>
      </c>
      <c r="W100" s="1">
        <f>IF(U100="","", 100*_xlfn.STDEV.P(U99:U100)/AVERAGE(U99:U100))</f>
        <v/>
      </c>
      <c r="X100" s="8">
        <f t="array" ref="X100">IF(U100="","", IFERROR(((IF(U$5&lt;&gt;"", U$5*M$5, 0) + SUMPRODUCT(--(U$6:U100&lt;&gt;""), U$6:U100, (M$6:M100-M$5:M99)))/1000), ""))</f>
        <v/>
      </c>
    </row>
    <row r="101">
      <c r="A101" s="1">
        <f>A100+2</f>
        <v/>
      </c>
      <c r="B101" s="1">
        <f>C100</f>
        <v/>
      </c>
      <c r="E101" t="inlineStr">
        <is>
          <t>200mL/10s/60s</t>
        </is>
      </c>
      <c r="I101" s="1">
        <f>IF(C101="", "", (B101-C101)*1000/(A101-A100))</f>
        <v/>
      </c>
      <c r="J101" s="1">
        <f>IF(I101="","",I101/F$2/10)</f>
        <v/>
      </c>
      <c r="K101" s="1">
        <f>IF(I101="","", 100*_xlfn.STDEV.P(I100:I101)/AVERAGE(I100:I101))</f>
        <v/>
      </c>
      <c r="L101" s="8">
        <f t="array" ref="L101">IF(I101="","", IFERROR(((IF(I$5&lt;&gt;"", I$5*A$5, 0) + SUMPRODUCT(--(I$6:I101&lt;&gt;""), I$6:I101, (A$6:A101-A$5:A100)))/1000), ""))</f>
        <v/>
      </c>
      <c r="M101" s="1">
        <f>M100+2</f>
        <v/>
      </c>
      <c r="N101" s="1">
        <f>O100</f>
        <v/>
      </c>
      <c r="Q101" t="inlineStr">
        <is>
          <t>200mL/10s/60s</t>
        </is>
      </c>
      <c r="U101" s="1">
        <f>IF(O101="", "", (N101-O101)*1000/(M101-M100))</f>
        <v/>
      </c>
      <c r="V101" s="1">
        <f>IF(U101="","",U101/R$2/10)</f>
        <v/>
      </c>
      <c r="W101" s="1">
        <f>IF(U101="","", 100*_xlfn.STDEV.P(U100:U101)/AVERAGE(U100:U101))</f>
        <v/>
      </c>
      <c r="X101" s="8">
        <f t="array" ref="X101">IF(U101="","", IFERROR(((IF(U$5&lt;&gt;"", U$5*M$5, 0) + SUMPRODUCT(--(U$6:U101&lt;&gt;""), U$6:U101, (M$6:M101-M$5:M100)))/1000), ""))</f>
        <v/>
      </c>
    </row>
    <row r="102">
      <c r="A102" s="1">
        <f>A101+2</f>
        <v/>
      </c>
      <c r="B102" s="1">
        <f>C101</f>
        <v/>
      </c>
      <c r="E102" t="inlineStr">
        <is>
          <t>200mL/10s/60s</t>
        </is>
      </c>
      <c r="I102" s="1">
        <f>IF(C102="", "", (B102-C102)*1000/(A102-A101))</f>
        <v/>
      </c>
      <c r="J102" s="1">
        <f>IF(I102="","",I102/F$2/10)</f>
        <v/>
      </c>
      <c r="K102" s="1">
        <f>IF(I102="","", 100*_xlfn.STDEV.P(I101:I102)/AVERAGE(I101:I102))</f>
        <v/>
      </c>
      <c r="L102" s="8">
        <f t="array" ref="L102">IF(I102="","", IFERROR(((IF(I$5&lt;&gt;"", I$5*A$5, 0) + SUMPRODUCT(--(I$6:I102&lt;&gt;""), I$6:I102, (A$6:A102-A$5:A101)))/1000), ""))</f>
        <v/>
      </c>
      <c r="M102" s="1">
        <f>M101+2</f>
        <v/>
      </c>
      <c r="N102" s="1">
        <f>O101</f>
        <v/>
      </c>
      <c r="Q102" t="inlineStr">
        <is>
          <t>200mL/10s/60s</t>
        </is>
      </c>
      <c r="U102" s="1">
        <f>IF(O102="", "", (N102-O102)*1000/(M102-M101))</f>
        <v/>
      </c>
      <c r="V102" s="1">
        <f>IF(U102="","",U102/R$2/10)</f>
        <v/>
      </c>
      <c r="W102" s="1">
        <f>IF(U102="","", 100*_xlfn.STDEV.P(U101:U102)/AVERAGE(U101:U102))</f>
        <v/>
      </c>
      <c r="X102" s="8">
        <f t="array" ref="X102">IF(U102="","", IFERROR(((IF(U$5&lt;&gt;"", U$5*M$5, 0) + SUMPRODUCT(--(U$6:U102&lt;&gt;""), U$6:U102, (M$6:M102-M$5:M101)))/1000), ""))</f>
        <v/>
      </c>
    </row>
    <row r="103">
      <c r="A103" s="1">
        <f>A102+2</f>
        <v/>
      </c>
      <c r="B103" s="1">
        <f>C102</f>
        <v/>
      </c>
      <c r="E103" t="inlineStr">
        <is>
          <t>200mL/10s/60s</t>
        </is>
      </c>
      <c r="I103" s="1">
        <f>IF(C103="", "", (B103-C103)*1000/(A103-A102))</f>
        <v/>
      </c>
      <c r="J103" s="1">
        <f>IF(I103="","",I103/F$2/10)</f>
        <v/>
      </c>
      <c r="K103" s="1">
        <f>IF(I103="","", 100*_xlfn.STDEV.P(I102:I103)/AVERAGE(I102:I103))</f>
        <v/>
      </c>
      <c r="L103" s="8">
        <f t="array" ref="L103">IF(I103="","", IFERROR(((IF(I$5&lt;&gt;"", I$5*A$5, 0) + SUMPRODUCT(--(I$6:I103&lt;&gt;""), I$6:I103, (A$6:A103-A$5:A102)))/1000), ""))</f>
        <v/>
      </c>
      <c r="M103" s="1">
        <f>M102+2</f>
        <v/>
      </c>
      <c r="N103" s="1">
        <f>O102</f>
        <v/>
      </c>
      <c r="Q103" t="inlineStr">
        <is>
          <t>200mL/10s/60s</t>
        </is>
      </c>
      <c r="U103" s="1">
        <f>IF(O103="", "", (N103-O103)*1000/(M103-M102))</f>
        <v/>
      </c>
      <c r="V103" s="1">
        <f>IF(U103="","",U103/R$2/10)</f>
        <v/>
      </c>
      <c r="W103" s="1">
        <f>IF(U103="","", 100*_xlfn.STDEV.P(U102:U103)/AVERAGE(U102:U103))</f>
        <v/>
      </c>
      <c r="X103" s="8">
        <f t="array" ref="X103">IF(U103="","", IFERROR(((IF(U$5&lt;&gt;"", U$5*M$5, 0) + SUMPRODUCT(--(U$6:U103&lt;&gt;""), U$6:U103, (M$6:M103-M$5:M102)))/1000), ""))</f>
        <v/>
      </c>
    </row>
    <row r="104">
      <c r="A104" s="1">
        <f>A103+2</f>
        <v/>
      </c>
      <c r="B104" s="1">
        <f>C103</f>
        <v/>
      </c>
      <c r="E104" t="inlineStr">
        <is>
          <t>200mL/10s/60s</t>
        </is>
      </c>
      <c r="I104" s="1">
        <f>IF(C104="", "", (B104-C104)*1000/(A104-A103))</f>
        <v/>
      </c>
      <c r="J104" s="1">
        <f>IF(I104="","",I104/F$2/10)</f>
        <v/>
      </c>
      <c r="K104" s="1">
        <f>IF(I104="","", 100*_xlfn.STDEV.P(I103:I104)/AVERAGE(I103:I104))</f>
        <v/>
      </c>
      <c r="L104" s="8">
        <f t="array" ref="L104">IF(I104="","", IFERROR(((IF(I$5&lt;&gt;"", I$5*A$5, 0) + SUMPRODUCT(--(I$6:I104&lt;&gt;""), I$6:I104, (A$6:A104-A$5:A103)))/1000), ""))</f>
        <v/>
      </c>
      <c r="M104" s="1">
        <f>M103+2</f>
        <v/>
      </c>
      <c r="N104" s="1">
        <f>O103</f>
        <v/>
      </c>
      <c r="Q104" t="inlineStr">
        <is>
          <t>200mL/10s/60s</t>
        </is>
      </c>
      <c r="U104" s="1">
        <f>IF(O104="", "", (N104-O104)*1000/(M104-M103))</f>
        <v/>
      </c>
      <c r="V104" s="1">
        <f>IF(U104="","",U104/R$2/10)</f>
        <v/>
      </c>
      <c r="W104" s="1">
        <f>IF(U104="","", 100*_xlfn.STDEV.P(U103:U104)/AVERAGE(U103:U104))</f>
        <v/>
      </c>
      <c r="X104" s="8">
        <f t="array" ref="X104">IF(U104="","", IFERROR(((IF(U$5&lt;&gt;"", U$5*M$5, 0) + SUMPRODUCT(--(U$6:U104&lt;&gt;""), U$6:U104, (M$6:M104-M$5:M103)))/1000), ""))</f>
        <v/>
      </c>
    </row>
    <row r="105">
      <c r="A105" s="1">
        <f>A104+2</f>
        <v/>
      </c>
      <c r="B105" s="1">
        <f>C104</f>
        <v/>
      </c>
      <c r="E105" t="inlineStr">
        <is>
          <t>200mL/10s/60s</t>
        </is>
      </c>
      <c r="I105" s="1">
        <f>IF(C105="", "", (B105-C105)*1000/(A105-A104))</f>
        <v/>
      </c>
      <c r="J105" s="1">
        <f>IF(I105="","",I105/F$2/10)</f>
        <v/>
      </c>
      <c r="K105" s="1">
        <f>IF(I105="","", 100*_xlfn.STDEV.P(I104:I105)/AVERAGE(I104:I105))</f>
        <v/>
      </c>
      <c r="L105" s="8">
        <f t="array" ref="L105">IF(I105="","", IFERROR(((IF(I$5&lt;&gt;"", I$5*A$5, 0) + SUMPRODUCT(--(I$6:I105&lt;&gt;""), I$6:I105, (A$6:A105-A$5:A104)))/1000), ""))</f>
        <v/>
      </c>
      <c r="M105" s="1">
        <f>M104+2</f>
        <v/>
      </c>
      <c r="N105" s="1">
        <f>O104</f>
        <v/>
      </c>
      <c r="Q105" t="inlineStr">
        <is>
          <t>200mL/10s/60s</t>
        </is>
      </c>
      <c r="U105" s="1">
        <f>IF(O105="", "", (N105-O105)*1000/(M105-M104))</f>
        <v/>
      </c>
      <c r="V105" s="1">
        <f>IF(U105="","",U105/R$2/10)</f>
        <v/>
      </c>
      <c r="W105" s="1">
        <f>IF(U105="","", 100*_xlfn.STDEV.P(U104:U105)/AVERAGE(U104:U105))</f>
        <v/>
      </c>
      <c r="X105" s="8">
        <f t="array" ref="X105">IF(U105="","", IFERROR(((IF(U$5&lt;&gt;"", U$5*M$5, 0) + SUMPRODUCT(--(U$6:U105&lt;&gt;""), U$6:U105, (M$6:M105-M$5:M104)))/1000), ""))</f>
        <v/>
      </c>
    </row>
    <row r="106">
      <c r="A106" s="1">
        <f>A105+2</f>
        <v/>
      </c>
      <c r="B106" s="1">
        <f>C105</f>
        <v/>
      </c>
      <c r="E106" t="inlineStr">
        <is>
          <t>200mL/10s/60s</t>
        </is>
      </c>
      <c r="I106" s="1">
        <f>IF(C106="", "", (B106-C106)*1000/(A106-A105))</f>
        <v/>
      </c>
      <c r="J106" s="1">
        <f>IF(I106="","",I106/F$2/10)</f>
        <v/>
      </c>
      <c r="K106" s="1">
        <f>IF(I106="","", 100*_xlfn.STDEV.P(I105:I106)/AVERAGE(I105:I106))</f>
        <v/>
      </c>
      <c r="L106" s="8">
        <f t="array" ref="L106">IF(I106="","", IFERROR(((IF(I$5&lt;&gt;"", I$5*A$5, 0) + SUMPRODUCT(--(I$6:I106&lt;&gt;""), I$6:I106, (A$6:A106-A$5:A105)))/1000), ""))</f>
        <v/>
      </c>
      <c r="M106" s="1">
        <f>M105+2</f>
        <v/>
      </c>
      <c r="N106" s="1">
        <f>O105</f>
        <v/>
      </c>
      <c r="Q106" t="inlineStr">
        <is>
          <t>200mL/10s/60s</t>
        </is>
      </c>
      <c r="U106" s="1">
        <f>IF(O106="", "", (N106-O106)*1000/(M106-M105))</f>
        <v/>
      </c>
      <c r="V106" s="1">
        <f>IF(U106="","",U106/R$2/10)</f>
        <v/>
      </c>
      <c r="W106" s="1">
        <f>IF(U106="","", 100*_xlfn.STDEV.P(U105:U106)/AVERAGE(U105:U106))</f>
        <v/>
      </c>
      <c r="X106" s="8">
        <f t="array" ref="X106">IF(U106="","", IFERROR(((IF(U$5&lt;&gt;"", U$5*M$5, 0) + SUMPRODUCT(--(U$6:U106&lt;&gt;""), U$6:U106, (M$6:M106-M$5:M105)))/1000), ""))</f>
        <v/>
      </c>
    </row>
    <row r="107">
      <c r="A107" s="1">
        <f>A106+2</f>
        <v/>
      </c>
      <c r="B107" s="1">
        <f>C106</f>
        <v/>
      </c>
      <c r="E107" t="inlineStr">
        <is>
          <t>200mL/10s/60s</t>
        </is>
      </c>
      <c r="I107" s="1">
        <f>IF(C107="", "", (B107-C107)*1000/(A107-A106))</f>
        <v/>
      </c>
      <c r="J107" s="1">
        <f>IF(I107="","",I107/F$2/10)</f>
        <v/>
      </c>
      <c r="K107" s="1">
        <f>IF(I107="","", 100*_xlfn.STDEV.P(I106:I107)/AVERAGE(I106:I107))</f>
        <v/>
      </c>
      <c r="L107" s="8">
        <f t="array" ref="L107">IF(I107="","", IFERROR(((IF(I$5&lt;&gt;"", I$5*A$5, 0) + SUMPRODUCT(--(I$6:I107&lt;&gt;""), I$6:I107, (A$6:A107-A$5:A106)))/1000), ""))</f>
        <v/>
      </c>
      <c r="M107" s="1">
        <f>M106+2</f>
        <v/>
      </c>
      <c r="N107" s="1">
        <f>O106</f>
        <v/>
      </c>
      <c r="Q107" t="inlineStr">
        <is>
          <t>200mL/10s/60s</t>
        </is>
      </c>
      <c r="U107" s="1">
        <f>IF(O107="", "", (N107-O107)*1000/(M107-M106))</f>
        <v/>
      </c>
      <c r="V107" s="1">
        <f>IF(U107="","",U107/R$2/10)</f>
        <v/>
      </c>
      <c r="W107" s="1">
        <f>IF(U107="","", 100*_xlfn.STDEV.P(U106:U107)/AVERAGE(U106:U107))</f>
        <v/>
      </c>
      <c r="X107" s="8">
        <f t="array" ref="X107">IF(U107="","", IFERROR(((IF(U$5&lt;&gt;"", U$5*M$5, 0) + SUMPRODUCT(--(U$6:U107&lt;&gt;""), U$6:U107, (M$6:M107-M$5:M106)))/1000), ""))</f>
        <v/>
      </c>
    </row>
    <row r="108">
      <c r="A108" s="1">
        <f>A107+2</f>
        <v/>
      </c>
      <c r="B108" s="1">
        <f>C107</f>
        <v/>
      </c>
      <c r="E108" t="inlineStr">
        <is>
          <t>200mL/10s/60s</t>
        </is>
      </c>
      <c r="I108" s="1">
        <f>IF(C108="", "", (B108-C108)*1000/(A108-A107))</f>
        <v/>
      </c>
      <c r="J108" s="1">
        <f>IF(I108="","",I108/F$2/10)</f>
        <v/>
      </c>
      <c r="K108" s="1">
        <f>IF(I108="","", 100*_xlfn.STDEV.P(I107:I108)/AVERAGE(I107:I108))</f>
        <v/>
      </c>
      <c r="L108" s="8">
        <f t="array" ref="L108">IF(I108="","", IFERROR(((IF(I$5&lt;&gt;"", I$5*A$5, 0) + SUMPRODUCT(--(I$6:I108&lt;&gt;""), I$6:I108, (A$6:A108-A$5:A107)))/1000), ""))</f>
        <v/>
      </c>
      <c r="M108" s="1">
        <f>M107+2</f>
        <v/>
      </c>
      <c r="N108" s="1">
        <f>O107</f>
        <v/>
      </c>
      <c r="Q108" t="inlineStr">
        <is>
          <t>200mL/10s/60s</t>
        </is>
      </c>
      <c r="U108" s="1">
        <f>IF(O108="", "", (N108-O108)*1000/(M108-M107))</f>
        <v/>
      </c>
      <c r="V108" s="1">
        <f>IF(U108="","",U108/R$2/10)</f>
        <v/>
      </c>
      <c r="W108" s="1">
        <f>IF(U108="","", 100*_xlfn.STDEV.P(U107:U108)/AVERAGE(U107:U108))</f>
        <v/>
      </c>
      <c r="X108" s="8">
        <f t="array" ref="X108">IF(U108="","", IFERROR(((IF(U$5&lt;&gt;"", U$5*M$5, 0) + SUMPRODUCT(--(U$6:U108&lt;&gt;""), U$6:U108, (M$6:M108-M$5:M107)))/1000), ""))</f>
        <v/>
      </c>
    </row>
    <row r="109">
      <c r="A109" s="1">
        <f>A108+2</f>
        <v/>
      </c>
      <c r="B109" s="1">
        <f>C108</f>
        <v/>
      </c>
      <c r="E109" t="inlineStr">
        <is>
          <t>200mL/10s/60s</t>
        </is>
      </c>
      <c r="I109" s="1">
        <f>IF(C109="", "", (B109-C109)*1000/(A109-A108))</f>
        <v/>
      </c>
      <c r="J109" s="1">
        <f>IF(I109="","",I109/F$2/10)</f>
        <v/>
      </c>
      <c r="K109" s="1">
        <f>IF(I109="","", 100*_xlfn.STDEV.P(I108:I109)/AVERAGE(I108:I109))</f>
        <v/>
      </c>
      <c r="L109" s="8">
        <f t="array" ref="L109">IF(I109="","", IFERROR(((IF(I$5&lt;&gt;"", I$5*A$5, 0) + SUMPRODUCT(--(I$6:I109&lt;&gt;""), I$6:I109, (A$6:A109-A$5:A108)))/1000), ""))</f>
        <v/>
      </c>
      <c r="M109" s="1">
        <f>M108+2</f>
        <v/>
      </c>
      <c r="N109" s="1">
        <f>O108</f>
        <v/>
      </c>
      <c r="Q109" t="inlineStr">
        <is>
          <t>200mL/10s/60s</t>
        </is>
      </c>
      <c r="U109" s="1">
        <f>IF(O109="", "", (N109-O109)*1000/(M109-M108))</f>
        <v/>
      </c>
      <c r="V109" s="1">
        <f>IF(U109="","",U109/R$2/10)</f>
        <v/>
      </c>
      <c r="W109" s="1">
        <f>IF(U109="","", 100*_xlfn.STDEV.P(U108:U109)/AVERAGE(U108:U109))</f>
        <v/>
      </c>
      <c r="X109" s="8">
        <f t="array" ref="X109">IF(U109="","", IFERROR(((IF(U$5&lt;&gt;"", U$5*M$5, 0) + SUMPRODUCT(--(U$6:U109&lt;&gt;""), U$6:U109, (M$6:M109-M$5:M108)))/1000), ""))</f>
        <v/>
      </c>
    </row>
    <row r="110">
      <c r="A110" s="1">
        <f>A109+2</f>
        <v/>
      </c>
      <c r="B110" s="1">
        <f>C109</f>
        <v/>
      </c>
      <c r="E110" t="inlineStr">
        <is>
          <t>200mL/10s/60s</t>
        </is>
      </c>
      <c r="I110" s="1">
        <f>IF(C110="", "", (B110-C110)*1000/(A110-A109))</f>
        <v/>
      </c>
      <c r="J110" s="1">
        <f>IF(I110="","",I110/F$2/10)</f>
        <v/>
      </c>
      <c r="K110" s="1">
        <f>IF(I110="","", 100*_xlfn.STDEV.P(I109:I110)/AVERAGE(I109:I110))</f>
        <v/>
      </c>
      <c r="L110" s="8">
        <f t="array" ref="L110">IF(I110="","", IFERROR(((IF(I$5&lt;&gt;"", I$5*A$5, 0) + SUMPRODUCT(--(I$6:I110&lt;&gt;""), I$6:I110, (A$6:A110-A$5:A109)))/1000), ""))</f>
        <v/>
      </c>
      <c r="M110" s="1">
        <f>M109+2</f>
        <v/>
      </c>
      <c r="N110" s="1">
        <f>O109</f>
        <v/>
      </c>
      <c r="Q110" t="inlineStr">
        <is>
          <t>200mL/10s/60s</t>
        </is>
      </c>
      <c r="U110" s="1">
        <f>IF(O110="", "", (N110-O110)*1000/(M110-M109))</f>
        <v/>
      </c>
      <c r="V110" s="1">
        <f>IF(U110="","",U110/R$2/10)</f>
        <v/>
      </c>
      <c r="W110" s="1">
        <f>IF(U110="","", 100*_xlfn.STDEV.P(U109:U110)/AVERAGE(U109:U110))</f>
        <v/>
      </c>
      <c r="X110" s="8">
        <f t="array" ref="X110">IF(U110="","", IFERROR(((IF(U$5&lt;&gt;"", U$5*M$5, 0) + SUMPRODUCT(--(U$6:U110&lt;&gt;""), U$6:U110, (M$6:M110-M$5:M109)))/1000), ""))</f>
        <v/>
      </c>
    </row>
    <row r="111">
      <c r="A111" s="1">
        <f>A110+2</f>
        <v/>
      </c>
      <c r="B111" s="1">
        <f>C110</f>
        <v/>
      </c>
      <c r="E111" t="inlineStr">
        <is>
          <t>200mL/10s/60s</t>
        </is>
      </c>
      <c r="I111" s="1">
        <f>IF(C111="", "", (B111-C111)*1000/(A111-A110))</f>
        <v/>
      </c>
      <c r="J111" s="1">
        <f>IF(I111="","",I111/F$2/10)</f>
        <v/>
      </c>
      <c r="K111" s="1">
        <f>IF(I111="","", 100*_xlfn.STDEV.P(I110:I111)/AVERAGE(I110:I111))</f>
        <v/>
      </c>
      <c r="L111" s="8">
        <f t="array" ref="L111">IF(I111="","", IFERROR(((IF(I$5&lt;&gt;"", I$5*A$5, 0) + SUMPRODUCT(--(I$6:I111&lt;&gt;""), I$6:I111, (A$6:A111-A$5:A110)))/1000), ""))</f>
        <v/>
      </c>
      <c r="M111" s="1">
        <f>M110+2</f>
        <v/>
      </c>
      <c r="N111" s="1">
        <f>O110</f>
        <v/>
      </c>
      <c r="Q111" t="inlineStr">
        <is>
          <t>200mL/10s/60s</t>
        </is>
      </c>
      <c r="U111" s="1">
        <f>IF(O111="", "", (N111-O111)*1000/(M111-M110))</f>
        <v/>
      </c>
      <c r="V111" s="1">
        <f>IF(U111="","",U111/R$2/10)</f>
        <v/>
      </c>
      <c r="W111" s="1">
        <f>IF(U111="","", 100*_xlfn.STDEV.P(U110:U111)/AVERAGE(U110:U111))</f>
        <v/>
      </c>
      <c r="X111" s="8">
        <f t="array" ref="X111">IF(U111="","", IFERROR(((IF(U$5&lt;&gt;"", U$5*M$5, 0) + SUMPRODUCT(--(U$6:U111&lt;&gt;""), U$6:U111, (M$6:M111-M$5:M110)))/1000), ""))</f>
        <v/>
      </c>
    </row>
    <row r="112">
      <c r="A112" s="1">
        <f>A111+2</f>
        <v/>
      </c>
      <c r="B112" s="1">
        <f>C111</f>
        <v/>
      </c>
      <c r="E112" t="inlineStr">
        <is>
          <t>200mL/10s/60s</t>
        </is>
      </c>
      <c r="I112" s="1">
        <f>IF(C112="", "", (B112-C112)*1000/(A112-A111))</f>
        <v/>
      </c>
      <c r="J112" s="1">
        <f>IF(I112="","",I112/F$2/10)</f>
        <v/>
      </c>
      <c r="K112" s="1">
        <f>IF(I112="","", 100*_xlfn.STDEV.P(I111:I112)/AVERAGE(I111:I112))</f>
        <v/>
      </c>
      <c r="L112" s="8">
        <f t="array" ref="L112">IF(I112="","", IFERROR(((IF(I$5&lt;&gt;"", I$5*A$5, 0) + SUMPRODUCT(--(I$6:I112&lt;&gt;""), I$6:I112, (A$6:A112-A$5:A111)))/1000), ""))</f>
        <v/>
      </c>
      <c r="M112" s="1">
        <f>M111+2</f>
        <v/>
      </c>
      <c r="N112" s="1">
        <f>O111</f>
        <v/>
      </c>
      <c r="Q112" t="inlineStr">
        <is>
          <t>200mL/10s/60s</t>
        </is>
      </c>
      <c r="U112" s="1">
        <f>IF(O112="", "", (N112-O112)*1000/(M112-M111))</f>
        <v/>
      </c>
      <c r="V112" s="1">
        <f>IF(U112="","",U112/R$2/10)</f>
        <v/>
      </c>
      <c r="W112" s="1">
        <f>IF(U112="","", 100*_xlfn.STDEV.P(U111:U112)/AVERAGE(U111:U112))</f>
        <v/>
      </c>
      <c r="X112" s="8">
        <f t="array" ref="X112">IF(U112="","", IFERROR(((IF(U$5&lt;&gt;"", U$5*M$5, 0) + SUMPRODUCT(--(U$6:U112&lt;&gt;""), U$6:U112, (M$6:M112-M$5:M111)))/1000), ""))</f>
        <v/>
      </c>
    </row>
    <row r="113">
      <c r="A113" s="1">
        <f>A112+2</f>
        <v/>
      </c>
      <c r="B113" s="1">
        <f>C112</f>
        <v/>
      </c>
      <c r="E113" t="inlineStr">
        <is>
          <t>200mL/10s/60s</t>
        </is>
      </c>
      <c r="I113" s="1">
        <f>IF(C113="", "", (B113-C113)*1000/(A113-A112))</f>
        <v/>
      </c>
      <c r="J113" s="1">
        <f>IF(I113="","",I113/F$2/10)</f>
        <v/>
      </c>
      <c r="K113" s="1">
        <f>IF(I113="","", 100*_xlfn.STDEV.P(I112:I113)/AVERAGE(I112:I113))</f>
        <v/>
      </c>
      <c r="L113" s="8">
        <f t="array" ref="L113">IF(I113="","", IFERROR(((IF(I$5&lt;&gt;"", I$5*A$5, 0) + SUMPRODUCT(--(I$6:I113&lt;&gt;""), I$6:I113, (A$6:A113-A$5:A112)))/1000), ""))</f>
        <v/>
      </c>
      <c r="M113" s="1">
        <f>M112+2</f>
        <v/>
      </c>
      <c r="N113" s="1">
        <f>O112</f>
        <v/>
      </c>
      <c r="Q113" t="inlineStr">
        <is>
          <t>200mL/10s/60s</t>
        </is>
      </c>
      <c r="U113" s="1">
        <f>IF(O113="", "", (N113-O113)*1000/(M113-M112))</f>
        <v/>
      </c>
      <c r="V113" s="1">
        <f>IF(U113="","",U113/R$2/10)</f>
        <v/>
      </c>
      <c r="W113" s="1">
        <f>IF(U113="","", 100*_xlfn.STDEV.P(U112:U113)/AVERAGE(U112:U113))</f>
        <v/>
      </c>
      <c r="X113" s="8">
        <f t="array" ref="X113">IF(U113="","", IFERROR(((IF(U$5&lt;&gt;"", U$5*M$5, 0) + SUMPRODUCT(--(U$6:U113&lt;&gt;""), U$6:U113, (M$6:M113-M$5:M112)))/1000), ""))</f>
        <v/>
      </c>
    </row>
    <row r="114">
      <c r="A114" s="1">
        <f>A113+2</f>
        <v/>
      </c>
      <c r="B114" s="1">
        <f>C113</f>
        <v/>
      </c>
      <c r="E114" t="inlineStr">
        <is>
          <t>200mL/10s/60s</t>
        </is>
      </c>
      <c r="I114" s="1">
        <f>IF(C114="", "", (B114-C114)*1000/(A114-A113))</f>
        <v/>
      </c>
      <c r="J114" s="1">
        <f>IF(I114="","",I114/F$2/10)</f>
        <v/>
      </c>
      <c r="K114" s="1">
        <f>IF(I114="","", 100*_xlfn.STDEV.P(I113:I114)/AVERAGE(I113:I114))</f>
        <v/>
      </c>
      <c r="L114" s="8">
        <f t="array" ref="L114">IF(I114="","", IFERROR(((IF(I$5&lt;&gt;"", I$5*A$5, 0) + SUMPRODUCT(--(I$6:I114&lt;&gt;""), I$6:I114, (A$6:A114-A$5:A113)))/1000), ""))</f>
        <v/>
      </c>
      <c r="M114" s="1">
        <f>M113+2</f>
        <v/>
      </c>
      <c r="N114" s="1">
        <f>O113</f>
        <v/>
      </c>
      <c r="Q114" t="inlineStr">
        <is>
          <t>200mL/10s/60s</t>
        </is>
      </c>
      <c r="U114" s="1">
        <f>IF(O114="", "", (N114-O114)*1000/(M114-M113))</f>
        <v/>
      </c>
      <c r="V114" s="1">
        <f>IF(U114="","",U114/R$2/10)</f>
        <v/>
      </c>
      <c r="W114" s="1">
        <f>IF(U114="","", 100*_xlfn.STDEV.P(U113:U114)/AVERAGE(U113:U114))</f>
        <v/>
      </c>
      <c r="X114" s="8">
        <f t="array" ref="X114">IF(U114="","", IFERROR(((IF(U$5&lt;&gt;"", U$5*M$5, 0) + SUMPRODUCT(--(U$6:U114&lt;&gt;""), U$6:U114, (M$6:M114-M$5:M113)))/1000), ""))</f>
        <v/>
      </c>
    </row>
    <row r="115">
      <c r="A115" s="1">
        <f>A114+2</f>
        <v/>
      </c>
      <c r="B115" s="1">
        <f>C114</f>
        <v/>
      </c>
      <c r="E115" t="inlineStr">
        <is>
          <t>200mL/10s/60s</t>
        </is>
      </c>
      <c r="I115" s="1">
        <f>IF(C115="", "", (B115-C115)*1000/(A115-A114))</f>
        <v/>
      </c>
      <c r="J115" s="1">
        <f>IF(I115="","",I115/F$2/10)</f>
        <v/>
      </c>
      <c r="K115" s="1">
        <f>IF(I115="","", 100*_xlfn.STDEV.P(I114:I115)/AVERAGE(I114:I115))</f>
        <v/>
      </c>
      <c r="L115" s="8">
        <f t="array" ref="L115">IF(I115="","", IFERROR(((IF(I$5&lt;&gt;"", I$5*A$5, 0) + SUMPRODUCT(--(I$6:I115&lt;&gt;""), I$6:I115, (A$6:A115-A$5:A114)))/1000), ""))</f>
        <v/>
      </c>
      <c r="M115" s="1">
        <f>M114+2</f>
        <v/>
      </c>
      <c r="N115" s="1">
        <f>O114</f>
        <v/>
      </c>
      <c r="Q115" t="inlineStr">
        <is>
          <t>200mL/10s/60s</t>
        </is>
      </c>
      <c r="U115" s="1">
        <f>IF(O115="", "", (N115-O115)*1000/(M115-M114))</f>
        <v/>
      </c>
      <c r="V115" s="1">
        <f>IF(U115="","",U115/R$2/10)</f>
        <v/>
      </c>
      <c r="W115" s="1">
        <f>IF(U115="","", 100*_xlfn.STDEV.P(U114:U115)/AVERAGE(U114:U115))</f>
        <v/>
      </c>
      <c r="X115" s="8">
        <f t="array" ref="X115">IF(U115="","", IFERROR(((IF(U$5&lt;&gt;"", U$5*M$5, 0) + SUMPRODUCT(--(U$6:U115&lt;&gt;""), U$6:U115, (M$6:M115-M$5:M114)))/1000), ""))</f>
        <v/>
      </c>
    </row>
    <row r="116"/>
  </sheetData>
  <conditionalFormatting sqref="I5:L115">
    <cfRule type="containsErrors" priority="3" dxfId="0">
      <formula>ISERROR(I5)</formula>
    </cfRule>
  </conditionalFormatting>
  <conditionalFormatting sqref="K6:K115">
    <cfRule type="cellIs" priority="17" operator="between" dxfId="29">
      <formula>0</formula>
      <formula>15</formula>
    </cfRule>
    <cfRule type="cellIs" priority="18" operator="between" dxfId="28">
      <formula>15</formula>
      <formula>25</formula>
    </cfRule>
    <cfRule type="cellIs" priority="19" operator="between" dxfId="27">
      <formula>25</formula>
      <formula>1000</formula>
    </cfRule>
  </conditionalFormatting>
  <conditionalFormatting sqref="L2:L3 X2:X3">
    <cfRule type="containsErrors" priority="10" dxfId="0">
      <formula>ISERROR(L2)</formula>
    </cfRule>
  </conditionalFormatting>
  <conditionalFormatting sqref="U5:U115 W5:X115">
    <cfRule type="containsErrors" priority="2" dxfId="0">
      <formula>ISERROR(U5)</formula>
    </cfRule>
  </conditionalFormatting>
  <conditionalFormatting sqref="W6:W115">
    <cfRule type="cellIs" priority="14" operator="between" dxfId="29">
      <formula>0</formula>
      <formula>15</formula>
    </cfRule>
    <cfRule type="cellIs" priority="15" operator="between" dxfId="28">
      <formula>15</formula>
      <formula>25</formula>
    </cfRule>
    <cfRule type="cellIs" priority="16" operator="between" dxfId="27">
      <formula>25</formula>
      <formula>1000</formula>
    </cfRule>
  </conditionalFormatting>
  <conditionalFormatting sqref="V5:V115">
    <cfRule type="containsErrors" priority="1" dxfId="0">
      <formula>ISERROR(V5)</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X116"/>
  <sheetViews>
    <sheetView workbookViewId="0">
      <selection activeCell="T1" sqref="T1"/>
    </sheetView>
  </sheetViews>
  <sheetFormatPr baseColWidth="8" defaultRowHeight="15"/>
  <cols>
    <col width="11.710937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4.85546875" bestFit="1" customWidth="1" style="1" min="9" max="9"/>
    <col width="18" customWidth="1" style="1" min="10" max="10"/>
    <col width="12.140625" customWidth="1" style="1" min="11" max="11"/>
    <col width="14.140625" customWidth="1" style="7" min="12" max="12"/>
    <col width="11.710937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14.85546875" bestFit="1" customWidth="1" style="1" min="21" max="21"/>
    <col width="18" customWidth="1" style="1" min="22" max="22"/>
    <col width="12.140625" customWidth="1" style="1" min="23" max="23"/>
    <col width="14.140625" customWidth="1" style="7" min="24" max="24"/>
    <col width="9.140625" customWidth="1" style="1" min="25" max="16384"/>
  </cols>
  <sheetData>
    <row r="1" ht="45" customFormat="1" customHeight="1" s="27">
      <c r="A1" s="3" t="inlineStr">
        <is>
          <t>Rapid Puff Lifetime Test</t>
        </is>
      </c>
      <c r="C1" s="4" t="inlineStr">
        <is>
          <t>Date:</t>
        </is>
      </c>
      <c r="E1" s="4" t="inlineStr">
        <is>
          <t>Sample ID:</t>
        </is>
      </c>
      <c r="G1" s="4" t="inlineStr">
        <is>
          <t>Heating Technology:</t>
        </is>
      </c>
      <c r="J1" s="4" t="inlineStr">
        <is>
          <t>Did this burn?</t>
        </is>
      </c>
      <c r="L1" s="6" t="inlineStr">
        <is>
          <t>Average TPM and Standard deviation</t>
        </is>
      </c>
      <c r="M1" s="3" t="inlineStr">
        <is>
          <t>Rapid Puff Lifetime Test</t>
        </is>
      </c>
      <c r="O1" s="4" t="inlineStr">
        <is>
          <t>Date:</t>
        </is>
      </c>
      <c r="Q1" s="4" t="inlineStr">
        <is>
          <t>Sample ID:</t>
        </is>
      </c>
      <c r="S1" s="4" t="inlineStr">
        <is>
          <t>Heating Technology:</t>
        </is>
      </c>
      <c r="V1" s="4" t="inlineStr">
        <is>
          <t>Did this burn?</t>
        </is>
      </c>
      <c r="X1" s="6" t="inlineStr">
        <is>
          <t>Average TPM and Standard deviation</t>
        </is>
      </c>
    </row>
    <row r="2" ht="45"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60mL/2s/5s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60mL/2s/5s</t>
        </is>
      </c>
      <c r="U2" s="4" t="inlineStr">
        <is>
          <t>Usage Efficiency
                  ↓</t>
        </is>
      </c>
      <c r="V2" s="4" t="inlineStr">
        <is>
          <t>Did this clog?</t>
        </is>
      </c>
      <c r="X2" s="20">
        <f>IF(U5="","",AVERAGEIFS(U5:U115,U5:U115,"&lt;&gt;0",U5:U115,"&lt;&gt;"))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row>
    <row r="4" ht="45" customFormat="1" customHeight="1" s="27">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row>
    <row r="5">
      <c r="A5" s="1" t="n">
        <v>10</v>
      </c>
      <c r="B5" s="1" t="n">
        <v>0</v>
      </c>
      <c r="E5" t="inlineStr">
        <is>
          <t>60mL/2s/5s</t>
        </is>
      </c>
      <c r="I5" s="1">
        <f>IF(C5="", "", (B5-C5)*1000/A5)</f>
        <v/>
      </c>
      <c r="J5" s="1">
        <f>IF(I5="","",I5/F$2/2)</f>
        <v/>
      </c>
      <c r="L5" s="8">
        <f>IF(I5="","", IFERROR(((IF(I$5&lt;&gt;"", I$5*A$5, 0))/1000), ""))</f>
        <v/>
      </c>
      <c r="M5" s="1" t="n">
        <v>10</v>
      </c>
      <c r="Q5" t="inlineStr">
        <is>
          <t>60mL/2s/5s</t>
        </is>
      </c>
      <c r="U5" s="1">
        <f>IF(O5="", "", (N5-O5)*1000/M5)</f>
        <v/>
      </c>
      <c r="V5" s="1">
        <f>IF(U5="","",U5/R$2/2)</f>
        <v/>
      </c>
      <c r="X5" s="8">
        <f>IF(U5="","", IFERROR(((IF(U$5&lt;&gt;"", U$5*M$5, 0))/1000), ""))</f>
        <v/>
      </c>
    </row>
    <row r="6">
      <c r="A6" s="1">
        <f>A5+10</f>
        <v/>
      </c>
      <c r="B6" s="1">
        <f>C5</f>
        <v/>
      </c>
      <c r="E6" t="inlineStr">
        <is>
          <t>60mL/2s/5s</t>
        </is>
      </c>
      <c r="I6" s="1">
        <f>IF(C6="", "", (B6-C6)*1000/(A6-A5))</f>
        <v/>
      </c>
      <c r="J6" s="1">
        <f>IF(I6="","",I6/F$2/2)</f>
        <v/>
      </c>
      <c r="K6" s="1">
        <f>IF(I6="","", 100*_xlfn.STDEV.P(I5:I6)/AVERAGE(I5:I6))</f>
        <v/>
      </c>
      <c r="L6" s="8">
        <f t="array" ref="L6">IF(I6="","", IFERROR(((IF(I$5&lt;&gt;"", I$5*A$5, 0) + SUMPRODUCT(--(I$6:I6&lt;&gt;""), I$6:I6, (A$6:A6-A$5:A5)))/1000), ""))</f>
        <v/>
      </c>
      <c r="M6" s="1">
        <f>M5+10</f>
        <v/>
      </c>
      <c r="N6" s="1">
        <f>O5</f>
        <v/>
      </c>
      <c r="Q6" t="inlineStr">
        <is>
          <t>60mL/2s/5s</t>
        </is>
      </c>
      <c r="U6" s="1">
        <f>IF(O6="", "", (N6-O6)*1000/(M6-M5))</f>
        <v/>
      </c>
      <c r="V6" s="1">
        <f>IF(U6="","",U6/R$2/2)</f>
        <v/>
      </c>
      <c r="W6" s="1">
        <f>IF(U6="","", 100*_xlfn.STDEV.P(U5:U6)/AVERAGE(U5:U6))</f>
        <v/>
      </c>
      <c r="X6" s="8">
        <f t="array" ref="X6">IF(U6="","", IFERROR(((IF(U$5&lt;&gt;"", U$5*M$5, 0) + SUMPRODUCT(--(U$6:U6&lt;&gt;""), U$6:U6, (M$6:M6-M$5:M5)))/1000), ""))</f>
        <v/>
      </c>
    </row>
    <row r="7">
      <c r="A7" s="1">
        <f>A6+10</f>
        <v/>
      </c>
      <c r="B7" s="1">
        <f>C6</f>
        <v/>
      </c>
      <c r="E7" t="inlineStr">
        <is>
          <t>60mL/2s/5s</t>
        </is>
      </c>
      <c r="I7" s="1">
        <f>IF(C7="", "", (B7-C7)*1000/(A7-A6))</f>
        <v/>
      </c>
      <c r="J7" s="1">
        <f>IF(I7="","",I7/F$2/2.5)</f>
        <v/>
      </c>
      <c r="K7" s="1">
        <f>IF(I7="","", 100*_xlfn.STDEV.P(I6:I7)/AVERAGE(I6:I7))</f>
        <v/>
      </c>
      <c r="L7" s="8">
        <f t="array" ref="L7">IF(I7="","", IFERROR(((IF(I$5&lt;&gt;"", I$5*A$5, 0) + SUMPRODUCT(--(I$6:I7&lt;&gt;""), I$6:I7, (A$6:A7-A$5:A6)))/1000), ""))</f>
        <v/>
      </c>
      <c r="M7" s="1">
        <f>M6+10</f>
        <v/>
      </c>
      <c r="N7" s="1">
        <f>O6</f>
        <v/>
      </c>
      <c r="Q7" t="inlineStr">
        <is>
          <t>60mL/2s/5s</t>
        </is>
      </c>
      <c r="U7" s="1">
        <f>IF(O7="", "", (N7-O7)*1000/(M7-M6))</f>
        <v/>
      </c>
      <c r="V7" s="1">
        <f>IF(U7="","",U7/R$2/2.5)</f>
        <v/>
      </c>
      <c r="W7" s="1">
        <f>IF(U7="","", 100*_xlfn.STDEV.P(U6:U7)/AVERAGE(U6:U7))</f>
        <v/>
      </c>
      <c r="X7" s="8">
        <f t="array" ref="X7">IF(U7="","", IFERROR(((IF(U$5&lt;&gt;"", U$5*M$5, 0) + SUMPRODUCT(--(U$6:U7&lt;&gt;""), U$6:U7, (M$6:M7-M$5:M6)))/1000), ""))</f>
        <v/>
      </c>
    </row>
    <row r="8">
      <c r="A8" s="1">
        <f>A7+10</f>
        <v/>
      </c>
      <c r="B8" s="1">
        <f>C7</f>
        <v/>
      </c>
      <c r="E8" t="inlineStr">
        <is>
          <t>60mL/2s/5s</t>
        </is>
      </c>
      <c r="I8" s="1">
        <f>IF(C8="", "", (B8-C8)*1000/(A8-A7))</f>
        <v/>
      </c>
      <c r="J8" s="1">
        <f>IF(I8="","",I8/F$2/2.5)</f>
        <v/>
      </c>
      <c r="K8" s="1">
        <f>IF(I8="","", 100*_xlfn.STDEV.P(I7:I8)/AVERAGE(I7:I8))</f>
        <v/>
      </c>
      <c r="L8" s="8">
        <f t="array" ref="L8">IF(I8="","", IFERROR(((IF(I$5&lt;&gt;"", I$5*A$5, 0) + SUMPRODUCT(--(I$6:I8&lt;&gt;""), I$6:I8, (A$6:A8-A$5:A7)))/1000), ""))</f>
        <v/>
      </c>
      <c r="M8" s="1">
        <f>M7+10</f>
        <v/>
      </c>
      <c r="N8" s="1">
        <f>O7</f>
        <v/>
      </c>
      <c r="Q8" t="inlineStr">
        <is>
          <t>60mL/2s/5s</t>
        </is>
      </c>
      <c r="U8" s="1">
        <f>IF(O8="", "", (N8-O8)*1000/(M8-M7))</f>
        <v/>
      </c>
      <c r="V8" s="1">
        <f>IF(U8="","",U8/R$2/2.5)</f>
        <v/>
      </c>
      <c r="W8" s="1">
        <f>IF(U8="","", 100*_xlfn.STDEV.P(U7:U8)/AVERAGE(U7:U8))</f>
        <v/>
      </c>
      <c r="X8" s="8">
        <f t="array" ref="X8">IF(U8="","", IFERROR(((IF(U$5&lt;&gt;"", U$5*M$5, 0) + SUMPRODUCT(--(U$6:U8&lt;&gt;""), U$6:U8, (M$6:M8-M$5:M7)))/1000), ""))</f>
        <v/>
      </c>
    </row>
    <row r="9">
      <c r="A9" s="1">
        <f>A8+10</f>
        <v/>
      </c>
      <c r="B9" s="1">
        <f>C8</f>
        <v/>
      </c>
      <c r="E9" t="inlineStr">
        <is>
          <t>60mL/2s/5s</t>
        </is>
      </c>
      <c r="I9" s="1">
        <f>IF(C9="", "", (B9-C9)*1000/(A9-A8))</f>
        <v/>
      </c>
      <c r="J9" s="1">
        <f>IF(I9="","",I9/F$2/2.5)</f>
        <v/>
      </c>
      <c r="K9" s="1">
        <f>IF(I9="","", 100*_xlfn.STDEV.P(I8:I9)/AVERAGE(I8:I9))</f>
        <v/>
      </c>
      <c r="L9" s="8">
        <f t="array" ref="L9">IF(I9="","", IFERROR(((IF(I$5&lt;&gt;"", I$5*A$5, 0) + SUMPRODUCT(--(I$6:I9&lt;&gt;""), I$6:I9, (A$6:A9-A$5:A8)))/1000), ""))</f>
        <v/>
      </c>
      <c r="M9" s="1">
        <f>M8+10</f>
        <v/>
      </c>
      <c r="N9" s="1">
        <f>O8</f>
        <v/>
      </c>
      <c r="Q9" t="inlineStr">
        <is>
          <t>60mL/2s/5s</t>
        </is>
      </c>
      <c r="U9" s="1">
        <f>IF(O9="", "", (N9-O9)*1000/(M9-M8))</f>
        <v/>
      </c>
      <c r="V9" s="1">
        <f>IF(U9="","",U9/R$2/2.5)</f>
        <v/>
      </c>
      <c r="W9" s="1">
        <f>IF(U9="","", 100*_xlfn.STDEV.P(U8:U9)/AVERAGE(U8:U9))</f>
        <v/>
      </c>
      <c r="X9" s="8">
        <f t="array" ref="X9">IF(U9="","", IFERROR(((IF(U$5&lt;&gt;"", U$5*M$5, 0) + SUMPRODUCT(--(U$6:U9&lt;&gt;""), U$6:U9, (M$6:M9-M$5:M8)))/1000), ""))</f>
        <v/>
      </c>
    </row>
    <row r="10">
      <c r="A10" s="1">
        <f>A9+10</f>
        <v/>
      </c>
      <c r="B10" s="1">
        <f>C9</f>
        <v/>
      </c>
      <c r="E10" t="inlineStr">
        <is>
          <t>60mL/2s/5s</t>
        </is>
      </c>
      <c r="I10" s="1">
        <f>IF(C10="", "", (B10-C10)*1000/(A10-A9))</f>
        <v/>
      </c>
      <c r="J10" s="1">
        <f>IF(I10="","",I10/F$2/2.5)</f>
        <v/>
      </c>
      <c r="K10" s="1">
        <f>IF(I10="","", 100*_xlfn.STDEV.P(I9:I10)/AVERAGE(I9:I10))</f>
        <v/>
      </c>
      <c r="L10" s="8">
        <f t="array" ref="L10">IF(I10="","", IFERROR(((IF(I$5&lt;&gt;"", I$5*A$5, 0) + SUMPRODUCT(--(I$6:I10&lt;&gt;""), I$6:I10, (A$6:A10-A$5:A9)))/1000), ""))</f>
        <v/>
      </c>
      <c r="M10" s="1">
        <f>M9+10</f>
        <v/>
      </c>
      <c r="N10" s="1">
        <f>O9</f>
        <v/>
      </c>
      <c r="Q10" t="inlineStr">
        <is>
          <t>60mL/2s/5s</t>
        </is>
      </c>
      <c r="U10" s="1">
        <f>IF(O10="", "", (N10-O10)*1000/(M10-M9))</f>
        <v/>
      </c>
      <c r="V10" s="1">
        <f>IF(U10="","",U10/R$2/2.5)</f>
        <v/>
      </c>
      <c r="W10" s="1">
        <f>IF(U10="","", 100*_xlfn.STDEV.P(U9:U10)/AVERAGE(U9:U10))</f>
        <v/>
      </c>
      <c r="X10" s="8">
        <f t="array" ref="X10">IF(U10="","", IFERROR(((IF(U$5&lt;&gt;"", U$5*M$5, 0) + SUMPRODUCT(--(U$6:U10&lt;&gt;""), U$6:U10, (M$6:M10-M$5:M9)))/1000), ""))</f>
        <v/>
      </c>
    </row>
    <row r="11">
      <c r="A11" s="1">
        <f>A10+10</f>
        <v/>
      </c>
      <c r="B11" s="1">
        <f>C10</f>
        <v/>
      </c>
      <c r="E11" t="inlineStr">
        <is>
          <t>60mL/2s/5s</t>
        </is>
      </c>
      <c r="I11" s="1">
        <f>IF(C11="", "", (B11-C11)*1000/(A11-A10))</f>
        <v/>
      </c>
      <c r="J11" s="1">
        <f>IF(I11="","",I11/F$2/2.5)</f>
        <v/>
      </c>
      <c r="K11" s="1">
        <f>IF(I11="","", 100*_xlfn.STDEV.P(I10:I11)/AVERAGE(I10:I11))</f>
        <v/>
      </c>
      <c r="L11" s="8">
        <f t="array" ref="L11">IF(I11="","", IFERROR(((IF(I$5&lt;&gt;"", I$5*A$5, 0) + SUMPRODUCT(--(I$6:I11&lt;&gt;""), I$6:I11, (A$6:A11-A$5:A10)))/1000), ""))</f>
        <v/>
      </c>
      <c r="M11" s="1">
        <f>M10+10</f>
        <v/>
      </c>
      <c r="N11" s="1">
        <f>O10</f>
        <v/>
      </c>
      <c r="Q11" t="inlineStr">
        <is>
          <t>60mL/2s/5s</t>
        </is>
      </c>
      <c r="U11" s="1">
        <f>IF(O11="", "", (N11-O11)*1000/(M11-M10))</f>
        <v/>
      </c>
      <c r="V11" s="1">
        <f>IF(U11="","",U11/R$2/2.5)</f>
        <v/>
      </c>
      <c r="W11" s="1">
        <f>IF(U11="","", 100*_xlfn.STDEV.P(U10:U11)/AVERAGE(U10:U11))</f>
        <v/>
      </c>
      <c r="X11" s="8">
        <f t="array" ref="X11">IF(U11="","", IFERROR(((IF(U$5&lt;&gt;"", U$5*M$5, 0) + SUMPRODUCT(--(U$6:U11&lt;&gt;""), U$6:U11, (M$6:M11-M$5:M10)))/1000), ""))</f>
        <v/>
      </c>
    </row>
    <row r="12">
      <c r="A12" s="1">
        <f>A11+10</f>
        <v/>
      </c>
      <c r="B12" s="1">
        <f>C11</f>
        <v/>
      </c>
      <c r="E12" t="inlineStr">
        <is>
          <t>60mL/2s/5s</t>
        </is>
      </c>
      <c r="I12" s="1">
        <f>IF(C12="", "", (B12-C12)*1000/(A12-A11))</f>
        <v/>
      </c>
      <c r="J12" s="1">
        <f>IF(I12="","",I12/F$2/2.5)</f>
        <v/>
      </c>
      <c r="K12" s="1">
        <f>IF(I12="","", 100*_xlfn.STDEV.P(I11:I12)/AVERAGE(I11:I12))</f>
        <v/>
      </c>
      <c r="L12" s="8">
        <f t="array" ref="L12">IF(I12="","", IFERROR(((IF(I$5&lt;&gt;"", I$5*A$5, 0) + SUMPRODUCT(--(I$6:I12&lt;&gt;""), I$6:I12, (A$6:A12-A$5:A11)))/1000), ""))</f>
        <v/>
      </c>
      <c r="M12" s="1">
        <f>M11+10</f>
        <v/>
      </c>
      <c r="N12" s="1">
        <f>O11</f>
        <v/>
      </c>
      <c r="Q12" t="inlineStr">
        <is>
          <t>60mL/2s/5s</t>
        </is>
      </c>
      <c r="U12" s="1">
        <f>IF(O12="", "", (N12-O12)*1000/(M12-M11))</f>
        <v/>
      </c>
      <c r="V12" s="1">
        <f>IF(U12="","",U12/R$2/2.5)</f>
        <v/>
      </c>
      <c r="W12" s="1">
        <f>IF(U12="","", 100*_xlfn.STDEV.P(U11:U12)/AVERAGE(U11:U12))</f>
        <v/>
      </c>
      <c r="X12" s="8">
        <f t="array" ref="X12">IF(U12="","", IFERROR(((IF(U$5&lt;&gt;"", U$5*M$5, 0) + SUMPRODUCT(--(U$6:U12&lt;&gt;""), U$6:U12, (M$6:M12-M$5:M11)))/1000), ""))</f>
        <v/>
      </c>
    </row>
    <row r="13">
      <c r="A13" s="1">
        <f>A12+10</f>
        <v/>
      </c>
      <c r="B13" s="1">
        <f>C12</f>
        <v/>
      </c>
      <c r="E13" t="inlineStr">
        <is>
          <t>60mL/2s/5s</t>
        </is>
      </c>
      <c r="I13" s="1">
        <f>IF(C13="", "", (B13-C13)*1000/(A13-A12))</f>
        <v/>
      </c>
      <c r="J13" s="1">
        <f>IF(I13="","",I13/F$2/2.5)</f>
        <v/>
      </c>
      <c r="K13" s="1">
        <f>IF(I13="","", 100*_xlfn.STDEV.P(I12:I13)/AVERAGE(I12:I13))</f>
        <v/>
      </c>
      <c r="L13" s="8">
        <f t="array" ref="L13">IF(I13="","", IFERROR(((IF(I$5&lt;&gt;"", I$5*A$5, 0) + SUMPRODUCT(--(I$6:I13&lt;&gt;""), I$6:I13, (A$6:A13-A$5:A12)))/1000), ""))</f>
        <v/>
      </c>
      <c r="M13" s="1">
        <f>M12+10</f>
        <v/>
      </c>
      <c r="N13" s="1">
        <f>O12</f>
        <v/>
      </c>
      <c r="Q13" t="inlineStr">
        <is>
          <t>60mL/2s/5s</t>
        </is>
      </c>
      <c r="U13" s="1">
        <f>IF(O13="", "", (N13-O13)*1000/(M13-M12))</f>
        <v/>
      </c>
      <c r="V13" s="1">
        <f>IF(U13="","",U13/R$2/2.5)</f>
        <v/>
      </c>
      <c r="W13" s="1">
        <f>IF(U13="","", 100*_xlfn.STDEV.P(U12:U13)/AVERAGE(U12:U13))</f>
        <v/>
      </c>
      <c r="X13" s="8">
        <f t="array" ref="X13">IF(U13="","", IFERROR(((IF(U$5&lt;&gt;"", U$5*M$5, 0) + SUMPRODUCT(--(U$6:U13&lt;&gt;""), U$6:U13, (M$6:M13-M$5:M12)))/1000), ""))</f>
        <v/>
      </c>
    </row>
    <row r="14">
      <c r="A14" s="1">
        <f>A13+10</f>
        <v/>
      </c>
      <c r="B14" s="1">
        <f>C13</f>
        <v/>
      </c>
      <c r="E14" t="inlineStr">
        <is>
          <t>60mL/2s/5s</t>
        </is>
      </c>
      <c r="I14" s="1">
        <f>IF(C14="", "", (B14-C14)*1000/(A14-A13))</f>
        <v/>
      </c>
      <c r="J14" s="1">
        <f>IF(I14="","",I14/F$2/2.5)</f>
        <v/>
      </c>
      <c r="K14" s="1">
        <f>IF(I14="","", 100*_xlfn.STDEV.P(I13:I14)/AVERAGE(I13:I14))</f>
        <v/>
      </c>
      <c r="L14" s="8">
        <f t="array" ref="L14">IF(I14="","", IFERROR(((IF(I$5&lt;&gt;"", I$5*A$5, 0) + SUMPRODUCT(--(I$6:I14&lt;&gt;""), I$6:I14, (A$6:A14-A$5:A13)))/1000), ""))</f>
        <v/>
      </c>
      <c r="M14" s="1">
        <f>M13+10</f>
        <v/>
      </c>
      <c r="N14" s="1">
        <f>O13</f>
        <v/>
      </c>
      <c r="Q14" t="inlineStr">
        <is>
          <t>60mL/2s/5s</t>
        </is>
      </c>
      <c r="U14" s="1">
        <f>IF(O14="", "", (N14-O14)*1000/(M14-M13))</f>
        <v/>
      </c>
      <c r="V14" s="1">
        <f>IF(U14="","",U14/R$2/2.5)</f>
        <v/>
      </c>
      <c r="W14" s="1">
        <f>IF(U14="","", 100*_xlfn.STDEV.P(U13:U14)/AVERAGE(U13:U14))</f>
        <v/>
      </c>
      <c r="X14" s="8">
        <f t="array" ref="X14">IF(U14="","", IFERROR(((IF(U$5&lt;&gt;"", U$5*M$5, 0) + SUMPRODUCT(--(U$6:U14&lt;&gt;""), U$6:U14, (M$6:M14-M$5:M13)))/1000), ""))</f>
        <v/>
      </c>
    </row>
    <row r="15">
      <c r="A15" s="1">
        <f>A14+10</f>
        <v/>
      </c>
      <c r="B15" s="1">
        <f>C14</f>
        <v/>
      </c>
      <c r="E15" t="inlineStr">
        <is>
          <t>60mL/2s/5s</t>
        </is>
      </c>
      <c r="I15" s="1">
        <f>IF(C15="", "", (B15-C15)*1000/(A15-A14))</f>
        <v/>
      </c>
      <c r="J15" s="1">
        <f>IF(I15="","",I15/F$2/2.5)</f>
        <v/>
      </c>
      <c r="K15" s="1">
        <f>IF(I15="","", 100*_xlfn.STDEV.P(I14:I15)/AVERAGE(I14:I15))</f>
        <v/>
      </c>
      <c r="L15" s="8">
        <f t="array" ref="L15">IF(I15="","", IFERROR(((IF(I$5&lt;&gt;"", I$5*A$5, 0) + SUMPRODUCT(--(I$6:I15&lt;&gt;""), I$6:I15, (A$6:A15-A$5:A14)))/1000), ""))</f>
        <v/>
      </c>
      <c r="M15" s="1">
        <f>M14+10</f>
        <v/>
      </c>
      <c r="N15" s="1">
        <f>O14</f>
        <v/>
      </c>
      <c r="Q15" t="inlineStr">
        <is>
          <t>60mL/2s/5s</t>
        </is>
      </c>
      <c r="U15" s="1">
        <f>IF(O15="", "", (N15-O15)*1000/(M15-M14))</f>
        <v/>
      </c>
      <c r="V15" s="1">
        <f>IF(U15="","",U15/R$2/2.5)</f>
        <v/>
      </c>
      <c r="W15" s="1">
        <f>IF(U15="","", 100*_xlfn.STDEV.P(U14:U15)/AVERAGE(U14:U15))</f>
        <v/>
      </c>
      <c r="X15" s="8">
        <f t="array" ref="X15">IF(U15="","", IFERROR(((IF(U$5&lt;&gt;"", U$5*M$5, 0) + SUMPRODUCT(--(U$6:U15&lt;&gt;""), U$6:U15, (M$6:M15-M$5:M14)))/1000), ""))</f>
        <v/>
      </c>
    </row>
    <row r="16">
      <c r="A16" s="1">
        <f>A15+10</f>
        <v/>
      </c>
      <c r="B16" s="1">
        <f>C15</f>
        <v/>
      </c>
      <c r="E16" t="inlineStr">
        <is>
          <t>60mL/2s/5s</t>
        </is>
      </c>
      <c r="I16" s="1">
        <f>IF(C16="", "", (B16-C16)*1000/(A16-A15))</f>
        <v/>
      </c>
      <c r="J16" s="1">
        <f>IF(I16="","",I16/F$2/2.5)</f>
        <v/>
      </c>
      <c r="K16" s="1">
        <f>IF(I16="","", 100*_xlfn.STDEV.P(I15:I16)/AVERAGE(I15:I16))</f>
        <v/>
      </c>
      <c r="L16" s="8">
        <f t="array" ref="L16">IF(I16="","", IFERROR(((IF(I$5&lt;&gt;"", I$5*A$5, 0) + SUMPRODUCT(--(I$6:I16&lt;&gt;""), I$6:I16, (A$6:A16-A$5:A15)))/1000), ""))</f>
        <v/>
      </c>
      <c r="M16" s="1">
        <f>M15+10</f>
        <v/>
      </c>
      <c r="N16" s="1">
        <f>O15</f>
        <v/>
      </c>
      <c r="Q16" t="inlineStr">
        <is>
          <t>60mL/2s/5s</t>
        </is>
      </c>
      <c r="U16" s="1">
        <f>IF(O16="", "", (N16-O16)*1000/(M16-M15))</f>
        <v/>
      </c>
      <c r="V16" s="1">
        <f>IF(U16="","",U16/R$2/2.5)</f>
        <v/>
      </c>
      <c r="W16" s="1">
        <f>IF(U16="","", 100*_xlfn.STDEV.P(U15:U16)/AVERAGE(U15:U16))</f>
        <v/>
      </c>
      <c r="X16" s="8">
        <f t="array" ref="X16">IF(U16="","", IFERROR(((IF(U$5&lt;&gt;"", U$5*M$5, 0) + SUMPRODUCT(--(U$6:U16&lt;&gt;""), U$6:U16, (M$6:M16-M$5:M15)))/1000), ""))</f>
        <v/>
      </c>
    </row>
    <row r="17">
      <c r="A17" s="1">
        <f>A16+10</f>
        <v/>
      </c>
      <c r="B17" s="1">
        <f>C16</f>
        <v/>
      </c>
      <c r="E17" t="inlineStr">
        <is>
          <t>60mL/2s/5s</t>
        </is>
      </c>
      <c r="I17" s="1">
        <f>IF(C17="", "", (B17-C17)*1000/(A17-A16))</f>
        <v/>
      </c>
      <c r="J17" s="1">
        <f>IF(I17="","",I17/F$2/2.5)</f>
        <v/>
      </c>
      <c r="K17" s="1">
        <f>IF(I17="","", 100*_xlfn.STDEV.P(I16:I17)/AVERAGE(I16:I17))</f>
        <v/>
      </c>
      <c r="L17" s="8">
        <f t="array" ref="L17">IF(I17="","", IFERROR(((IF(I$5&lt;&gt;"", I$5*A$5, 0) + SUMPRODUCT(--(I$6:I17&lt;&gt;""), I$6:I17, (A$6:A17-A$5:A16)))/1000), ""))</f>
        <v/>
      </c>
      <c r="M17" s="1">
        <f>M16+10</f>
        <v/>
      </c>
      <c r="N17" s="1">
        <f>O16</f>
        <v/>
      </c>
      <c r="Q17" t="inlineStr">
        <is>
          <t>60mL/2s/5s</t>
        </is>
      </c>
      <c r="U17" s="1">
        <f>IF(O17="", "", (N17-O17)*1000/(M17-M16))</f>
        <v/>
      </c>
      <c r="V17" s="1">
        <f>IF(U17="","",U17/R$2/2.5)</f>
        <v/>
      </c>
      <c r="W17" s="1">
        <f>IF(U17="","", 100*_xlfn.STDEV.P(U16:U17)/AVERAGE(U16:U17))</f>
        <v/>
      </c>
      <c r="X17" s="8">
        <f t="array" ref="X17">IF(U17="","", IFERROR(((IF(U$5&lt;&gt;"", U$5*M$5, 0) + SUMPRODUCT(--(U$6:U17&lt;&gt;""), U$6:U17, (M$6:M17-M$5:M16)))/1000), ""))</f>
        <v/>
      </c>
    </row>
    <row r="18">
      <c r="A18" s="1">
        <f>A17+10</f>
        <v/>
      </c>
      <c r="B18" s="1">
        <f>C17</f>
        <v/>
      </c>
      <c r="E18" t="inlineStr">
        <is>
          <t>60mL/2s/5s</t>
        </is>
      </c>
      <c r="I18" s="1">
        <f>IF(C18="", "", (B18-C18)*1000/(A18-A17))</f>
        <v/>
      </c>
      <c r="J18" s="1">
        <f>IF(I18="","",I18/F$2/2.5)</f>
        <v/>
      </c>
      <c r="K18" s="1">
        <f>IF(I18="","", 100*_xlfn.STDEV.P(I17:I18)/AVERAGE(I17:I18))</f>
        <v/>
      </c>
      <c r="L18" s="8">
        <f t="array" ref="L18">IF(I18="","", IFERROR(((IF(I$5&lt;&gt;"", I$5*A$5, 0) + SUMPRODUCT(--(I$6:I18&lt;&gt;""), I$6:I18, (A$6:A18-A$5:A17)))/1000), ""))</f>
        <v/>
      </c>
      <c r="M18" s="1">
        <f>M17+10</f>
        <v/>
      </c>
      <c r="N18" s="1">
        <f>O17</f>
        <v/>
      </c>
      <c r="Q18" t="inlineStr">
        <is>
          <t>60mL/2s/5s</t>
        </is>
      </c>
      <c r="U18" s="1">
        <f>IF(O18="", "", (N18-O18)*1000/(M18-M17))</f>
        <v/>
      </c>
      <c r="V18" s="1">
        <f>IF(U18="","",U18/R$2/2.5)</f>
        <v/>
      </c>
      <c r="W18" s="1">
        <f>IF(U18="","", 100*_xlfn.STDEV.P(U17:U18)/AVERAGE(U17:U18))</f>
        <v/>
      </c>
      <c r="X18" s="8">
        <f t="array" ref="X18">IF(U18="","", IFERROR(((IF(U$5&lt;&gt;"", U$5*M$5, 0) + SUMPRODUCT(--(U$6:U18&lt;&gt;""), U$6:U18, (M$6:M18-M$5:M17)))/1000), ""))</f>
        <v/>
      </c>
    </row>
    <row r="19">
      <c r="A19" s="1">
        <f>A18+10</f>
        <v/>
      </c>
      <c r="B19" s="1">
        <f>C18</f>
        <v/>
      </c>
      <c r="E19" t="inlineStr">
        <is>
          <t>60mL/2s/5s</t>
        </is>
      </c>
      <c r="I19" s="1">
        <f>IF(C19="", "", (B19-C19)*1000/(A19-A18))</f>
        <v/>
      </c>
      <c r="J19" s="1">
        <f>IF(I19="","",I19/F$2/2.5)</f>
        <v/>
      </c>
      <c r="K19" s="1">
        <f>IF(I19="","", 100*_xlfn.STDEV.P(I18:I19)/AVERAGE(I18:I19))</f>
        <v/>
      </c>
      <c r="L19" s="8">
        <f t="array" ref="L19">IF(I19="","", IFERROR(((IF(I$5&lt;&gt;"", I$5*A$5, 0) + SUMPRODUCT(--(I$6:I19&lt;&gt;""), I$6:I19, (A$6:A19-A$5:A18)))/1000), ""))</f>
        <v/>
      </c>
      <c r="M19" s="1">
        <f>M18+10</f>
        <v/>
      </c>
      <c r="N19" s="1">
        <f>O18</f>
        <v/>
      </c>
      <c r="Q19" t="inlineStr">
        <is>
          <t>60mL/2s/5s</t>
        </is>
      </c>
      <c r="U19" s="1">
        <f>IF(O19="", "", (N19-O19)*1000/(M19-M18))</f>
        <v/>
      </c>
      <c r="V19" s="1">
        <f>IF(U19="","",U19/R$2/2.5)</f>
        <v/>
      </c>
      <c r="W19" s="1">
        <f>IF(U19="","", 100*_xlfn.STDEV.P(U18:U19)/AVERAGE(U18:U19))</f>
        <v/>
      </c>
      <c r="X19" s="8">
        <f t="array" ref="X19">IF(U19="","", IFERROR(((IF(U$5&lt;&gt;"", U$5*M$5, 0) + SUMPRODUCT(--(U$6:U19&lt;&gt;""), U$6:U19, (M$6:M19-M$5:M18)))/1000), ""))</f>
        <v/>
      </c>
    </row>
    <row r="20">
      <c r="A20" s="1">
        <f>A19+10</f>
        <v/>
      </c>
      <c r="B20" s="1">
        <f>C19</f>
        <v/>
      </c>
      <c r="E20" t="inlineStr">
        <is>
          <t>60mL/2s/5s</t>
        </is>
      </c>
      <c r="I20" s="1">
        <f>IF(C20="", "", (B20-C20)*1000/(A20-A19))</f>
        <v/>
      </c>
      <c r="J20" s="1">
        <f>IF(I20="","",I20/F$2/2.5)</f>
        <v/>
      </c>
      <c r="K20" s="1">
        <f>IF(I20="","", 100*_xlfn.STDEV.P(I19:I20)/AVERAGE(I19:I20))</f>
        <v/>
      </c>
      <c r="L20" s="8">
        <f t="array" ref="L20">IF(I20="","", IFERROR(((IF(I$5&lt;&gt;"", I$5*A$5, 0) + SUMPRODUCT(--(I$6:I20&lt;&gt;""), I$6:I20, (A$6:A20-A$5:A19)))/1000), ""))</f>
        <v/>
      </c>
      <c r="M20" s="1">
        <f>M19+10</f>
        <v/>
      </c>
      <c r="N20" s="1">
        <f>O19</f>
        <v/>
      </c>
      <c r="Q20" t="inlineStr">
        <is>
          <t>60mL/2s/5s</t>
        </is>
      </c>
      <c r="U20" s="1">
        <f>IF(O20="", "", (N20-O20)*1000/(M20-M19))</f>
        <v/>
      </c>
      <c r="V20" s="1">
        <f>IF(U20="","",U20/R$2/2.5)</f>
        <v/>
      </c>
      <c r="W20" s="1">
        <f>IF(U20="","", 100*_xlfn.STDEV.P(U19:U20)/AVERAGE(U19:U20))</f>
        <v/>
      </c>
      <c r="X20" s="8">
        <f t="array" ref="X20">IF(U20="","", IFERROR(((IF(U$5&lt;&gt;"", U$5*M$5, 0) + SUMPRODUCT(--(U$6:U20&lt;&gt;""), U$6:U20, (M$6:M20-M$5:M19)))/1000), ""))</f>
        <v/>
      </c>
    </row>
    <row r="21">
      <c r="A21" s="1">
        <f>A20+10</f>
        <v/>
      </c>
      <c r="B21" s="1">
        <f>C20</f>
        <v/>
      </c>
      <c r="E21" t="inlineStr">
        <is>
          <t>60mL/2s/5s</t>
        </is>
      </c>
      <c r="I21" s="1">
        <f>IF(C21="", "", (B21-C21)*1000/(A21-A20))</f>
        <v/>
      </c>
      <c r="J21" s="1">
        <f>IF(I21="","",I21/F$2/2.5)</f>
        <v/>
      </c>
      <c r="K21" s="1">
        <f>IF(I21="","", 100*_xlfn.STDEV.P(I20:I21)/AVERAGE(I20:I21))</f>
        <v/>
      </c>
      <c r="L21" s="8">
        <f t="array" ref="L21">IF(I21="","", IFERROR(((IF(I$5&lt;&gt;"", I$5*A$5, 0) + SUMPRODUCT(--(I$6:I21&lt;&gt;""), I$6:I21, (A$6:A21-A$5:A20)))/1000), ""))</f>
        <v/>
      </c>
      <c r="M21" s="1">
        <f>M20+10</f>
        <v/>
      </c>
      <c r="N21" s="1">
        <f>O20</f>
        <v/>
      </c>
      <c r="Q21" t="inlineStr">
        <is>
          <t>60mL/2s/5s</t>
        </is>
      </c>
      <c r="U21" s="1">
        <f>IF(O21="", "", (N21-O21)*1000/(M21-M20))</f>
        <v/>
      </c>
      <c r="V21" s="1">
        <f>IF(U21="","",U21/R$2/2.5)</f>
        <v/>
      </c>
      <c r="W21" s="1">
        <f>IF(U21="","", 100*_xlfn.STDEV.P(U20:U21)/AVERAGE(U20:U21))</f>
        <v/>
      </c>
      <c r="X21" s="8">
        <f t="array" ref="X21">IF(U21="","", IFERROR(((IF(U$5&lt;&gt;"", U$5*M$5, 0) + SUMPRODUCT(--(U$6:U21&lt;&gt;""), U$6:U21, (M$6:M21-M$5:M20)))/1000), ""))</f>
        <v/>
      </c>
    </row>
    <row r="22">
      <c r="A22" s="1">
        <f>A21+10</f>
        <v/>
      </c>
      <c r="B22" s="1">
        <f>C21</f>
        <v/>
      </c>
      <c r="E22" t="inlineStr">
        <is>
          <t>60mL/2s/5s</t>
        </is>
      </c>
      <c r="I22" s="1">
        <f>IF(C22="", "", (B22-C22)*1000/(A22-A21))</f>
        <v/>
      </c>
      <c r="J22" s="1">
        <f>IF(I22="","",I22/F$2/2.5)</f>
        <v/>
      </c>
      <c r="K22" s="1">
        <f>IF(I22="","", 100*_xlfn.STDEV.P(I21:I22)/AVERAGE(I21:I22))</f>
        <v/>
      </c>
      <c r="L22" s="8">
        <f t="array" ref="L22">IF(I22="","", IFERROR(((IF(I$5&lt;&gt;"", I$5*A$5, 0) + SUMPRODUCT(--(I$6:I22&lt;&gt;""), I$6:I22, (A$6:A22-A$5:A21)))/1000), ""))</f>
        <v/>
      </c>
      <c r="M22" s="1">
        <f>M21+10</f>
        <v/>
      </c>
      <c r="N22" s="1">
        <f>O21</f>
        <v/>
      </c>
      <c r="Q22" t="inlineStr">
        <is>
          <t>60mL/2s/5s</t>
        </is>
      </c>
      <c r="U22" s="1">
        <f>IF(O22="", "", (N22-O22)*1000/(M22-M21))</f>
        <v/>
      </c>
      <c r="V22" s="1">
        <f>IF(U22="","",U22/R$2/2.5)</f>
        <v/>
      </c>
      <c r="W22" s="1">
        <f>IF(U22="","", 100*_xlfn.STDEV.P(U21:U22)/AVERAGE(U21:U22))</f>
        <v/>
      </c>
      <c r="X22" s="8">
        <f t="array" ref="X22">IF(U22="","", IFERROR(((IF(U$5&lt;&gt;"", U$5*M$5, 0) + SUMPRODUCT(--(U$6:U22&lt;&gt;""), U$6:U22, (M$6:M22-M$5:M21)))/1000), ""))</f>
        <v/>
      </c>
    </row>
    <row r="23">
      <c r="A23" s="1">
        <f>A22+10</f>
        <v/>
      </c>
      <c r="B23" s="1">
        <f>C22</f>
        <v/>
      </c>
      <c r="E23" t="inlineStr">
        <is>
          <t>60mL/2s/5s</t>
        </is>
      </c>
      <c r="I23" s="1">
        <f>IF(C23="", "", (B23-C23)*1000/(A23-A22))</f>
        <v/>
      </c>
      <c r="J23" s="1">
        <f>IF(I23="","",I23/F$2/2.5)</f>
        <v/>
      </c>
      <c r="K23" s="1">
        <f>IF(I23="","", 100*_xlfn.STDEV.P(I22:I23)/AVERAGE(I22:I23))</f>
        <v/>
      </c>
      <c r="L23" s="8">
        <f t="array" ref="L23">IF(I23="","", IFERROR(((IF(I$5&lt;&gt;"", I$5*A$5, 0) + SUMPRODUCT(--(I$6:I23&lt;&gt;""), I$6:I23, (A$6:A23-A$5:A22)))/1000), ""))</f>
        <v/>
      </c>
      <c r="M23" s="1">
        <f>M22+10</f>
        <v/>
      </c>
      <c r="N23" s="1">
        <f>O22</f>
        <v/>
      </c>
      <c r="Q23" t="inlineStr">
        <is>
          <t>60mL/2s/5s</t>
        </is>
      </c>
      <c r="U23" s="1">
        <f>IF(O23="", "", (N23-O23)*1000/(M23-M22))</f>
        <v/>
      </c>
      <c r="V23" s="1">
        <f>IF(U23="","",U23/R$2/2.5)</f>
        <v/>
      </c>
      <c r="W23" s="1">
        <f>IF(U23="","", 100*_xlfn.STDEV.P(U22:U23)/AVERAGE(U22:U23))</f>
        <v/>
      </c>
      <c r="X23" s="8">
        <f t="array" ref="X23">IF(U23="","", IFERROR(((IF(U$5&lt;&gt;"", U$5*M$5, 0) + SUMPRODUCT(--(U$6:U23&lt;&gt;""), U$6:U23, (M$6:M23-M$5:M22)))/1000), ""))</f>
        <v/>
      </c>
    </row>
    <row r="24">
      <c r="A24" s="1">
        <f>A23+10</f>
        <v/>
      </c>
      <c r="B24" s="1">
        <f>C23</f>
        <v/>
      </c>
      <c r="E24" t="inlineStr">
        <is>
          <t>60mL/2s/5s</t>
        </is>
      </c>
      <c r="I24" s="1">
        <f>IF(C24="", "", (B24-C24)*1000/(A24-A23))</f>
        <v/>
      </c>
      <c r="J24" s="1">
        <f>IF(I24="","",I24/F$2/2.5)</f>
        <v/>
      </c>
      <c r="K24" s="1">
        <f>IF(I24="","", 100*_xlfn.STDEV.P(I23:I24)/AVERAGE(I23:I24))</f>
        <v/>
      </c>
      <c r="L24" s="8">
        <f t="array" ref="L24">IF(I24="","", IFERROR(((IF(I$5&lt;&gt;"", I$5*A$5, 0) + SUMPRODUCT(--(I$6:I24&lt;&gt;""), I$6:I24, (A$6:A24-A$5:A23)))/1000), ""))</f>
        <v/>
      </c>
      <c r="M24" s="1">
        <f>M23+10</f>
        <v/>
      </c>
      <c r="N24" s="1">
        <f>O23</f>
        <v/>
      </c>
      <c r="Q24" t="inlineStr">
        <is>
          <t>60mL/2s/5s</t>
        </is>
      </c>
      <c r="U24" s="1">
        <f>IF(O24="", "", (N24-O24)*1000/(M24-M23))</f>
        <v/>
      </c>
      <c r="V24" s="1">
        <f>IF(U24="","",U24/R$2/2.5)</f>
        <v/>
      </c>
      <c r="W24" s="1">
        <f>IF(U24="","", 100*_xlfn.STDEV.P(U23:U24)/AVERAGE(U23:U24))</f>
        <v/>
      </c>
      <c r="X24" s="8">
        <f t="array" ref="X24">IF(U24="","", IFERROR(((IF(U$5&lt;&gt;"", U$5*M$5, 0) + SUMPRODUCT(--(U$6:U24&lt;&gt;""), U$6:U24, (M$6:M24-M$5:M23)))/1000), ""))</f>
        <v/>
      </c>
    </row>
    <row r="25">
      <c r="A25" s="1">
        <f>A24+10</f>
        <v/>
      </c>
      <c r="B25" s="1">
        <f>C24</f>
        <v/>
      </c>
      <c r="E25" t="inlineStr">
        <is>
          <t>60mL/2s/5s</t>
        </is>
      </c>
      <c r="I25" s="1">
        <f>IF(C25="", "", (B25-C25)*1000/(A25-A24))</f>
        <v/>
      </c>
      <c r="J25" s="1">
        <f>IF(I25="","",I25/F$2/2.5)</f>
        <v/>
      </c>
      <c r="K25" s="1">
        <f>IF(I25="","", 100*_xlfn.STDEV.P(I24:I25)/AVERAGE(I24:I25))</f>
        <v/>
      </c>
      <c r="L25" s="8">
        <f t="array" ref="L25">IF(I25="","", IFERROR(((IF(I$5&lt;&gt;"", I$5*A$5, 0) + SUMPRODUCT(--(I$6:I25&lt;&gt;""), I$6:I25, (A$6:A25-A$5:A24)))/1000), ""))</f>
        <v/>
      </c>
      <c r="M25" s="1">
        <f>M24+10</f>
        <v/>
      </c>
      <c r="N25" s="1">
        <f>O24</f>
        <v/>
      </c>
      <c r="Q25" t="inlineStr">
        <is>
          <t>60mL/2s/5s</t>
        </is>
      </c>
      <c r="U25" s="1">
        <f>IF(O25="", "", (N25-O25)*1000/(M25-M24))</f>
        <v/>
      </c>
      <c r="V25" s="1">
        <f>IF(U25="","",U25/R$2/2.5)</f>
        <v/>
      </c>
      <c r="W25" s="1">
        <f>IF(U25="","", 100*_xlfn.STDEV.P(U24:U25)/AVERAGE(U24:U25))</f>
        <v/>
      </c>
      <c r="X25" s="8">
        <f t="array" ref="X25">IF(U25="","", IFERROR(((IF(U$5&lt;&gt;"", U$5*M$5, 0) + SUMPRODUCT(--(U$6:U25&lt;&gt;""), U$6:U25, (M$6:M25-M$5:M24)))/1000), ""))</f>
        <v/>
      </c>
    </row>
    <row r="26">
      <c r="A26" s="1">
        <f>A25+10</f>
        <v/>
      </c>
      <c r="B26" s="1">
        <f>C25</f>
        <v/>
      </c>
      <c r="E26" t="inlineStr">
        <is>
          <t>60mL/2s/5s</t>
        </is>
      </c>
      <c r="I26" s="1">
        <f>IF(C26="", "", (B26-C26)*1000/(A26-A25))</f>
        <v/>
      </c>
      <c r="J26" s="1">
        <f>IF(I26="","",I26/F$2/2.5)</f>
        <v/>
      </c>
      <c r="K26" s="1">
        <f>IF(I26="","", 100*_xlfn.STDEV.P(I25:I26)/AVERAGE(I25:I26))</f>
        <v/>
      </c>
      <c r="L26" s="8">
        <f t="array" ref="L26">IF(I26="","", IFERROR(((IF(I$5&lt;&gt;"", I$5*A$5, 0) + SUMPRODUCT(--(I$6:I26&lt;&gt;""), I$6:I26, (A$6:A26-A$5:A25)))/1000), ""))</f>
        <v/>
      </c>
      <c r="M26" s="1">
        <f>M25+10</f>
        <v/>
      </c>
      <c r="N26" s="1">
        <f>O25</f>
        <v/>
      </c>
      <c r="Q26" t="inlineStr">
        <is>
          <t>60mL/2s/5s</t>
        </is>
      </c>
      <c r="U26" s="1">
        <f>IF(O26="", "", (N26-O26)*1000/(M26-M25))</f>
        <v/>
      </c>
      <c r="V26" s="1">
        <f>IF(U26="","",U26/R$2/2.5)</f>
        <v/>
      </c>
      <c r="W26" s="1">
        <f>IF(U26="","", 100*_xlfn.STDEV.P(U25:U26)/AVERAGE(U25:U26))</f>
        <v/>
      </c>
      <c r="X26" s="8">
        <f t="array" ref="X26">IF(U26="","", IFERROR(((IF(U$5&lt;&gt;"", U$5*M$5, 0) + SUMPRODUCT(--(U$6:U26&lt;&gt;""), U$6:U26, (M$6:M26-M$5:M25)))/1000), ""))</f>
        <v/>
      </c>
    </row>
    <row r="27">
      <c r="A27" s="1">
        <f>A26+10</f>
        <v/>
      </c>
      <c r="B27" s="1">
        <f>C26</f>
        <v/>
      </c>
      <c r="E27" t="inlineStr">
        <is>
          <t>60mL/2s/5s</t>
        </is>
      </c>
      <c r="I27" s="1">
        <f>IF(C27="", "", (B27-C27)*1000/(A27-A26))</f>
        <v/>
      </c>
      <c r="J27" s="1">
        <f>IF(I27="","",I27/F$2/2.5)</f>
        <v/>
      </c>
      <c r="K27" s="1">
        <f>IF(I27="","", 100*_xlfn.STDEV.P(I26:I27)/AVERAGE(I26:I27))</f>
        <v/>
      </c>
      <c r="L27" s="8">
        <f t="array" ref="L27">IF(I27="","", IFERROR(((IF(I$5&lt;&gt;"", I$5*A$5, 0) + SUMPRODUCT(--(I$6:I27&lt;&gt;""), I$6:I27, (A$6:A27-A$5:A26)))/1000), ""))</f>
        <v/>
      </c>
      <c r="M27" s="1">
        <f>M26+10</f>
        <v/>
      </c>
      <c r="N27" s="1">
        <f>O26</f>
        <v/>
      </c>
      <c r="Q27" t="inlineStr">
        <is>
          <t>60mL/2s/5s</t>
        </is>
      </c>
      <c r="U27" s="1">
        <f>IF(O27="", "", (N27-O27)*1000/(M27-M26))</f>
        <v/>
      </c>
      <c r="V27" s="1">
        <f>IF(U27="","",U27/R$2/2.5)</f>
        <v/>
      </c>
      <c r="W27" s="1">
        <f>IF(U27="","", 100*_xlfn.STDEV.P(U26:U27)/AVERAGE(U26:U27))</f>
        <v/>
      </c>
      <c r="X27" s="8">
        <f t="array" ref="X27">IF(U27="","", IFERROR(((IF(U$5&lt;&gt;"", U$5*M$5, 0) + SUMPRODUCT(--(U$6:U27&lt;&gt;""), U$6:U27, (M$6:M27-M$5:M26)))/1000), ""))</f>
        <v/>
      </c>
    </row>
    <row r="28">
      <c r="A28" s="1">
        <f>A27+10</f>
        <v/>
      </c>
      <c r="B28" s="1">
        <f>C27</f>
        <v/>
      </c>
      <c r="E28" t="inlineStr">
        <is>
          <t>60mL/2s/5s</t>
        </is>
      </c>
      <c r="I28" s="1">
        <f>IF(C28="", "", (B28-C28)*1000/(A28-A27))</f>
        <v/>
      </c>
      <c r="J28" s="1">
        <f>IF(I28="","",I28/F$2/2.5)</f>
        <v/>
      </c>
      <c r="K28" s="1">
        <f>IF(I28="","", 100*_xlfn.STDEV.P(I27:I28)/AVERAGE(I27:I28))</f>
        <v/>
      </c>
      <c r="L28" s="8">
        <f t="array" ref="L28">IF(I28="","", IFERROR(((IF(I$5&lt;&gt;"", I$5*A$5, 0) + SUMPRODUCT(--(I$6:I28&lt;&gt;""), I$6:I28, (A$6:A28-A$5:A27)))/1000), ""))</f>
        <v/>
      </c>
      <c r="M28" s="1">
        <f>M27+10</f>
        <v/>
      </c>
      <c r="N28" s="1">
        <f>O27</f>
        <v/>
      </c>
      <c r="Q28" t="inlineStr">
        <is>
          <t>60mL/2s/5s</t>
        </is>
      </c>
      <c r="U28" s="1">
        <f>IF(O28="", "", (N28-O28)*1000/(M28-M27))</f>
        <v/>
      </c>
      <c r="V28" s="1">
        <f>IF(U28="","",U28/R$2/2.5)</f>
        <v/>
      </c>
      <c r="W28" s="1">
        <f>IF(U28="","", 100*_xlfn.STDEV.P(U27:U28)/AVERAGE(U27:U28))</f>
        <v/>
      </c>
      <c r="X28" s="8">
        <f t="array" ref="X28">IF(U28="","", IFERROR(((IF(U$5&lt;&gt;"", U$5*M$5, 0) + SUMPRODUCT(--(U$6:U28&lt;&gt;""), U$6:U28, (M$6:M28-M$5:M27)))/1000), ""))</f>
        <v/>
      </c>
    </row>
    <row r="29">
      <c r="A29" s="1">
        <f>A28+10</f>
        <v/>
      </c>
      <c r="B29" s="1">
        <f>C28</f>
        <v/>
      </c>
      <c r="E29" t="inlineStr">
        <is>
          <t>60mL/2s/5s</t>
        </is>
      </c>
      <c r="F29" s="9" t="n"/>
      <c r="G29" s="9" t="n"/>
      <c r="H29" s="9" t="n"/>
      <c r="I29" s="1">
        <f>IF(C29="", "", (B29-C29)*1000/(A29-A28))</f>
        <v/>
      </c>
      <c r="J29" s="1">
        <f>IF(I29="","",I29/F$2/2.5)</f>
        <v/>
      </c>
      <c r="K29" s="1">
        <f>IF(I29="","", 100*_xlfn.STDEV.P(I28:I29)/AVERAGE(I28:I29))</f>
        <v/>
      </c>
      <c r="L29" s="8">
        <f t="array" ref="L29">IF(I29="","", IFERROR(((IF(I$5&lt;&gt;"", I$5*A$5, 0) + SUMPRODUCT(--(I$6:I29&lt;&gt;""), I$6:I29, (A$6:A29-A$5:A28)))/1000), ""))</f>
        <v/>
      </c>
      <c r="M29" s="1">
        <f>M28+10</f>
        <v/>
      </c>
      <c r="N29" s="1">
        <f>O28</f>
        <v/>
      </c>
      <c r="Q29" t="inlineStr">
        <is>
          <t>60mL/2s/5s</t>
        </is>
      </c>
      <c r="R29" s="9" t="n"/>
      <c r="S29" s="9" t="n"/>
      <c r="T29" s="9" t="n"/>
      <c r="U29" s="1">
        <f>IF(O29="", "", (N29-O29)*1000/(M29-M28))</f>
        <v/>
      </c>
      <c r="V29" s="1">
        <f>IF(U29="","",U29/R$2/2.5)</f>
        <v/>
      </c>
      <c r="W29" s="1">
        <f>IF(U29="","", 100*_xlfn.STDEV.P(U28:U29)/AVERAGE(U28:U29))</f>
        <v/>
      </c>
      <c r="X29" s="8">
        <f t="array" ref="X29">IF(U29="","", IFERROR(((IF(U$5&lt;&gt;"", U$5*M$5, 0) + SUMPRODUCT(--(U$6:U29&lt;&gt;""), U$6:U29, (M$6:M29-M$5:M28)))/1000), ""))</f>
        <v/>
      </c>
    </row>
    <row r="30">
      <c r="A30" s="1">
        <f>A29+10</f>
        <v/>
      </c>
      <c r="B30" s="1">
        <f>C29</f>
        <v/>
      </c>
      <c r="E30" t="inlineStr">
        <is>
          <t>60mL/2s/5s</t>
        </is>
      </c>
      <c r="I30" s="1">
        <f>IF(C30="", "", (B30-C30)*1000/(A30-A29))</f>
        <v/>
      </c>
      <c r="J30" s="1">
        <f>IF(I30="","",I30/F$2/2.5)</f>
        <v/>
      </c>
      <c r="K30" s="1">
        <f>IF(I30="","", 100*_xlfn.STDEV.P(I29:I30)/AVERAGE(I29:I30))</f>
        <v/>
      </c>
      <c r="L30" s="8">
        <f t="array" ref="L30">IF(I30="","", IFERROR(((IF(I$5&lt;&gt;"", I$5*A$5, 0) + SUMPRODUCT(--(I$6:I30&lt;&gt;""), I$6:I30, (A$6:A30-A$5:A29)))/1000), ""))</f>
        <v/>
      </c>
      <c r="M30" s="1">
        <f>M29+10</f>
        <v/>
      </c>
      <c r="N30" s="1">
        <f>O29</f>
        <v/>
      </c>
      <c r="Q30" t="inlineStr">
        <is>
          <t>60mL/2s/5s</t>
        </is>
      </c>
      <c r="U30" s="1">
        <f>IF(O30="", "", (N30-O30)*1000/(M30-M29))</f>
        <v/>
      </c>
      <c r="V30" s="1">
        <f>IF(U30="","",U30/R$2/2.5)</f>
        <v/>
      </c>
      <c r="W30" s="1">
        <f>IF(U30="","", 100*_xlfn.STDEV.P(U29:U30)/AVERAGE(U29:U30))</f>
        <v/>
      </c>
      <c r="X30" s="8">
        <f t="array" ref="X30">IF(U30="","", IFERROR(((IF(U$5&lt;&gt;"", U$5*M$5, 0) + SUMPRODUCT(--(U$6:U30&lt;&gt;""), U$6:U30, (M$6:M30-M$5:M29)))/1000), ""))</f>
        <v/>
      </c>
    </row>
    <row r="31">
      <c r="A31" s="1">
        <f>A30+10</f>
        <v/>
      </c>
      <c r="B31" s="1">
        <f>C30</f>
        <v/>
      </c>
      <c r="E31" t="inlineStr">
        <is>
          <t>60mL/2s/5s</t>
        </is>
      </c>
      <c r="I31" s="1">
        <f>IF(C31="", "", (B31-C31)*1000/(A31-A30))</f>
        <v/>
      </c>
      <c r="J31" s="1">
        <f>IF(I31="","",I31/F$2/2.5)</f>
        <v/>
      </c>
      <c r="K31" s="1">
        <f>IF(I31="","", 100*_xlfn.STDEV.P(I30:I31)/AVERAGE(I30:I31))</f>
        <v/>
      </c>
      <c r="L31" s="8">
        <f t="array" ref="L31">IF(I31="","", IFERROR(((IF(I$5&lt;&gt;"", I$5*A$5, 0) + SUMPRODUCT(--(I$6:I31&lt;&gt;""), I$6:I31, (A$6:A31-A$5:A30)))/1000), ""))</f>
        <v/>
      </c>
      <c r="M31" s="1">
        <f>M30+10</f>
        <v/>
      </c>
      <c r="N31" s="1">
        <f>O30</f>
        <v/>
      </c>
      <c r="Q31" t="inlineStr">
        <is>
          <t>60mL/2s/5s</t>
        </is>
      </c>
      <c r="U31" s="1">
        <f>IF(O31="", "", (N31-O31)*1000/(M31-M30))</f>
        <v/>
      </c>
      <c r="V31" s="1">
        <f>IF(U31="","",U31/R$2/2.5)</f>
        <v/>
      </c>
      <c r="W31" s="1">
        <f>IF(U31="","", 100*_xlfn.STDEV.P(U30:U31)/AVERAGE(U30:U31))</f>
        <v/>
      </c>
      <c r="X31" s="8">
        <f t="array" ref="X31">IF(U31="","", IFERROR(((IF(U$5&lt;&gt;"", U$5*M$5, 0) + SUMPRODUCT(--(U$6:U31&lt;&gt;""), U$6:U31, (M$6:M31-M$5:M30)))/1000), ""))</f>
        <v/>
      </c>
    </row>
    <row r="32">
      <c r="A32" s="1">
        <f>A31+10</f>
        <v/>
      </c>
      <c r="B32" s="1">
        <f>C31</f>
        <v/>
      </c>
      <c r="E32" t="inlineStr">
        <is>
          <t>60mL/2s/5s</t>
        </is>
      </c>
      <c r="I32" s="1">
        <f>IF(C32="", "", (B32-C32)*1000/(A32-A31))</f>
        <v/>
      </c>
      <c r="J32" s="1">
        <f>IF(I32="","",I32/F$2/2.5)</f>
        <v/>
      </c>
      <c r="K32" s="1">
        <f>IF(I32="","", 100*_xlfn.STDEV.P(I31:I32)/AVERAGE(I31:I32))</f>
        <v/>
      </c>
      <c r="L32" s="8">
        <f t="array" ref="L32">IF(I32="","", IFERROR(((IF(I$5&lt;&gt;"", I$5*A$5, 0) + SUMPRODUCT(--(I$6:I32&lt;&gt;""), I$6:I32, (A$6:A32-A$5:A31)))/1000), ""))</f>
        <v/>
      </c>
      <c r="M32" s="1">
        <f>M31+10</f>
        <v/>
      </c>
      <c r="N32" s="1">
        <f>O31</f>
        <v/>
      </c>
      <c r="Q32" t="inlineStr">
        <is>
          <t>60mL/2s/5s</t>
        </is>
      </c>
      <c r="U32" s="1">
        <f>IF(O32="", "", (N32-O32)*1000/(M32-M31))</f>
        <v/>
      </c>
      <c r="V32" s="1">
        <f>IF(U32="","",U32/R$2/2.5)</f>
        <v/>
      </c>
      <c r="W32" s="1">
        <f>IF(U32="","", 100*_xlfn.STDEV.P(U31:U32)/AVERAGE(U31:U32))</f>
        <v/>
      </c>
      <c r="X32" s="8">
        <f t="array" ref="X32">IF(U32="","", IFERROR(((IF(U$5&lt;&gt;"", U$5*M$5, 0) + SUMPRODUCT(--(U$6:U32&lt;&gt;""), U$6:U32, (M$6:M32-M$5:M31)))/1000), ""))</f>
        <v/>
      </c>
    </row>
    <row r="33">
      <c r="A33" s="1">
        <f>A32+10</f>
        <v/>
      </c>
      <c r="B33" s="1">
        <f>C32</f>
        <v/>
      </c>
      <c r="E33" t="inlineStr">
        <is>
          <t>60mL/2s/5s</t>
        </is>
      </c>
      <c r="I33" s="1">
        <f>IF(C33="", "", (B33-C33)*1000/(A33-A32))</f>
        <v/>
      </c>
      <c r="J33" s="1">
        <f>IF(I33="","",I33/F$2/2.5)</f>
        <v/>
      </c>
      <c r="K33" s="1">
        <f>IF(I33="","", 100*_xlfn.STDEV.P(I32:I33)/AVERAGE(I32:I33))</f>
        <v/>
      </c>
      <c r="L33" s="8">
        <f t="array" ref="L33">IF(I33="","", IFERROR(((IF(I$5&lt;&gt;"", I$5*A$5, 0) + SUMPRODUCT(--(I$6:I33&lt;&gt;""), I$6:I33, (A$6:A33-A$5:A32)))/1000), ""))</f>
        <v/>
      </c>
      <c r="M33" s="1">
        <f>M32+10</f>
        <v/>
      </c>
      <c r="N33" s="1">
        <f>O32</f>
        <v/>
      </c>
      <c r="Q33" t="inlineStr">
        <is>
          <t>60mL/2s/5s</t>
        </is>
      </c>
      <c r="U33" s="1">
        <f>IF(O33="", "", (N33-O33)*1000/(M33-M32))</f>
        <v/>
      </c>
      <c r="V33" s="1">
        <f>IF(U33="","",U33/R$2/2.5)</f>
        <v/>
      </c>
      <c r="W33" s="1">
        <f>IF(U33="","", 100*_xlfn.STDEV.P(U32:U33)/AVERAGE(U32:U33))</f>
        <v/>
      </c>
      <c r="X33" s="8">
        <f t="array" ref="X33">IF(U33="","", IFERROR(((IF(U$5&lt;&gt;"", U$5*M$5, 0) + SUMPRODUCT(--(U$6:U33&lt;&gt;""), U$6:U33, (M$6:M33-M$5:M32)))/1000), ""))</f>
        <v/>
      </c>
    </row>
    <row r="34">
      <c r="A34" s="1">
        <f>A33+10</f>
        <v/>
      </c>
      <c r="B34" s="1">
        <f>C33</f>
        <v/>
      </c>
      <c r="E34" t="inlineStr">
        <is>
          <t>60mL/2s/5s</t>
        </is>
      </c>
      <c r="I34" s="1">
        <f>IF(C34="", "", (B34-C34)*1000/(A34-A33))</f>
        <v/>
      </c>
      <c r="J34" s="1">
        <f>IF(I34="","",I34/F$2/2.5)</f>
        <v/>
      </c>
      <c r="K34" s="1">
        <f>IF(I34="","", 100*_xlfn.STDEV.P(I33:I34)/AVERAGE(I33:I34))</f>
        <v/>
      </c>
      <c r="L34" s="8">
        <f t="array" ref="L34">IF(I34="","", IFERROR(((IF(I$5&lt;&gt;"", I$5*A$5, 0) + SUMPRODUCT(--(I$6:I34&lt;&gt;""), I$6:I34, (A$6:A34-A$5:A33)))/1000), ""))</f>
        <v/>
      </c>
      <c r="M34" s="1">
        <f>M33+10</f>
        <v/>
      </c>
      <c r="N34" s="1">
        <f>O33</f>
        <v/>
      </c>
      <c r="Q34" t="inlineStr">
        <is>
          <t>60mL/2s/5s</t>
        </is>
      </c>
      <c r="U34" s="1">
        <f>IF(O34="", "", (N34-O34)*1000/(M34-M33))</f>
        <v/>
      </c>
      <c r="V34" s="1">
        <f>IF(U34="","",U34/R$2/2.5)</f>
        <v/>
      </c>
      <c r="W34" s="1">
        <f>IF(U34="","", 100*_xlfn.STDEV.P(U33:U34)/AVERAGE(U33:U34))</f>
        <v/>
      </c>
      <c r="X34" s="8">
        <f t="array" ref="X34">IF(U34="","", IFERROR(((IF(U$5&lt;&gt;"", U$5*M$5, 0) + SUMPRODUCT(--(U$6:U34&lt;&gt;""), U$6:U34, (M$6:M34-M$5:M33)))/1000), ""))</f>
        <v/>
      </c>
    </row>
    <row r="35">
      <c r="A35" s="1">
        <f>A34+10</f>
        <v/>
      </c>
      <c r="B35" s="1">
        <f>C34</f>
        <v/>
      </c>
      <c r="E35" t="inlineStr">
        <is>
          <t>60mL/2s/5s</t>
        </is>
      </c>
      <c r="I35" s="1">
        <f>IF(C35="", "", (B35-C35)*1000/(A35-A34))</f>
        <v/>
      </c>
      <c r="J35" s="1">
        <f>IF(I35="","",I35/F$2/2.5)</f>
        <v/>
      </c>
      <c r="K35" s="1">
        <f>IF(I35="","", 100*_xlfn.STDEV.P(I34:I35)/AVERAGE(I34:I35))</f>
        <v/>
      </c>
      <c r="L35" s="8">
        <f t="array" ref="L35">IF(I35="","", IFERROR(((IF(I$5&lt;&gt;"", I$5*A$5, 0) + SUMPRODUCT(--(I$6:I35&lt;&gt;""), I$6:I35, (A$6:A35-A$5:A34)))/1000), ""))</f>
        <v/>
      </c>
      <c r="M35" s="1">
        <f>M34+10</f>
        <v/>
      </c>
      <c r="N35" s="1">
        <f>O34</f>
        <v/>
      </c>
      <c r="Q35" t="inlineStr">
        <is>
          <t>60mL/2s/5s</t>
        </is>
      </c>
      <c r="U35" s="1">
        <f>IF(O35="", "", (N35-O35)*1000/(M35-M34))</f>
        <v/>
      </c>
      <c r="V35" s="1">
        <f>IF(U35="","",U35/R$2/2.5)</f>
        <v/>
      </c>
      <c r="W35" s="1">
        <f>IF(U35="","", 100*_xlfn.STDEV.P(U34:U35)/AVERAGE(U34:U35))</f>
        <v/>
      </c>
      <c r="X35" s="8">
        <f t="array" ref="X35">IF(U35="","", IFERROR(((IF(U$5&lt;&gt;"", U$5*M$5, 0) + SUMPRODUCT(--(U$6:U35&lt;&gt;""), U$6:U35, (M$6:M35-M$5:M34)))/1000), ""))</f>
        <v/>
      </c>
    </row>
    <row r="36">
      <c r="A36" s="1">
        <f>A35+10</f>
        <v/>
      </c>
      <c r="B36" s="1">
        <f>C35</f>
        <v/>
      </c>
      <c r="E36" t="inlineStr">
        <is>
          <t>60mL/2s/5s</t>
        </is>
      </c>
      <c r="I36" s="1">
        <f>IF(C36="", "", (B36-C36)*1000/(A36-A35))</f>
        <v/>
      </c>
      <c r="J36" s="1">
        <f>IF(I36="","",I36/F$2/2.5)</f>
        <v/>
      </c>
      <c r="K36" s="1">
        <f>IF(I36="","", 100*_xlfn.STDEV.P(I35:I36)/AVERAGE(I35:I36))</f>
        <v/>
      </c>
      <c r="L36" s="8">
        <f t="array" ref="L36">IF(I36="","", IFERROR(((IF(I$5&lt;&gt;"", I$5*A$5, 0) + SUMPRODUCT(--(I$6:I36&lt;&gt;""), I$6:I36, (A$6:A36-A$5:A35)))/1000), ""))</f>
        <v/>
      </c>
      <c r="M36" s="1">
        <f>M35+10</f>
        <v/>
      </c>
      <c r="N36" s="1">
        <f>O35</f>
        <v/>
      </c>
      <c r="Q36" t="inlineStr">
        <is>
          <t>60mL/2s/5s</t>
        </is>
      </c>
      <c r="U36" s="1">
        <f>IF(O36="", "", (N36-O36)*1000/(M36-M35))</f>
        <v/>
      </c>
      <c r="V36" s="1">
        <f>IF(U36="","",U36/R$2/2.5)</f>
        <v/>
      </c>
      <c r="W36" s="1">
        <f>IF(U36="","", 100*_xlfn.STDEV.P(U35:U36)/AVERAGE(U35:U36))</f>
        <v/>
      </c>
      <c r="X36" s="8">
        <f t="array" ref="X36">IF(U36="","", IFERROR(((IF(U$5&lt;&gt;"", U$5*M$5, 0) + SUMPRODUCT(--(U$6:U36&lt;&gt;""), U$6:U36, (M$6:M36-M$5:M35)))/1000), ""))</f>
        <v/>
      </c>
    </row>
    <row r="37">
      <c r="A37" s="1">
        <f>A36+10</f>
        <v/>
      </c>
      <c r="B37" s="1">
        <f>C36</f>
        <v/>
      </c>
      <c r="E37" t="inlineStr">
        <is>
          <t>60mL/2s/5s</t>
        </is>
      </c>
      <c r="I37" s="1">
        <f>IF(C37="", "", (B37-C37)*1000/(A37-A36))</f>
        <v/>
      </c>
      <c r="J37" s="1">
        <f>IF(I37="","",I37/F$2/2.5)</f>
        <v/>
      </c>
      <c r="K37" s="1">
        <f>IF(I37="","", 100*_xlfn.STDEV.P(I36:I37)/AVERAGE(I36:I37))</f>
        <v/>
      </c>
      <c r="L37" s="8">
        <f t="array" ref="L37">IF(I37="","", IFERROR(((IF(I$5&lt;&gt;"", I$5*A$5, 0) + SUMPRODUCT(--(I$6:I37&lt;&gt;""), I$6:I37, (A$6:A37-A$5:A36)))/1000), ""))</f>
        <v/>
      </c>
      <c r="M37" s="1">
        <f>M36+10</f>
        <v/>
      </c>
      <c r="N37" s="1">
        <f>O36</f>
        <v/>
      </c>
      <c r="Q37" t="inlineStr">
        <is>
          <t>60mL/2s/5s</t>
        </is>
      </c>
      <c r="U37" s="1">
        <f>IF(O37="", "", (N37-O37)*1000/(M37-M36))</f>
        <v/>
      </c>
      <c r="V37" s="1">
        <f>IF(U37="","",U37/R$2/2.5)</f>
        <v/>
      </c>
      <c r="W37" s="1">
        <f>IF(U37="","", 100*_xlfn.STDEV.P(U36:U37)/AVERAGE(U36:U37))</f>
        <v/>
      </c>
      <c r="X37" s="8">
        <f t="array" ref="X37">IF(U37="","", IFERROR(((IF(U$5&lt;&gt;"", U$5*M$5, 0) + SUMPRODUCT(--(U$6:U37&lt;&gt;""), U$6:U37, (M$6:M37-M$5:M36)))/1000), ""))</f>
        <v/>
      </c>
    </row>
    <row r="38">
      <c r="A38" s="1">
        <f>A37+10</f>
        <v/>
      </c>
      <c r="B38" s="1">
        <f>C37</f>
        <v/>
      </c>
      <c r="E38" t="inlineStr">
        <is>
          <t>60mL/2s/5s</t>
        </is>
      </c>
      <c r="I38" s="1">
        <f>IF(C38="", "", (B38-C38)*1000/(A38-A37))</f>
        <v/>
      </c>
      <c r="J38" s="1">
        <f>IF(I38="","",I38/F$2/2.5)</f>
        <v/>
      </c>
      <c r="K38" s="1">
        <f>IF(I38="","", 100*_xlfn.STDEV.P(I37:I38)/AVERAGE(I37:I38))</f>
        <v/>
      </c>
      <c r="L38" s="8">
        <f t="array" ref="L38">IF(I38="","", IFERROR(((IF(I$5&lt;&gt;"", I$5*A$5, 0) + SUMPRODUCT(--(I$6:I38&lt;&gt;""), I$6:I38, (A$6:A38-A$5:A37)))/1000), ""))</f>
        <v/>
      </c>
      <c r="M38" s="1">
        <f>M37+10</f>
        <v/>
      </c>
      <c r="N38" s="1">
        <f>O37</f>
        <v/>
      </c>
      <c r="Q38" t="inlineStr">
        <is>
          <t>60mL/2s/5s</t>
        </is>
      </c>
      <c r="U38" s="1">
        <f>IF(O38="", "", (N38-O38)*1000/(M38-M37))</f>
        <v/>
      </c>
      <c r="V38" s="1">
        <f>IF(U38="","",U38/R$2/2.5)</f>
        <v/>
      </c>
      <c r="W38" s="1">
        <f>IF(U38="","", 100*_xlfn.STDEV.P(U37:U38)/AVERAGE(U37:U38))</f>
        <v/>
      </c>
      <c r="X38" s="8">
        <f t="array" ref="X38">IF(U38="","", IFERROR(((IF(U$5&lt;&gt;"", U$5*M$5, 0) + SUMPRODUCT(--(U$6:U38&lt;&gt;""), U$6:U38, (M$6:M38-M$5:M37)))/1000), ""))</f>
        <v/>
      </c>
    </row>
    <row r="39">
      <c r="A39" s="1">
        <f>A38+10</f>
        <v/>
      </c>
      <c r="B39" s="1">
        <f>C38</f>
        <v/>
      </c>
      <c r="E39" t="inlineStr">
        <is>
          <t>60mL/2s/5s</t>
        </is>
      </c>
      <c r="I39" s="1">
        <f>IF(C39="", "", (B39-C39)*1000/(A39-A38))</f>
        <v/>
      </c>
      <c r="J39" s="1">
        <f>IF(I39="","",I39/F$2/2.5)</f>
        <v/>
      </c>
      <c r="K39" s="1">
        <f>IF(I39="","", 100*_xlfn.STDEV.P(I38:I39)/AVERAGE(I38:I39))</f>
        <v/>
      </c>
      <c r="L39" s="8">
        <f t="array" ref="L39">IF(I39="","", IFERROR(((IF(I$5&lt;&gt;"", I$5*A$5, 0) + SUMPRODUCT(--(I$6:I39&lt;&gt;""), I$6:I39, (A$6:A39-A$5:A38)))/1000), ""))</f>
        <v/>
      </c>
      <c r="M39" s="1">
        <f>M38+10</f>
        <v/>
      </c>
      <c r="N39" s="1">
        <f>O38</f>
        <v/>
      </c>
      <c r="Q39" t="inlineStr">
        <is>
          <t>60mL/2s/5s</t>
        </is>
      </c>
      <c r="U39" s="1">
        <f>IF(O39="", "", (N39-O39)*1000/(M39-M38))</f>
        <v/>
      </c>
      <c r="V39" s="1">
        <f>IF(U39="","",U39/R$2/2.5)</f>
        <v/>
      </c>
      <c r="W39" s="1">
        <f>IF(U39="","", 100*_xlfn.STDEV.P(U38:U39)/AVERAGE(U38:U39))</f>
        <v/>
      </c>
      <c r="X39" s="8">
        <f t="array" ref="X39">IF(U39="","", IFERROR(((IF(U$5&lt;&gt;"", U$5*M$5, 0) + SUMPRODUCT(--(U$6:U39&lt;&gt;""), U$6:U39, (M$6:M39-M$5:M38)))/1000), ""))</f>
        <v/>
      </c>
    </row>
    <row r="40">
      <c r="A40" s="1">
        <f>A39+10</f>
        <v/>
      </c>
      <c r="B40" s="1">
        <f>C39</f>
        <v/>
      </c>
      <c r="E40" t="inlineStr">
        <is>
          <t>60mL/2s/5s</t>
        </is>
      </c>
      <c r="I40" s="1">
        <f>IF(C40="", "", (B40-C40)*1000/(A40-A39))</f>
        <v/>
      </c>
      <c r="J40" s="1">
        <f>IF(I40="","",I40/F$2/2.5)</f>
        <v/>
      </c>
      <c r="K40" s="1">
        <f>IF(I40="","", 100*_xlfn.STDEV.P(I39:I40)/AVERAGE(I39:I40))</f>
        <v/>
      </c>
      <c r="L40" s="8">
        <f t="array" ref="L40">IF(I40="","", IFERROR(((IF(I$5&lt;&gt;"", I$5*A$5, 0) + SUMPRODUCT(--(I$6:I40&lt;&gt;""), I$6:I40, (A$6:A40-A$5:A39)))/1000), ""))</f>
        <v/>
      </c>
      <c r="M40" s="1">
        <f>M39+10</f>
        <v/>
      </c>
      <c r="N40" s="1">
        <f>O39</f>
        <v/>
      </c>
      <c r="Q40" t="inlineStr">
        <is>
          <t>60mL/2s/5s</t>
        </is>
      </c>
      <c r="U40" s="1">
        <f>IF(O40="", "", (N40-O40)*1000/(M40-M39))</f>
        <v/>
      </c>
      <c r="V40" s="1">
        <f>IF(U40="","",U40/R$2/2.5)</f>
        <v/>
      </c>
      <c r="W40" s="1">
        <f>IF(U40="","", 100*_xlfn.STDEV.P(U39:U40)/AVERAGE(U39:U40))</f>
        <v/>
      </c>
      <c r="X40" s="8">
        <f t="array" ref="X40">IF(U40="","", IFERROR(((IF(U$5&lt;&gt;"", U$5*M$5, 0) + SUMPRODUCT(--(U$6:U40&lt;&gt;""), U$6:U40, (M$6:M40-M$5:M39)))/1000), ""))</f>
        <v/>
      </c>
    </row>
    <row r="41">
      <c r="A41" s="1">
        <f>A40+10</f>
        <v/>
      </c>
      <c r="B41" s="1">
        <f>C40</f>
        <v/>
      </c>
      <c r="E41" t="inlineStr">
        <is>
          <t>60mL/2s/5s</t>
        </is>
      </c>
      <c r="I41" s="1">
        <f>IF(C41="", "", (B41-C41)*1000/(A41-A40))</f>
        <v/>
      </c>
      <c r="J41" s="1">
        <f>IF(I41="","",I41/F$2/2.5)</f>
        <v/>
      </c>
      <c r="K41" s="1">
        <f>IF(I41="","", 100*_xlfn.STDEV.P(I40:I41)/AVERAGE(I40:I41))</f>
        <v/>
      </c>
      <c r="L41" s="8">
        <f t="array" ref="L41">IF(I41="","", IFERROR(((IF(I$5&lt;&gt;"", I$5*A$5, 0) + SUMPRODUCT(--(I$6:I41&lt;&gt;""), I$6:I41, (A$6:A41-A$5:A40)))/1000), ""))</f>
        <v/>
      </c>
      <c r="M41" s="1">
        <f>M40+10</f>
        <v/>
      </c>
      <c r="N41" s="1">
        <f>O40</f>
        <v/>
      </c>
      <c r="Q41" t="inlineStr">
        <is>
          <t>60mL/2s/5s</t>
        </is>
      </c>
      <c r="U41" s="1">
        <f>IF(O41="", "", (N41-O41)*1000/(M41-M40))</f>
        <v/>
      </c>
      <c r="V41" s="1">
        <f>IF(U41="","",U41/R$2/2.5)</f>
        <v/>
      </c>
      <c r="W41" s="1">
        <f>IF(U41="","", 100*_xlfn.STDEV.P(U40:U41)/AVERAGE(U40:U41))</f>
        <v/>
      </c>
      <c r="X41" s="8">
        <f t="array" ref="X41">IF(U41="","", IFERROR(((IF(U$5&lt;&gt;"", U$5*M$5, 0) + SUMPRODUCT(--(U$6:U41&lt;&gt;""), U$6:U41, (M$6:M41-M$5:M40)))/1000), ""))</f>
        <v/>
      </c>
    </row>
    <row r="42">
      <c r="A42" s="1">
        <f>A41+10</f>
        <v/>
      </c>
      <c r="B42" s="1">
        <f>C41</f>
        <v/>
      </c>
      <c r="E42" t="inlineStr">
        <is>
          <t>60mL/2s/5s</t>
        </is>
      </c>
      <c r="I42" s="1">
        <f>IF(C42="", "", (B42-C42)*1000/(A42-A41))</f>
        <v/>
      </c>
      <c r="J42" s="1">
        <f>IF(I42="","",I42/F$2/2.5)</f>
        <v/>
      </c>
      <c r="K42" s="1">
        <f>IF(I42="","", 100*_xlfn.STDEV.P(I41:I42)/AVERAGE(I41:I42))</f>
        <v/>
      </c>
      <c r="L42" s="8">
        <f t="array" ref="L42">IF(I42="","", IFERROR(((IF(I$5&lt;&gt;"", I$5*A$5, 0) + SUMPRODUCT(--(I$6:I42&lt;&gt;""), I$6:I42, (A$6:A42-A$5:A41)))/1000), ""))</f>
        <v/>
      </c>
      <c r="M42" s="1">
        <f>M41+10</f>
        <v/>
      </c>
      <c r="N42" s="1">
        <f>O41</f>
        <v/>
      </c>
      <c r="Q42" t="inlineStr">
        <is>
          <t>60mL/2s/5s</t>
        </is>
      </c>
      <c r="U42" s="1">
        <f>IF(O42="", "", (N42-O42)*1000/(M42-M41))</f>
        <v/>
      </c>
      <c r="V42" s="1">
        <f>IF(U42="","",U42/R$2/2.5)</f>
        <v/>
      </c>
      <c r="W42" s="1">
        <f>IF(U42="","", 100*_xlfn.STDEV.P(U41:U42)/AVERAGE(U41:U42))</f>
        <v/>
      </c>
      <c r="X42" s="8">
        <f t="array" ref="X42">IF(U42="","", IFERROR(((IF(U$5&lt;&gt;"", U$5*M$5, 0) + SUMPRODUCT(--(U$6:U42&lt;&gt;""), U$6:U42, (M$6:M42-M$5:M41)))/1000), ""))</f>
        <v/>
      </c>
    </row>
    <row r="43">
      <c r="A43" s="1">
        <f>A42+10</f>
        <v/>
      </c>
      <c r="B43" s="1">
        <f>C42</f>
        <v/>
      </c>
      <c r="E43" t="inlineStr">
        <is>
          <t>60mL/2s/5s</t>
        </is>
      </c>
      <c r="I43" s="1">
        <f>IF(C43="", "", (B43-C43)*1000/(A43-A42))</f>
        <v/>
      </c>
      <c r="J43" s="1">
        <f>IF(I43="","",I43/F$2/2.5)</f>
        <v/>
      </c>
      <c r="K43" s="1">
        <f>IF(I43="","", 100*_xlfn.STDEV.P(I42:I43)/AVERAGE(I42:I43))</f>
        <v/>
      </c>
      <c r="L43" s="8">
        <f t="array" ref="L43">IF(I43="","", IFERROR(((IF(I$5&lt;&gt;"", I$5*A$5, 0) + SUMPRODUCT(--(I$6:I43&lt;&gt;""), I$6:I43, (A$6:A43-A$5:A42)))/1000), ""))</f>
        <v/>
      </c>
      <c r="M43" s="1">
        <f>M42+10</f>
        <v/>
      </c>
      <c r="N43" s="1">
        <f>O42</f>
        <v/>
      </c>
      <c r="Q43" t="inlineStr">
        <is>
          <t>60mL/2s/5s</t>
        </is>
      </c>
      <c r="U43" s="1">
        <f>IF(O43="", "", (N43-O43)*1000/(M43-M42))</f>
        <v/>
      </c>
      <c r="V43" s="1">
        <f>IF(U43="","",U43/R$2/2.5)</f>
        <v/>
      </c>
      <c r="W43" s="1">
        <f>IF(U43="","", 100*_xlfn.STDEV.P(U42:U43)/AVERAGE(U42:U43))</f>
        <v/>
      </c>
      <c r="X43" s="8">
        <f t="array" ref="X43">IF(U43="","", IFERROR(((IF(U$5&lt;&gt;"", U$5*M$5, 0) + SUMPRODUCT(--(U$6:U43&lt;&gt;""), U$6:U43, (M$6:M43-M$5:M42)))/1000), ""))</f>
        <v/>
      </c>
    </row>
    <row r="44">
      <c r="A44" s="1">
        <f>A43+10</f>
        <v/>
      </c>
      <c r="B44" s="1">
        <f>C43</f>
        <v/>
      </c>
      <c r="E44" t="inlineStr">
        <is>
          <t>60mL/2s/5s</t>
        </is>
      </c>
      <c r="I44" s="1">
        <f>IF(C44="", "", (B44-C44)*1000/(A44-A43))</f>
        <v/>
      </c>
      <c r="J44" s="1">
        <f>IF(I44="","",I44/F$2/2.5)</f>
        <v/>
      </c>
      <c r="K44" s="1">
        <f>IF(I44="","", 100*_xlfn.STDEV.P(I43:I44)/AVERAGE(I43:I44))</f>
        <v/>
      </c>
      <c r="L44" s="8">
        <f t="array" ref="L44">IF(I44="","", IFERROR(((IF(I$5&lt;&gt;"", I$5*A$5, 0) + SUMPRODUCT(--(I$6:I44&lt;&gt;""), I$6:I44, (A$6:A44-A$5:A43)))/1000), ""))</f>
        <v/>
      </c>
      <c r="M44" s="1">
        <f>M43+10</f>
        <v/>
      </c>
      <c r="N44" s="1">
        <f>O43</f>
        <v/>
      </c>
      <c r="Q44" t="inlineStr">
        <is>
          <t>60mL/2s/5s</t>
        </is>
      </c>
      <c r="U44" s="1">
        <f>IF(O44="", "", (N44-O44)*1000/(M44-M43))</f>
        <v/>
      </c>
      <c r="V44" s="1">
        <f>IF(U44="","",U44/R$2/2.5)</f>
        <v/>
      </c>
      <c r="W44" s="1">
        <f>IF(U44="","", 100*_xlfn.STDEV.P(U43:U44)/AVERAGE(U43:U44))</f>
        <v/>
      </c>
      <c r="X44" s="8">
        <f t="array" ref="X44">IF(U44="","", IFERROR(((IF(U$5&lt;&gt;"", U$5*M$5, 0) + SUMPRODUCT(--(U$6:U44&lt;&gt;""), U$6:U44, (M$6:M44-M$5:M43)))/1000), ""))</f>
        <v/>
      </c>
    </row>
    <row r="45">
      <c r="A45" s="1">
        <f>A44+10</f>
        <v/>
      </c>
      <c r="B45" s="1">
        <f>C44</f>
        <v/>
      </c>
      <c r="E45" t="inlineStr">
        <is>
          <t>60mL/2s/5s</t>
        </is>
      </c>
      <c r="I45" s="1">
        <f>IF(C45="", "", (B45-C45)*1000/(A45-A44))</f>
        <v/>
      </c>
      <c r="J45" s="1">
        <f>IF(I45="","",I45/F$2/2.5)</f>
        <v/>
      </c>
      <c r="K45" s="1">
        <f>IF(I45="","", 100*_xlfn.STDEV.P(I44:I45)/AVERAGE(I44:I45))</f>
        <v/>
      </c>
      <c r="L45" s="8">
        <f t="array" ref="L45">IF(I45="","", IFERROR(((IF(I$5&lt;&gt;"", I$5*A$5, 0) + SUMPRODUCT(--(I$6:I45&lt;&gt;""), I$6:I45, (A$6:A45-A$5:A44)))/1000), ""))</f>
        <v/>
      </c>
      <c r="M45" s="1">
        <f>M44+10</f>
        <v/>
      </c>
      <c r="N45" s="1">
        <f>O44</f>
        <v/>
      </c>
      <c r="Q45" t="inlineStr">
        <is>
          <t>60mL/2s/5s</t>
        </is>
      </c>
      <c r="U45" s="1">
        <f>IF(O45="", "", (N45-O45)*1000/(M45-M44))</f>
        <v/>
      </c>
      <c r="V45" s="1">
        <f>IF(U45="","",U45/R$2/2.5)</f>
        <v/>
      </c>
      <c r="W45" s="1">
        <f>IF(U45="","", 100*_xlfn.STDEV.P(U44:U45)/AVERAGE(U44:U45))</f>
        <v/>
      </c>
      <c r="X45" s="8">
        <f t="array" ref="X45">IF(U45="","", IFERROR(((IF(U$5&lt;&gt;"", U$5*M$5, 0) + SUMPRODUCT(--(U$6:U45&lt;&gt;""), U$6:U45, (M$6:M45-M$5:M44)))/1000), ""))</f>
        <v/>
      </c>
    </row>
    <row r="46">
      <c r="A46" s="1">
        <f>A45+10</f>
        <v/>
      </c>
      <c r="B46" s="1">
        <f>C45</f>
        <v/>
      </c>
      <c r="E46" t="inlineStr">
        <is>
          <t>60mL/2s/5s</t>
        </is>
      </c>
      <c r="I46" s="1">
        <f>IF(C46="", "", (B46-C46)*1000/(A46-A45))</f>
        <v/>
      </c>
      <c r="J46" s="1">
        <f>IF(I46="","",I46/F$2/2.5)</f>
        <v/>
      </c>
      <c r="K46" s="1">
        <f>IF(I46="","", 100*_xlfn.STDEV.P(I45:I46)/AVERAGE(I45:I46))</f>
        <v/>
      </c>
      <c r="L46" s="8">
        <f t="array" ref="L46">IF(I46="","", IFERROR(((IF(I$5&lt;&gt;"", I$5*A$5, 0) + SUMPRODUCT(--(I$6:I46&lt;&gt;""), I$6:I46, (A$6:A46-A$5:A45)))/1000), ""))</f>
        <v/>
      </c>
      <c r="M46" s="1">
        <f>M45+10</f>
        <v/>
      </c>
      <c r="N46" s="1">
        <f>O45</f>
        <v/>
      </c>
      <c r="Q46" t="inlineStr">
        <is>
          <t>60mL/2s/5s</t>
        </is>
      </c>
      <c r="U46" s="1">
        <f>IF(O46="", "", (N46-O46)*1000/(M46-M45))</f>
        <v/>
      </c>
      <c r="V46" s="1">
        <f>IF(U46="","",U46/R$2/2.5)</f>
        <v/>
      </c>
      <c r="W46" s="1">
        <f>IF(U46="","", 100*_xlfn.STDEV.P(U45:U46)/AVERAGE(U45:U46))</f>
        <v/>
      </c>
      <c r="X46" s="8">
        <f t="array" ref="X46">IF(U46="","", IFERROR(((IF(U$5&lt;&gt;"", U$5*M$5, 0) + SUMPRODUCT(--(U$6:U46&lt;&gt;""), U$6:U46, (M$6:M46-M$5:M45)))/1000), ""))</f>
        <v/>
      </c>
    </row>
    <row r="47">
      <c r="A47" s="1">
        <f>A46+10</f>
        <v/>
      </c>
      <c r="B47" s="1">
        <f>C46</f>
        <v/>
      </c>
      <c r="E47" t="inlineStr">
        <is>
          <t>60mL/2s/5s</t>
        </is>
      </c>
      <c r="I47" s="1">
        <f>IF(C47="", "", (B47-C47)*1000/(A47-A46))</f>
        <v/>
      </c>
      <c r="J47" s="1">
        <f>IF(I47="","",I47/F$2/2.5)</f>
        <v/>
      </c>
      <c r="K47" s="1">
        <f>IF(I47="","", 100*_xlfn.STDEV.P(I46:I47)/AVERAGE(I46:I47))</f>
        <v/>
      </c>
      <c r="L47" s="8">
        <f t="array" ref="L47">IF(I47="","", IFERROR(((IF(I$5&lt;&gt;"", I$5*A$5, 0) + SUMPRODUCT(--(I$6:I47&lt;&gt;""), I$6:I47, (A$6:A47-A$5:A46)))/1000), ""))</f>
        <v/>
      </c>
      <c r="M47" s="1">
        <f>M46+10</f>
        <v/>
      </c>
      <c r="N47" s="1">
        <f>O46</f>
        <v/>
      </c>
      <c r="Q47" t="inlineStr">
        <is>
          <t>60mL/2s/5s</t>
        </is>
      </c>
      <c r="U47" s="1">
        <f>IF(O47="", "", (N47-O47)*1000/(M47-M46))</f>
        <v/>
      </c>
      <c r="V47" s="1">
        <f>IF(U47="","",U47/R$2/2.5)</f>
        <v/>
      </c>
      <c r="W47" s="1">
        <f>IF(U47="","", 100*_xlfn.STDEV.P(U46:U47)/AVERAGE(U46:U47))</f>
        <v/>
      </c>
      <c r="X47" s="8">
        <f t="array" ref="X47">IF(U47="","", IFERROR(((IF(U$5&lt;&gt;"", U$5*M$5, 0) + SUMPRODUCT(--(U$6:U47&lt;&gt;""), U$6:U47, (M$6:M47-M$5:M46)))/1000), ""))</f>
        <v/>
      </c>
    </row>
    <row r="48">
      <c r="A48" s="1">
        <f>A47+10</f>
        <v/>
      </c>
      <c r="B48" s="1">
        <f>C47</f>
        <v/>
      </c>
      <c r="E48" t="inlineStr">
        <is>
          <t>60mL/2s/5s</t>
        </is>
      </c>
      <c r="I48" s="1">
        <f>IF(C48="", "", (B48-C48)*1000/(A48-A47))</f>
        <v/>
      </c>
      <c r="J48" s="1">
        <f>IF(I48="","",I48/F$2/2.5)</f>
        <v/>
      </c>
      <c r="K48" s="1">
        <f>IF(I48="","", 100*_xlfn.STDEV.P(I47:I48)/AVERAGE(I47:I48))</f>
        <v/>
      </c>
      <c r="L48" s="8">
        <f t="array" ref="L48">IF(I48="","", IFERROR(((IF(I$5&lt;&gt;"", I$5*A$5, 0) + SUMPRODUCT(--(I$6:I48&lt;&gt;""), I$6:I48, (A$6:A48-A$5:A47)))/1000), ""))</f>
        <v/>
      </c>
      <c r="M48" s="1">
        <f>M47+10</f>
        <v/>
      </c>
      <c r="N48" s="1">
        <f>O47</f>
        <v/>
      </c>
      <c r="Q48" t="inlineStr">
        <is>
          <t>60mL/2s/5s</t>
        </is>
      </c>
      <c r="U48" s="1">
        <f>IF(O48="", "", (N48-O48)*1000/(M48-M47))</f>
        <v/>
      </c>
      <c r="V48" s="1">
        <f>IF(U48="","",U48/R$2/2.5)</f>
        <v/>
      </c>
      <c r="W48" s="1">
        <f>IF(U48="","", 100*_xlfn.STDEV.P(U47:U48)/AVERAGE(U47:U48))</f>
        <v/>
      </c>
      <c r="X48" s="8">
        <f t="array" ref="X48">IF(U48="","", IFERROR(((IF(U$5&lt;&gt;"", U$5*M$5, 0) + SUMPRODUCT(--(U$6:U48&lt;&gt;""), U$6:U48, (M$6:M48-M$5:M47)))/1000), ""))</f>
        <v/>
      </c>
    </row>
    <row r="49">
      <c r="A49" s="1">
        <f>A48+10</f>
        <v/>
      </c>
      <c r="B49" s="1">
        <f>C48</f>
        <v/>
      </c>
      <c r="E49" t="inlineStr">
        <is>
          <t>60mL/2s/5s</t>
        </is>
      </c>
      <c r="I49" s="1">
        <f>IF(C49="", "", (B49-C49)*1000/(A49-A48))</f>
        <v/>
      </c>
      <c r="J49" s="1">
        <f>IF(I49="","",I49/F$2/2.5)</f>
        <v/>
      </c>
      <c r="K49" s="1">
        <f>IF(I49="","", 100*_xlfn.STDEV.P(I48:I49)/AVERAGE(I48:I49))</f>
        <v/>
      </c>
      <c r="L49" s="8">
        <f t="array" ref="L49">IF(I49="","", IFERROR(((IF(I$5&lt;&gt;"", I$5*A$5, 0) + SUMPRODUCT(--(I$6:I49&lt;&gt;""), I$6:I49, (A$6:A49-A$5:A48)))/1000), ""))</f>
        <v/>
      </c>
      <c r="M49" s="1">
        <f>M48+10</f>
        <v/>
      </c>
      <c r="N49" s="1">
        <f>O48</f>
        <v/>
      </c>
      <c r="Q49" t="inlineStr">
        <is>
          <t>60mL/2s/5s</t>
        </is>
      </c>
      <c r="U49" s="1">
        <f>IF(O49="", "", (N49-O49)*1000/(M49-M48))</f>
        <v/>
      </c>
      <c r="V49" s="1">
        <f>IF(U49="","",U49/R$2/2.5)</f>
        <v/>
      </c>
      <c r="W49" s="1">
        <f>IF(U49="","", 100*_xlfn.STDEV.P(U48:U49)/AVERAGE(U48:U49))</f>
        <v/>
      </c>
      <c r="X49" s="8">
        <f t="array" ref="X49">IF(U49="","", IFERROR(((IF(U$5&lt;&gt;"", U$5*M$5, 0) + SUMPRODUCT(--(U$6:U49&lt;&gt;""), U$6:U49, (M$6:M49-M$5:M48)))/1000), ""))</f>
        <v/>
      </c>
    </row>
    <row r="50">
      <c r="A50" s="1">
        <f>A49+10</f>
        <v/>
      </c>
      <c r="B50" s="1">
        <f>C49</f>
        <v/>
      </c>
      <c r="E50" t="inlineStr">
        <is>
          <t>60mL/2s/5s</t>
        </is>
      </c>
      <c r="I50" s="1">
        <f>IF(C50="", "", (B50-C50)*1000/(A50-A49))</f>
        <v/>
      </c>
      <c r="J50" s="1">
        <f>IF(I50="","",I50/F$2/2.5)</f>
        <v/>
      </c>
      <c r="K50" s="1">
        <f>IF(I50="","", 100*_xlfn.STDEV.P(I49:I50)/AVERAGE(I49:I50))</f>
        <v/>
      </c>
      <c r="L50" s="8">
        <f t="array" ref="L50">IF(I50="","", IFERROR(((IF(I$5&lt;&gt;"", I$5*A$5, 0) + SUMPRODUCT(--(I$6:I50&lt;&gt;""), I$6:I50, (A$6:A50-A$5:A49)))/1000), ""))</f>
        <v/>
      </c>
      <c r="M50" s="1">
        <f>M49+10</f>
        <v/>
      </c>
      <c r="N50" s="1">
        <f>O49</f>
        <v/>
      </c>
      <c r="Q50" t="inlineStr">
        <is>
          <t>60mL/2s/5s</t>
        </is>
      </c>
      <c r="U50" s="1">
        <f>IF(O50="", "", (N50-O50)*1000/(M50-M49))</f>
        <v/>
      </c>
      <c r="V50" s="1">
        <f>IF(U50="","",U50/R$2/2.5)</f>
        <v/>
      </c>
      <c r="W50" s="1">
        <f>IF(U50="","", 100*_xlfn.STDEV.P(U49:U50)/AVERAGE(U49:U50))</f>
        <v/>
      </c>
      <c r="X50" s="8">
        <f t="array" ref="X50">IF(U50="","", IFERROR(((IF(U$5&lt;&gt;"", U$5*M$5, 0) + SUMPRODUCT(--(U$6:U50&lt;&gt;""), U$6:U50, (M$6:M50-M$5:M49)))/1000), ""))</f>
        <v/>
      </c>
    </row>
    <row r="51">
      <c r="A51" s="1">
        <f>A50+10</f>
        <v/>
      </c>
      <c r="B51" s="1">
        <f>C50</f>
        <v/>
      </c>
      <c r="E51" t="inlineStr">
        <is>
          <t>60mL/2s/5s</t>
        </is>
      </c>
      <c r="I51" s="1">
        <f>IF(C51="", "", (B51-C51)*1000/(A51-A50))</f>
        <v/>
      </c>
      <c r="J51" s="1">
        <f>IF(I51="","",I51/F$2/2.5)</f>
        <v/>
      </c>
      <c r="K51" s="1">
        <f>IF(I51="","", 100*_xlfn.STDEV.P(I50:I51)/AVERAGE(I50:I51))</f>
        <v/>
      </c>
      <c r="L51" s="8">
        <f t="array" ref="L51">IF(I51="","", IFERROR(((IF(I$5&lt;&gt;"", I$5*A$5, 0) + SUMPRODUCT(--(I$6:I51&lt;&gt;""), I$6:I51, (A$6:A51-A$5:A50)))/1000), ""))</f>
        <v/>
      </c>
      <c r="M51" s="1">
        <f>M50+10</f>
        <v/>
      </c>
      <c r="N51" s="1">
        <f>O50</f>
        <v/>
      </c>
      <c r="Q51" t="inlineStr">
        <is>
          <t>60mL/2s/5s</t>
        </is>
      </c>
      <c r="U51" s="1">
        <f>IF(O51="", "", (N51-O51)*1000/(M51-M50))</f>
        <v/>
      </c>
      <c r="V51" s="1">
        <f>IF(U51="","",U51/R$2/2.5)</f>
        <v/>
      </c>
      <c r="W51" s="1">
        <f>IF(U51="","", 100*_xlfn.STDEV.P(U50:U51)/AVERAGE(U50:U51))</f>
        <v/>
      </c>
      <c r="X51" s="8">
        <f t="array" ref="X51">IF(U51="","", IFERROR(((IF(U$5&lt;&gt;"", U$5*M$5, 0) + SUMPRODUCT(--(U$6:U51&lt;&gt;""), U$6:U51, (M$6:M51-M$5:M50)))/1000), ""))</f>
        <v/>
      </c>
    </row>
    <row r="52">
      <c r="A52" s="1">
        <f>A51+10</f>
        <v/>
      </c>
      <c r="B52" s="1">
        <f>C51</f>
        <v/>
      </c>
      <c r="E52" t="inlineStr">
        <is>
          <t>60mL/2s/5s</t>
        </is>
      </c>
      <c r="I52" s="1">
        <f>IF(C52="", "", (B52-C52)*1000/(A52-A51))</f>
        <v/>
      </c>
      <c r="J52" s="1">
        <f>IF(I52="","",I52/F$2/2.5)</f>
        <v/>
      </c>
      <c r="K52" s="1">
        <f>IF(I52="","", 100*_xlfn.STDEV.P(I51:I52)/AVERAGE(I51:I52))</f>
        <v/>
      </c>
      <c r="L52" s="8">
        <f t="array" ref="L52">IF(I52="","", IFERROR(((IF(I$5&lt;&gt;"", I$5*A$5, 0) + SUMPRODUCT(--(I$6:I52&lt;&gt;""), I$6:I52, (A$6:A52-A$5:A51)))/1000), ""))</f>
        <v/>
      </c>
      <c r="M52" s="1">
        <f>M51+10</f>
        <v/>
      </c>
      <c r="N52" s="1">
        <f>O51</f>
        <v/>
      </c>
      <c r="Q52" t="inlineStr">
        <is>
          <t>60mL/2s/5s</t>
        </is>
      </c>
      <c r="U52" s="1">
        <f>IF(O52="", "", (N52-O52)*1000/(M52-M51))</f>
        <v/>
      </c>
      <c r="V52" s="1">
        <f>IF(U52="","",U52/R$2/2.5)</f>
        <v/>
      </c>
      <c r="W52" s="1">
        <f>IF(U52="","", 100*_xlfn.STDEV.P(U51:U52)/AVERAGE(U51:U52))</f>
        <v/>
      </c>
      <c r="X52" s="8">
        <f t="array" ref="X52">IF(U52="","", IFERROR(((IF(U$5&lt;&gt;"", U$5*M$5, 0) + SUMPRODUCT(--(U$6:U52&lt;&gt;""), U$6:U52, (M$6:M52-M$5:M51)))/1000), ""))</f>
        <v/>
      </c>
    </row>
    <row r="53">
      <c r="A53" s="1">
        <f>A52+10</f>
        <v/>
      </c>
      <c r="B53" s="1">
        <f>C52</f>
        <v/>
      </c>
      <c r="E53" t="inlineStr">
        <is>
          <t>60mL/2s/5s</t>
        </is>
      </c>
      <c r="I53" s="1">
        <f>IF(C53="", "", (B53-C53)*1000/(A53-A52))</f>
        <v/>
      </c>
      <c r="J53" s="1">
        <f>IF(I53="","",I53/F$2/2.5)</f>
        <v/>
      </c>
      <c r="K53" s="1">
        <f>IF(I53="","", 100*_xlfn.STDEV.P(I52:I53)/AVERAGE(I52:I53))</f>
        <v/>
      </c>
      <c r="L53" s="8">
        <f t="array" ref="L53">IF(I53="","", IFERROR(((IF(I$5&lt;&gt;"", I$5*A$5, 0) + SUMPRODUCT(--(I$6:I53&lt;&gt;""), I$6:I53, (A$6:A53-A$5:A52)))/1000), ""))</f>
        <v/>
      </c>
      <c r="M53" s="1">
        <f>M52+10</f>
        <v/>
      </c>
      <c r="N53" s="1">
        <f>O52</f>
        <v/>
      </c>
      <c r="Q53" t="inlineStr">
        <is>
          <t>60mL/2s/5s</t>
        </is>
      </c>
      <c r="U53" s="1">
        <f>IF(O53="", "", (N53-O53)*1000/(M53-M52))</f>
        <v/>
      </c>
      <c r="V53" s="1">
        <f>IF(U53="","",U53/R$2/2.5)</f>
        <v/>
      </c>
      <c r="W53" s="1">
        <f>IF(U53="","", 100*_xlfn.STDEV.P(U52:U53)/AVERAGE(U52:U53))</f>
        <v/>
      </c>
      <c r="X53" s="8">
        <f t="array" ref="X53">IF(U53="","", IFERROR(((IF(U$5&lt;&gt;"", U$5*M$5, 0) + SUMPRODUCT(--(U$6:U53&lt;&gt;""), U$6:U53, (M$6:M53-M$5:M52)))/1000), ""))</f>
        <v/>
      </c>
    </row>
    <row r="54">
      <c r="A54" s="1">
        <f>A53+10</f>
        <v/>
      </c>
      <c r="B54" s="1">
        <f>C53</f>
        <v/>
      </c>
      <c r="E54" t="inlineStr">
        <is>
          <t>60mL/2s/5s</t>
        </is>
      </c>
      <c r="I54" s="1">
        <f>IF(C54="", "", (B54-C54)*1000/(A54-A53))</f>
        <v/>
      </c>
      <c r="J54" s="1">
        <f>IF(I54="","",I54/F$2/2.5)</f>
        <v/>
      </c>
      <c r="K54" s="1">
        <f>IF(I54="","", 100*_xlfn.STDEV.P(I53:I54)/AVERAGE(I53:I54))</f>
        <v/>
      </c>
      <c r="L54" s="8">
        <f t="array" ref="L54">IF(I54="","", IFERROR(((IF(I$5&lt;&gt;"", I$5*A$5, 0) + SUMPRODUCT(--(I$6:I54&lt;&gt;""), I$6:I54, (A$6:A54-A$5:A53)))/1000), ""))</f>
        <v/>
      </c>
      <c r="M54" s="1">
        <f>M53+10</f>
        <v/>
      </c>
      <c r="N54" s="1">
        <f>O53</f>
        <v/>
      </c>
      <c r="Q54" t="inlineStr">
        <is>
          <t>60mL/2s/5s</t>
        </is>
      </c>
      <c r="U54" s="1">
        <f>IF(O54="", "", (N54-O54)*1000/(M54-M53))</f>
        <v/>
      </c>
      <c r="V54" s="1">
        <f>IF(U54="","",U54/R$2/2.5)</f>
        <v/>
      </c>
      <c r="W54" s="1">
        <f>IF(U54="","", 100*_xlfn.STDEV.P(U53:U54)/AVERAGE(U53:U54))</f>
        <v/>
      </c>
      <c r="X54" s="8">
        <f t="array" ref="X54">IF(U54="","", IFERROR(((IF(U$5&lt;&gt;"", U$5*M$5, 0) + SUMPRODUCT(--(U$6:U54&lt;&gt;""), U$6:U54, (M$6:M54-M$5:M53)))/1000), ""))</f>
        <v/>
      </c>
    </row>
    <row r="55">
      <c r="A55" s="1">
        <f>A54+10</f>
        <v/>
      </c>
      <c r="B55" s="1">
        <f>C54</f>
        <v/>
      </c>
      <c r="E55" t="inlineStr">
        <is>
          <t>60mL/2s/5s</t>
        </is>
      </c>
      <c r="I55" s="1">
        <f>IF(C55="", "", (B55-C55)*1000/(A55-A54))</f>
        <v/>
      </c>
      <c r="J55" s="1">
        <f>IF(I55="","",I55/F$2/2.5)</f>
        <v/>
      </c>
      <c r="K55" s="1">
        <f>IF(I55="","", 100*_xlfn.STDEV.P(I54:I55)/AVERAGE(I54:I55))</f>
        <v/>
      </c>
      <c r="L55" s="8">
        <f t="array" ref="L55">IF(I55="","", IFERROR(((IF(I$5&lt;&gt;"", I$5*A$5, 0) + SUMPRODUCT(--(I$6:I55&lt;&gt;""), I$6:I55, (A$6:A55-A$5:A54)))/1000), ""))</f>
        <v/>
      </c>
      <c r="M55" s="1">
        <f>M54+10</f>
        <v/>
      </c>
      <c r="N55" s="1">
        <f>O54</f>
        <v/>
      </c>
      <c r="Q55" t="inlineStr">
        <is>
          <t>60mL/2s/5s</t>
        </is>
      </c>
      <c r="U55" s="1">
        <f>IF(O55="", "", (N55-O55)*1000/(M55-M54))</f>
        <v/>
      </c>
      <c r="V55" s="1">
        <f>IF(U55="","",U55/R$2/2.5)</f>
        <v/>
      </c>
      <c r="W55" s="1">
        <f>IF(U55="","", 100*_xlfn.STDEV.P(U54:U55)/AVERAGE(U54:U55))</f>
        <v/>
      </c>
      <c r="X55" s="8">
        <f t="array" ref="X55">IF(U55="","", IFERROR(((IF(U$5&lt;&gt;"", U$5*M$5, 0) + SUMPRODUCT(--(U$6:U55&lt;&gt;""), U$6:U55, (M$6:M55-M$5:M54)))/1000), ""))</f>
        <v/>
      </c>
    </row>
    <row r="56">
      <c r="A56" s="1">
        <f>A55+10</f>
        <v/>
      </c>
      <c r="B56" s="1">
        <f>C55</f>
        <v/>
      </c>
      <c r="E56" t="inlineStr">
        <is>
          <t>60mL/2s/5s</t>
        </is>
      </c>
      <c r="I56" s="1">
        <f>IF(C56="", "", (B56-C56)*1000/(A56-A55))</f>
        <v/>
      </c>
      <c r="J56" s="1">
        <f>IF(I56="","",I56/F$2/2.5)</f>
        <v/>
      </c>
      <c r="K56" s="1">
        <f>IF(I56="","", 100*_xlfn.STDEV.P(I55:I56)/AVERAGE(I55:I56))</f>
        <v/>
      </c>
      <c r="L56" s="8">
        <f t="array" ref="L56">IF(I56="","", IFERROR(((IF(I$5&lt;&gt;"", I$5*A$5, 0) + SUMPRODUCT(--(I$6:I56&lt;&gt;""), I$6:I56, (A$6:A56-A$5:A55)))/1000), ""))</f>
        <v/>
      </c>
      <c r="M56" s="1">
        <f>M55+10</f>
        <v/>
      </c>
      <c r="N56" s="1">
        <f>O55</f>
        <v/>
      </c>
      <c r="Q56" t="inlineStr">
        <is>
          <t>60mL/2s/5s</t>
        </is>
      </c>
      <c r="U56" s="1">
        <f>IF(O56="", "", (N56-O56)*1000/(M56-M55))</f>
        <v/>
      </c>
      <c r="V56" s="1">
        <f>IF(U56="","",U56/R$2/2.5)</f>
        <v/>
      </c>
      <c r="W56" s="1">
        <f>IF(U56="","", 100*_xlfn.STDEV.P(U55:U56)/AVERAGE(U55:U56))</f>
        <v/>
      </c>
      <c r="X56" s="8">
        <f t="array" ref="X56">IF(U56="","", IFERROR(((IF(U$5&lt;&gt;"", U$5*M$5, 0) + SUMPRODUCT(--(U$6:U56&lt;&gt;""), U$6:U56, (M$6:M56-M$5:M55)))/1000), ""))</f>
        <v/>
      </c>
    </row>
    <row r="57">
      <c r="A57" s="1">
        <f>A56+10</f>
        <v/>
      </c>
      <c r="B57" s="1">
        <f>C56</f>
        <v/>
      </c>
      <c r="E57" t="inlineStr">
        <is>
          <t>60mL/2s/5s</t>
        </is>
      </c>
      <c r="I57" s="1">
        <f>IF(C57="", "", (B57-C57)*1000/(A57-A56))</f>
        <v/>
      </c>
      <c r="J57" s="1">
        <f>IF(I57="","",I57/F$2/2.5)</f>
        <v/>
      </c>
      <c r="K57" s="1">
        <f>IF(I57="","", 100*_xlfn.STDEV.P(I56:I57)/AVERAGE(I56:I57))</f>
        <v/>
      </c>
      <c r="L57" s="8">
        <f t="array" ref="L57">IF(I57="","", IFERROR(((IF(I$5&lt;&gt;"", I$5*A$5, 0) + SUMPRODUCT(--(I$6:I57&lt;&gt;""), I$6:I57, (A$6:A57-A$5:A56)))/1000), ""))</f>
        <v/>
      </c>
      <c r="M57" s="1">
        <f>M56+10</f>
        <v/>
      </c>
      <c r="N57" s="1">
        <f>O56</f>
        <v/>
      </c>
      <c r="Q57" t="inlineStr">
        <is>
          <t>60mL/2s/5s</t>
        </is>
      </c>
      <c r="U57" s="1">
        <f>IF(O57="", "", (N57-O57)*1000/(M57-M56))</f>
        <v/>
      </c>
      <c r="V57" s="1">
        <f>IF(U57="","",U57/R$2/2.5)</f>
        <v/>
      </c>
      <c r="W57" s="1">
        <f>IF(U57="","", 100*_xlfn.STDEV.P(U56:U57)/AVERAGE(U56:U57))</f>
        <v/>
      </c>
      <c r="X57" s="8">
        <f t="array" ref="X57">IF(U57="","", IFERROR(((IF(U$5&lt;&gt;"", U$5*M$5, 0) + SUMPRODUCT(--(U$6:U57&lt;&gt;""), U$6:U57, (M$6:M57-M$5:M56)))/1000), ""))</f>
        <v/>
      </c>
    </row>
    <row r="58">
      <c r="A58" s="1">
        <f>A57+10</f>
        <v/>
      </c>
      <c r="B58" s="1">
        <f>C57</f>
        <v/>
      </c>
      <c r="E58" t="inlineStr">
        <is>
          <t>60mL/2s/5s</t>
        </is>
      </c>
      <c r="I58" s="1">
        <f>IF(C58="", "", (B58-C58)*1000/(A58-A57))</f>
        <v/>
      </c>
      <c r="J58" s="1">
        <f>IF(I58="","",I58/F$2/2.5)</f>
        <v/>
      </c>
      <c r="K58" s="1">
        <f>IF(I58="","", 100*_xlfn.STDEV.P(I57:I58)/AVERAGE(I57:I58))</f>
        <v/>
      </c>
      <c r="L58" s="8">
        <f t="array" ref="L58">IF(I58="","", IFERROR(((IF(I$5&lt;&gt;"", I$5*A$5, 0) + SUMPRODUCT(--(I$6:I58&lt;&gt;""), I$6:I58, (A$6:A58-A$5:A57)))/1000), ""))</f>
        <v/>
      </c>
      <c r="M58" s="1">
        <f>M57+10</f>
        <v/>
      </c>
      <c r="N58" s="1">
        <f>O57</f>
        <v/>
      </c>
      <c r="Q58" t="inlineStr">
        <is>
          <t>60mL/2s/5s</t>
        </is>
      </c>
      <c r="U58" s="1">
        <f>IF(O58="", "", (N58-O58)*1000/(M58-M57))</f>
        <v/>
      </c>
      <c r="V58" s="1">
        <f>IF(U58="","",U58/R$2/2.5)</f>
        <v/>
      </c>
      <c r="W58" s="1">
        <f>IF(U58="","", 100*_xlfn.STDEV.P(U57:U58)/AVERAGE(U57:U58))</f>
        <v/>
      </c>
      <c r="X58" s="8">
        <f t="array" ref="X58">IF(U58="","", IFERROR(((IF(U$5&lt;&gt;"", U$5*M$5, 0) + SUMPRODUCT(--(U$6:U58&lt;&gt;""), U$6:U58, (M$6:M58-M$5:M57)))/1000), ""))</f>
        <v/>
      </c>
    </row>
    <row r="59">
      <c r="A59" s="1">
        <f>A58+10</f>
        <v/>
      </c>
      <c r="B59" s="1">
        <f>C58</f>
        <v/>
      </c>
      <c r="E59" t="inlineStr">
        <is>
          <t>60mL/2s/5s</t>
        </is>
      </c>
      <c r="I59" s="1">
        <f>IF(C59="", "", (B59-C59)*1000/(A59-A58))</f>
        <v/>
      </c>
      <c r="J59" s="1">
        <f>IF(I59="","",I59/F$2/2.5)</f>
        <v/>
      </c>
      <c r="K59" s="1">
        <f>IF(I59="","", 100*_xlfn.STDEV.P(I58:I59)/AVERAGE(I58:I59))</f>
        <v/>
      </c>
      <c r="L59" s="8">
        <f t="array" ref="L59">IF(I59="","", IFERROR(((IF(I$5&lt;&gt;"", I$5*A$5, 0) + SUMPRODUCT(--(I$6:I59&lt;&gt;""), I$6:I59, (A$6:A59-A$5:A58)))/1000), ""))</f>
        <v/>
      </c>
      <c r="M59" s="1">
        <f>M58+10</f>
        <v/>
      </c>
      <c r="N59" s="1">
        <f>O58</f>
        <v/>
      </c>
      <c r="Q59" t="inlineStr">
        <is>
          <t>60mL/2s/5s</t>
        </is>
      </c>
      <c r="U59" s="1">
        <f>IF(O59="", "", (N59-O59)*1000/(M59-M58))</f>
        <v/>
      </c>
      <c r="V59" s="1">
        <f>IF(U59="","",U59/R$2/2.5)</f>
        <v/>
      </c>
      <c r="W59" s="1">
        <f>IF(U59="","", 100*_xlfn.STDEV.P(U58:U59)/AVERAGE(U58:U59))</f>
        <v/>
      </c>
      <c r="X59" s="8">
        <f t="array" ref="X59">IF(U59="","", IFERROR(((IF(U$5&lt;&gt;"", U$5*M$5, 0) + SUMPRODUCT(--(U$6:U59&lt;&gt;""), U$6:U59, (M$6:M59-M$5:M58)))/1000), ""))</f>
        <v/>
      </c>
    </row>
    <row r="60">
      <c r="A60" s="1">
        <f>A59+10</f>
        <v/>
      </c>
      <c r="B60" s="1">
        <f>C59</f>
        <v/>
      </c>
      <c r="E60" t="inlineStr">
        <is>
          <t>60mL/2s/5s</t>
        </is>
      </c>
      <c r="I60" s="1">
        <f>IF(C60="", "", (B60-C60)*1000/(A60-A59))</f>
        <v/>
      </c>
      <c r="J60" s="1">
        <f>IF(I60="","",I60/F$2/2.5)</f>
        <v/>
      </c>
      <c r="K60" s="1">
        <f>IF(I60="","", 100*_xlfn.STDEV.P(I59:I60)/AVERAGE(I59:I60))</f>
        <v/>
      </c>
      <c r="L60" s="8">
        <f t="array" ref="L60">IF(I60="","", IFERROR(((IF(I$5&lt;&gt;"", I$5*A$5, 0) + SUMPRODUCT(--(I$6:I60&lt;&gt;""), I$6:I60, (A$6:A60-A$5:A59)))/1000), ""))</f>
        <v/>
      </c>
      <c r="M60" s="1">
        <f>M59+10</f>
        <v/>
      </c>
      <c r="N60" s="1">
        <f>O59</f>
        <v/>
      </c>
      <c r="Q60" t="inlineStr">
        <is>
          <t>60mL/2s/5s</t>
        </is>
      </c>
      <c r="U60" s="1">
        <f>IF(O60="", "", (N60-O60)*1000/(M60-M59))</f>
        <v/>
      </c>
      <c r="V60" s="1">
        <f>IF(U60="","",U60/R$2/2.5)</f>
        <v/>
      </c>
      <c r="W60" s="1">
        <f>IF(U60="","", 100*_xlfn.STDEV.P(U59:U60)/AVERAGE(U59:U60))</f>
        <v/>
      </c>
      <c r="X60" s="8">
        <f t="array" ref="X60">IF(U60="","", IFERROR(((IF(U$5&lt;&gt;"", U$5*M$5, 0) + SUMPRODUCT(--(U$6:U60&lt;&gt;""), U$6:U60, (M$6:M60-M$5:M59)))/1000), ""))</f>
        <v/>
      </c>
    </row>
    <row r="61">
      <c r="A61" s="1">
        <f>A60+10</f>
        <v/>
      </c>
      <c r="B61" s="1">
        <f>C60</f>
        <v/>
      </c>
      <c r="E61" t="inlineStr">
        <is>
          <t>60mL/2s/5s</t>
        </is>
      </c>
      <c r="I61" s="1">
        <f>IF(C61="", "", (B61-C61)*1000/(A61-A60))</f>
        <v/>
      </c>
      <c r="J61" s="1">
        <f>IF(I61="","",I61/F$2/2.5)</f>
        <v/>
      </c>
      <c r="K61" s="1">
        <f>IF(I61="","", 100*_xlfn.STDEV.P(I60:I61)/AVERAGE(I60:I61))</f>
        <v/>
      </c>
      <c r="L61" s="8">
        <f t="array" ref="L61">IF(I61="","", IFERROR(((IF(I$5&lt;&gt;"", I$5*A$5, 0) + SUMPRODUCT(--(I$6:I61&lt;&gt;""), I$6:I61, (A$6:A61-A$5:A60)))/1000), ""))</f>
        <v/>
      </c>
      <c r="M61" s="1">
        <f>M60+10</f>
        <v/>
      </c>
      <c r="N61" s="1">
        <f>O60</f>
        <v/>
      </c>
      <c r="Q61" t="inlineStr">
        <is>
          <t>60mL/2s/5s</t>
        </is>
      </c>
      <c r="U61" s="1">
        <f>IF(O61="", "", (N61-O61)*1000/(M61-M60))</f>
        <v/>
      </c>
      <c r="V61" s="1">
        <f>IF(U61="","",U61/R$2/2.5)</f>
        <v/>
      </c>
      <c r="W61" s="1">
        <f>IF(U61="","", 100*_xlfn.STDEV.P(U60:U61)/AVERAGE(U60:U61))</f>
        <v/>
      </c>
      <c r="X61" s="8">
        <f t="array" ref="X61">IF(U61="","", IFERROR(((IF(U$5&lt;&gt;"", U$5*M$5, 0) + SUMPRODUCT(--(U$6:U61&lt;&gt;""), U$6:U61, (M$6:M61-M$5:M60)))/1000), ""))</f>
        <v/>
      </c>
    </row>
    <row r="62">
      <c r="A62" s="1">
        <f>A61+10</f>
        <v/>
      </c>
      <c r="B62" s="1">
        <f>C61</f>
        <v/>
      </c>
      <c r="E62" t="inlineStr">
        <is>
          <t>60mL/2s/5s</t>
        </is>
      </c>
      <c r="I62" s="1">
        <f>IF(C62="", "", (B62-C62)*1000/(A62-A61))</f>
        <v/>
      </c>
      <c r="J62" s="1">
        <f>IF(I62="","",I62/F$2/2.5)</f>
        <v/>
      </c>
      <c r="K62" s="1">
        <f>IF(I62="","", 100*_xlfn.STDEV.P(I61:I62)/AVERAGE(I61:I62))</f>
        <v/>
      </c>
      <c r="L62" s="8">
        <f t="array" ref="L62">IF(I62="","", IFERROR(((IF(I$5&lt;&gt;"", I$5*A$5, 0) + SUMPRODUCT(--(I$6:I62&lt;&gt;""), I$6:I62, (A$6:A62-A$5:A61)))/1000), ""))</f>
        <v/>
      </c>
      <c r="M62" s="1">
        <f>M61+10</f>
        <v/>
      </c>
      <c r="N62" s="1">
        <f>O61</f>
        <v/>
      </c>
      <c r="Q62" t="inlineStr">
        <is>
          <t>60mL/2s/5s</t>
        </is>
      </c>
      <c r="U62" s="1">
        <f>IF(O62="", "", (N62-O62)*1000/(M62-M61))</f>
        <v/>
      </c>
      <c r="V62" s="1">
        <f>IF(U62="","",U62/R$2/2.5)</f>
        <v/>
      </c>
      <c r="W62" s="1">
        <f>IF(U62="","", 100*_xlfn.STDEV.P(U61:U62)/AVERAGE(U61:U62))</f>
        <v/>
      </c>
      <c r="X62" s="8">
        <f t="array" ref="X62">IF(U62="","", IFERROR(((IF(U$5&lt;&gt;"", U$5*M$5, 0) + SUMPRODUCT(--(U$6:U62&lt;&gt;""), U$6:U62, (M$6:M62-M$5:M61)))/1000), ""))</f>
        <v/>
      </c>
    </row>
    <row r="63">
      <c r="A63" s="1">
        <f>A62+10</f>
        <v/>
      </c>
      <c r="B63" s="1">
        <f>C62</f>
        <v/>
      </c>
      <c r="E63" t="inlineStr">
        <is>
          <t>60mL/2s/5s</t>
        </is>
      </c>
      <c r="I63" s="1">
        <f>IF(C63="", "", (B63-C63)*1000/(A63-A62))</f>
        <v/>
      </c>
      <c r="J63" s="1">
        <f>IF(I63="","",I63/F$2/2.5)</f>
        <v/>
      </c>
      <c r="K63" s="1">
        <f>IF(I63="","", 100*_xlfn.STDEV.P(I62:I63)/AVERAGE(I62:I63))</f>
        <v/>
      </c>
      <c r="L63" s="8">
        <f t="array" ref="L63">IF(I63="","", IFERROR(((IF(I$5&lt;&gt;"", I$5*A$5, 0) + SUMPRODUCT(--(I$6:I63&lt;&gt;""), I$6:I63, (A$6:A63-A$5:A62)))/1000), ""))</f>
        <v/>
      </c>
      <c r="M63" s="1">
        <f>M62+10</f>
        <v/>
      </c>
      <c r="N63" s="1">
        <f>O62</f>
        <v/>
      </c>
      <c r="Q63" t="inlineStr">
        <is>
          <t>60mL/2s/5s</t>
        </is>
      </c>
      <c r="U63" s="1">
        <f>IF(O63="", "", (N63-O63)*1000/(M63-M62))</f>
        <v/>
      </c>
      <c r="V63" s="1">
        <f>IF(U63="","",U63/R$2/2.5)</f>
        <v/>
      </c>
      <c r="W63" s="1">
        <f>IF(U63="","", 100*_xlfn.STDEV.P(U62:U63)/AVERAGE(U62:U63))</f>
        <v/>
      </c>
      <c r="X63" s="8">
        <f t="array" ref="X63">IF(U63="","", IFERROR(((IF(U$5&lt;&gt;"", U$5*M$5, 0) + SUMPRODUCT(--(U$6:U63&lt;&gt;""), U$6:U63, (M$6:M63-M$5:M62)))/1000), ""))</f>
        <v/>
      </c>
    </row>
    <row r="64">
      <c r="A64" s="1">
        <f>A63+10</f>
        <v/>
      </c>
      <c r="B64" s="1">
        <f>C63</f>
        <v/>
      </c>
      <c r="E64" t="inlineStr">
        <is>
          <t>60mL/2s/5s</t>
        </is>
      </c>
      <c r="I64" s="1">
        <f>IF(C64="", "", (B64-C64)*1000/(A64-A63))</f>
        <v/>
      </c>
      <c r="J64" s="1">
        <f>IF(I64="","",I64/F$2/2.5)</f>
        <v/>
      </c>
      <c r="K64" s="1">
        <f>IF(I64="","", 100*_xlfn.STDEV.P(I63:I64)/AVERAGE(I63:I64))</f>
        <v/>
      </c>
      <c r="L64" s="8">
        <f t="array" ref="L64">IF(I64="","", IFERROR(((IF(I$5&lt;&gt;"", I$5*A$5, 0) + SUMPRODUCT(--(I$6:I64&lt;&gt;""), I$6:I64, (A$6:A64-A$5:A63)))/1000), ""))</f>
        <v/>
      </c>
      <c r="M64" s="1">
        <f>M63+10</f>
        <v/>
      </c>
      <c r="N64" s="1">
        <f>O63</f>
        <v/>
      </c>
      <c r="Q64" t="inlineStr">
        <is>
          <t>60mL/2s/5s</t>
        </is>
      </c>
      <c r="U64" s="1">
        <f>IF(O64="", "", (N64-O64)*1000/(M64-M63))</f>
        <v/>
      </c>
      <c r="V64" s="1">
        <f>IF(U64="","",U64/R$2/2.5)</f>
        <v/>
      </c>
      <c r="W64" s="1">
        <f>IF(U64="","", 100*_xlfn.STDEV.P(U63:U64)/AVERAGE(U63:U64))</f>
        <v/>
      </c>
      <c r="X64" s="8">
        <f t="array" ref="X64">IF(U64="","", IFERROR(((IF(U$5&lt;&gt;"", U$5*M$5, 0) + SUMPRODUCT(--(U$6:U64&lt;&gt;""), U$6:U64, (M$6:M64-M$5:M63)))/1000), ""))</f>
        <v/>
      </c>
    </row>
    <row r="65">
      <c r="A65" s="1">
        <f>A64+10</f>
        <v/>
      </c>
      <c r="B65" s="1">
        <f>C64</f>
        <v/>
      </c>
      <c r="E65" t="inlineStr">
        <is>
          <t>60mL/2s/5s</t>
        </is>
      </c>
      <c r="I65" s="1">
        <f>IF(C65="", "", (B65-C65)*1000/(A65-A64))</f>
        <v/>
      </c>
      <c r="J65" s="1">
        <f>IF(I65="","",I65/F$2/2.5)</f>
        <v/>
      </c>
      <c r="K65" s="1">
        <f>IF(I65="","", 100*_xlfn.STDEV.P(I64:I65)/AVERAGE(I64:I65))</f>
        <v/>
      </c>
      <c r="L65" s="8">
        <f t="array" ref="L65">IF(I65="","", IFERROR(((IF(I$5&lt;&gt;"", I$5*A$5, 0) + SUMPRODUCT(--(I$6:I65&lt;&gt;""), I$6:I65, (A$6:A65-A$5:A64)))/1000), ""))</f>
        <v/>
      </c>
      <c r="M65" s="1">
        <f>M64+10</f>
        <v/>
      </c>
      <c r="N65" s="1">
        <f>O64</f>
        <v/>
      </c>
      <c r="Q65" t="inlineStr">
        <is>
          <t>60mL/2s/5s</t>
        </is>
      </c>
      <c r="U65" s="1">
        <f>IF(O65="", "", (N65-O65)*1000/(M65-M64))</f>
        <v/>
      </c>
      <c r="V65" s="1">
        <f>IF(U65="","",U65/R$2/2.5)</f>
        <v/>
      </c>
      <c r="W65" s="1">
        <f>IF(U65="","", 100*_xlfn.STDEV.P(U64:U65)/AVERAGE(U64:U65))</f>
        <v/>
      </c>
      <c r="X65" s="8">
        <f t="array" ref="X65">IF(U65="","", IFERROR(((IF(U$5&lt;&gt;"", U$5*M$5, 0) + SUMPRODUCT(--(U$6:U65&lt;&gt;""), U$6:U65, (M$6:M65-M$5:M64)))/1000), ""))</f>
        <v/>
      </c>
    </row>
    <row r="66">
      <c r="A66" s="1">
        <f>A65+10</f>
        <v/>
      </c>
      <c r="B66" s="1">
        <f>C65</f>
        <v/>
      </c>
      <c r="E66" t="inlineStr">
        <is>
          <t>60mL/2s/5s</t>
        </is>
      </c>
      <c r="I66" s="1">
        <f>IF(C66="", "", (B66-C66)*1000/(A66-A65))</f>
        <v/>
      </c>
      <c r="J66" s="1">
        <f>IF(I66="","",I66/F$2/2.5)</f>
        <v/>
      </c>
      <c r="K66" s="1">
        <f>IF(I66="","", 100*_xlfn.STDEV.P(I65:I66)/AVERAGE(I65:I66))</f>
        <v/>
      </c>
      <c r="L66" s="8">
        <f t="array" ref="L66">IF(I66="","", IFERROR(((IF(I$5&lt;&gt;"", I$5*A$5, 0) + SUMPRODUCT(--(I$6:I66&lt;&gt;""), I$6:I66, (A$6:A66-A$5:A65)))/1000), ""))</f>
        <v/>
      </c>
      <c r="M66" s="1">
        <f>M65+10</f>
        <v/>
      </c>
      <c r="N66" s="1">
        <f>O65</f>
        <v/>
      </c>
      <c r="Q66" t="inlineStr">
        <is>
          <t>60mL/2s/5s</t>
        </is>
      </c>
      <c r="U66" s="1">
        <f>IF(O66="", "", (N66-O66)*1000/(M66-M65))</f>
        <v/>
      </c>
      <c r="V66" s="1">
        <f>IF(U66="","",U66/R$2/2.5)</f>
        <v/>
      </c>
      <c r="W66" s="1">
        <f>IF(U66="","", 100*_xlfn.STDEV.P(U65:U66)/AVERAGE(U65:U66))</f>
        <v/>
      </c>
      <c r="X66" s="8">
        <f t="array" ref="X66">IF(U66="","", IFERROR(((IF(U$5&lt;&gt;"", U$5*M$5, 0) + SUMPRODUCT(--(U$6:U66&lt;&gt;""), U$6:U66, (M$6:M66-M$5:M65)))/1000), ""))</f>
        <v/>
      </c>
    </row>
    <row r="67">
      <c r="A67" s="1">
        <f>A66+10</f>
        <v/>
      </c>
      <c r="B67" s="1">
        <f>C66</f>
        <v/>
      </c>
      <c r="E67" t="inlineStr">
        <is>
          <t>60mL/2s/5s</t>
        </is>
      </c>
      <c r="I67" s="1">
        <f>IF(C67="", "", (B67-C67)*1000/(A67-A66))</f>
        <v/>
      </c>
      <c r="J67" s="1">
        <f>IF(I67="","",I67/F$2/2.5)</f>
        <v/>
      </c>
      <c r="K67" s="1">
        <f>IF(I67="","", 100*_xlfn.STDEV.P(I66:I67)/AVERAGE(I66:I67))</f>
        <v/>
      </c>
      <c r="L67" s="8">
        <f t="array" ref="L67">IF(I67="","", IFERROR(((IF(I$5&lt;&gt;"", I$5*A$5, 0) + SUMPRODUCT(--(I$6:I67&lt;&gt;""), I$6:I67, (A$6:A67-A$5:A66)))/1000), ""))</f>
        <v/>
      </c>
      <c r="M67" s="1">
        <f>M66+10</f>
        <v/>
      </c>
      <c r="N67" s="1">
        <f>O66</f>
        <v/>
      </c>
      <c r="Q67" t="inlineStr">
        <is>
          <t>60mL/2s/5s</t>
        </is>
      </c>
      <c r="U67" s="1">
        <f>IF(O67="", "", (N67-O67)*1000/(M67-M66))</f>
        <v/>
      </c>
      <c r="V67" s="1">
        <f>IF(U67="","",U67/R$2/2.5)</f>
        <v/>
      </c>
      <c r="W67" s="1">
        <f>IF(U67="","", 100*_xlfn.STDEV.P(U66:U67)/AVERAGE(U66:U67))</f>
        <v/>
      </c>
      <c r="X67" s="8">
        <f t="array" ref="X67">IF(U67="","", IFERROR(((IF(U$5&lt;&gt;"", U$5*M$5, 0) + SUMPRODUCT(--(U$6:U67&lt;&gt;""), U$6:U67, (M$6:M67-M$5:M66)))/1000), ""))</f>
        <v/>
      </c>
    </row>
    <row r="68">
      <c r="A68" s="1">
        <f>A67+10</f>
        <v/>
      </c>
      <c r="B68" s="1">
        <f>C67</f>
        <v/>
      </c>
      <c r="E68" t="inlineStr">
        <is>
          <t>60mL/2s/5s</t>
        </is>
      </c>
      <c r="I68" s="1">
        <f>IF(C68="", "", (B68-C68)*1000/(A68-A67))</f>
        <v/>
      </c>
      <c r="J68" s="1">
        <f>IF(I68="","",I68/F$2/2.5)</f>
        <v/>
      </c>
      <c r="K68" s="1">
        <f>IF(I68="","", 100*_xlfn.STDEV.P(I67:I68)/AVERAGE(I67:I68))</f>
        <v/>
      </c>
      <c r="L68" s="8">
        <f t="array" ref="L68">IF(I68="","", IFERROR(((IF(I$5&lt;&gt;"", I$5*A$5, 0) + SUMPRODUCT(--(I$6:I68&lt;&gt;""), I$6:I68, (A$6:A68-A$5:A67)))/1000), ""))</f>
        <v/>
      </c>
      <c r="M68" s="1">
        <f>M67+10</f>
        <v/>
      </c>
      <c r="N68" s="1">
        <f>O67</f>
        <v/>
      </c>
      <c r="Q68" t="inlineStr">
        <is>
          <t>60mL/2s/5s</t>
        </is>
      </c>
      <c r="U68" s="1">
        <f>IF(O68="", "", (N68-O68)*1000/(M68-M67))</f>
        <v/>
      </c>
      <c r="V68" s="1">
        <f>IF(U68="","",U68/R$2/2.5)</f>
        <v/>
      </c>
      <c r="W68" s="1">
        <f>IF(U68="","", 100*_xlfn.STDEV.P(U67:U68)/AVERAGE(U67:U68))</f>
        <v/>
      </c>
      <c r="X68" s="8">
        <f t="array" ref="X68">IF(U68="","", IFERROR(((IF(U$5&lt;&gt;"", U$5*M$5, 0) + SUMPRODUCT(--(U$6:U68&lt;&gt;""), U$6:U68, (M$6:M68-M$5:M67)))/1000), ""))</f>
        <v/>
      </c>
    </row>
    <row r="69">
      <c r="A69" s="1">
        <f>A68+10</f>
        <v/>
      </c>
      <c r="B69" s="1">
        <f>C68</f>
        <v/>
      </c>
      <c r="E69" t="inlineStr">
        <is>
          <t>60mL/2s/5s</t>
        </is>
      </c>
      <c r="I69" s="1">
        <f>IF(C69="", "", (B69-C69)*1000/(A69-A68))</f>
        <v/>
      </c>
      <c r="J69" s="1">
        <f>IF(I69="","",I69/F$2/2.5)</f>
        <v/>
      </c>
      <c r="K69" s="1">
        <f>IF(I69="","", 100*_xlfn.STDEV.P(I68:I69)/AVERAGE(I68:I69))</f>
        <v/>
      </c>
      <c r="L69" s="8">
        <f t="array" ref="L69">IF(I69="","", IFERROR(((IF(I$5&lt;&gt;"", I$5*A$5, 0) + SUMPRODUCT(--(I$6:I69&lt;&gt;""), I$6:I69, (A$6:A69-A$5:A68)))/1000), ""))</f>
        <v/>
      </c>
      <c r="M69" s="1">
        <f>M68+10</f>
        <v/>
      </c>
      <c r="N69" s="1">
        <f>O68</f>
        <v/>
      </c>
      <c r="Q69" t="inlineStr">
        <is>
          <t>60mL/2s/5s</t>
        </is>
      </c>
      <c r="U69" s="1">
        <f>IF(O69="", "", (N69-O69)*1000/(M69-M68))</f>
        <v/>
      </c>
      <c r="V69" s="1">
        <f>IF(U69="","",U69/R$2/2.5)</f>
        <v/>
      </c>
      <c r="W69" s="1">
        <f>IF(U69="","", 100*_xlfn.STDEV.P(U68:U69)/AVERAGE(U68:U69))</f>
        <v/>
      </c>
      <c r="X69" s="8">
        <f t="array" ref="X69">IF(U69="","", IFERROR(((IF(U$5&lt;&gt;"", U$5*M$5, 0) + SUMPRODUCT(--(U$6:U69&lt;&gt;""), U$6:U69, (M$6:M69-M$5:M68)))/1000), ""))</f>
        <v/>
      </c>
    </row>
    <row r="70">
      <c r="A70" s="1">
        <f>A69+10</f>
        <v/>
      </c>
      <c r="B70" s="1">
        <f>C69</f>
        <v/>
      </c>
      <c r="E70" t="inlineStr">
        <is>
          <t>60mL/2s/5s</t>
        </is>
      </c>
      <c r="I70" s="1">
        <f>IF(C70="", "", (B70-C70)*1000/(A70-A69))</f>
        <v/>
      </c>
      <c r="J70" s="1">
        <f>IF(I70="","",I70/F$2/2.5)</f>
        <v/>
      </c>
      <c r="K70" s="1">
        <f>IF(I70="","", 100*_xlfn.STDEV.P(I69:I70)/AVERAGE(I69:I70))</f>
        <v/>
      </c>
      <c r="L70" s="8">
        <f t="array" ref="L70">IF(I70="","", IFERROR(((IF(I$5&lt;&gt;"", I$5*A$5, 0) + SUMPRODUCT(--(I$6:I70&lt;&gt;""), I$6:I70, (A$6:A70-A$5:A69)))/1000), ""))</f>
        <v/>
      </c>
      <c r="M70" s="1">
        <f>M69+10</f>
        <v/>
      </c>
      <c r="N70" s="1">
        <f>O69</f>
        <v/>
      </c>
      <c r="Q70" t="inlineStr">
        <is>
          <t>60mL/2s/5s</t>
        </is>
      </c>
      <c r="U70" s="1">
        <f>IF(O70="", "", (N70-O70)*1000/(M70-M69))</f>
        <v/>
      </c>
      <c r="V70" s="1">
        <f>IF(U70="","",U70/R$2/2.5)</f>
        <v/>
      </c>
      <c r="W70" s="1">
        <f>IF(U70="","", 100*_xlfn.STDEV.P(U69:U70)/AVERAGE(U69:U70))</f>
        <v/>
      </c>
      <c r="X70" s="8">
        <f t="array" ref="X70">IF(U70="","", IFERROR(((IF(U$5&lt;&gt;"", U$5*M$5, 0) + SUMPRODUCT(--(U$6:U70&lt;&gt;""), U$6:U70, (M$6:M70-M$5:M69)))/1000), ""))</f>
        <v/>
      </c>
    </row>
    <row r="71">
      <c r="A71" s="1">
        <f>A70+10</f>
        <v/>
      </c>
      <c r="B71" s="1">
        <f>C70</f>
        <v/>
      </c>
      <c r="E71" t="inlineStr">
        <is>
          <t>60mL/2s/5s</t>
        </is>
      </c>
      <c r="I71" s="1">
        <f>IF(C71="", "", (B71-C71)*1000/(A71-A70))</f>
        <v/>
      </c>
      <c r="J71" s="1">
        <f>IF(I71="","",I71/F$2/2.5)</f>
        <v/>
      </c>
      <c r="K71" s="1">
        <f>IF(I71="","", 100*_xlfn.STDEV.P(I70:I71)/AVERAGE(I70:I71))</f>
        <v/>
      </c>
      <c r="L71" s="8">
        <f t="array" ref="L71">IF(I71="","", IFERROR(((IF(I$5&lt;&gt;"", I$5*A$5, 0) + SUMPRODUCT(--(I$6:I71&lt;&gt;""), I$6:I71, (A$6:A71-A$5:A70)))/1000), ""))</f>
        <v/>
      </c>
      <c r="M71" s="1">
        <f>M70+10</f>
        <v/>
      </c>
      <c r="N71" s="1">
        <f>O70</f>
        <v/>
      </c>
      <c r="Q71" t="inlineStr">
        <is>
          <t>60mL/2s/5s</t>
        </is>
      </c>
      <c r="U71" s="1">
        <f>IF(O71="", "", (N71-O71)*1000/(M71-M70))</f>
        <v/>
      </c>
      <c r="V71" s="1">
        <f>IF(U71="","",U71/R$2/2.5)</f>
        <v/>
      </c>
      <c r="W71" s="1">
        <f>IF(U71="","", 100*_xlfn.STDEV.P(U70:U71)/AVERAGE(U70:U71))</f>
        <v/>
      </c>
      <c r="X71" s="8">
        <f t="array" ref="X71">IF(U71="","", IFERROR(((IF(U$5&lt;&gt;"", U$5*M$5, 0) + SUMPRODUCT(--(U$6:U71&lt;&gt;""), U$6:U71, (M$6:M71-M$5:M70)))/1000), ""))</f>
        <v/>
      </c>
    </row>
    <row r="72">
      <c r="A72" s="1">
        <f>A71+10</f>
        <v/>
      </c>
      <c r="B72" s="1">
        <f>C71</f>
        <v/>
      </c>
      <c r="E72" t="inlineStr">
        <is>
          <t>60mL/2s/5s</t>
        </is>
      </c>
      <c r="I72" s="1">
        <f>IF(C72="", "", (B72-C72)*1000/(A72-A71))</f>
        <v/>
      </c>
      <c r="J72" s="1">
        <f>IF(I72="","",I72/F$2/2.5)</f>
        <v/>
      </c>
      <c r="K72" s="1">
        <f>IF(I72="","", 100*_xlfn.STDEV.P(I71:I72)/AVERAGE(I71:I72))</f>
        <v/>
      </c>
      <c r="L72" s="8">
        <f t="array" ref="L72">IF(I72="","", IFERROR(((IF(I$5&lt;&gt;"", I$5*A$5, 0) + SUMPRODUCT(--(I$6:I72&lt;&gt;""), I$6:I72, (A$6:A72-A$5:A71)))/1000), ""))</f>
        <v/>
      </c>
      <c r="M72" s="1">
        <f>M71+10</f>
        <v/>
      </c>
      <c r="N72" s="1">
        <f>O71</f>
        <v/>
      </c>
      <c r="Q72" t="inlineStr">
        <is>
          <t>60mL/2s/5s</t>
        </is>
      </c>
      <c r="U72" s="1">
        <f>IF(O72="", "", (N72-O72)*1000/(M72-M71))</f>
        <v/>
      </c>
      <c r="V72" s="1">
        <f>IF(U72="","",U72/R$2/2.5)</f>
        <v/>
      </c>
      <c r="W72" s="1">
        <f>IF(U72="","", 100*_xlfn.STDEV.P(U71:U72)/AVERAGE(U71:U72))</f>
        <v/>
      </c>
      <c r="X72" s="8">
        <f t="array" ref="X72">IF(U72="","", IFERROR(((IF(U$5&lt;&gt;"", U$5*M$5, 0) + SUMPRODUCT(--(U$6:U72&lt;&gt;""), U$6:U72, (M$6:M72-M$5:M71)))/1000), ""))</f>
        <v/>
      </c>
    </row>
    <row r="73">
      <c r="A73" s="1">
        <f>A72+10</f>
        <v/>
      </c>
      <c r="B73" s="1">
        <f>C72</f>
        <v/>
      </c>
      <c r="E73" t="inlineStr">
        <is>
          <t>60mL/2s/5s</t>
        </is>
      </c>
      <c r="I73" s="1">
        <f>IF(C73="", "", (B73-C73)*1000/(A73-A72))</f>
        <v/>
      </c>
      <c r="J73" s="1">
        <f>IF(I73="","",I73/F$2/2.5)</f>
        <v/>
      </c>
      <c r="K73" s="1">
        <f>IF(I73="","", 100*_xlfn.STDEV.P(I72:I73)/AVERAGE(I72:I73))</f>
        <v/>
      </c>
      <c r="L73" s="8">
        <f t="array" ref="L73">IF(I73="","", IFERROR(((IF(I$5&lt;&gt;"", I$5*A$5, 0) + SUMPRODUCT(--(I$6:I73&lt;&gt;""), I$6:I73, (A$6:A73-A$5:A72)))/1000), ""))</f>
        <v/>
      </c>
      <c r="M73" s="1">
        <f>M72+10</f>
        <v/>
      </c>
      <c r="N73" s="1">
        <f>O72</f>
        <v/>
      </c>
      <c r="Q73" t="inlineStr">
        <is>
          <t>60mL/2s/5s</t>
        </is>
      </c>
      <c r="U73" s="1">
        <f>IF(O73="", "", (N73-O73)*1000/(M73-M72))</f>
        <v/>
      </c>
      <c r="V73" s="1">
        <f>IF(U73="","",U73/R$2/2.5)</f>
        <v/>
      </c>
      <c r="W73" s="1">
        <f>IF(U73="","", 100*_xlfn.STDEV.P(U72:U73)/AVERAGE(U72:U73))</f>
        <v/>
      </c>
      <c r="X73" s="8">
        <f t="array" ref="X73">IF(U73="","", IFERROR(((IF(U$5&lt;&gt;"", U$5*M$5, 0) + SUMPRODUCT(--(U$6:U73&lt;&gt;""), U$6:U73, (M$6:M73-M$5:M72)))/1000), ""))</f>
        <v/>
      </c>
    </row>
    <row r="74">
      <c r="A74" s="1">
        <f>A73+10</f>
        <v/>
      </c>
      <c r="B74" s="1">
        <f>C73</f>
        <v/>
      </c>
      <c r="E74" t="inlineStr">
        <is>
          <t>60mL/2s/5s</t>
        </is>
      </c>
      <c r="I74" s="1">
        <f>IF(C74="", "", (B74-C74)*1000/(A74-A73))</f>
        <v/>
      </c>
      <c r="J74" s="1">
        <f>IF(I74="","",I74/F$2/2.5)</f>
        <v/>
      </c>
      <c r="K74" s="1">
        <f>IF(I74="","", 100*_xlfn.STDEV.P(I73:I74)/AVERAGE(I73:I74))</f>
        <v/>
      </c>
      <c r="L74" s="8">
        <f t="array" ref="L74">IF(I74="","", IFERROR(((IF(I$5&lt;&gt;"", I$5*A$5, 0) + SUMPRODUCT(--(I$6:I74&lt;&gt;""), I$6:I74, (A$6:A74-A$5:A73)))/1000), ""))</f>
        <v/>
      </c>
      <c r="M74" s="1">
        <f>M73+10</f>
        <v/>
      </c>
      <c r="N74" s="1">
        <f>O73</f>
        <v/>
      </c>
      <c r="Q74" t="inlineStr">
        <is>
          <t>60mL/2s/5s</t>
        </is>
      </c>
      <c r="U74" s="1">
        <f>IF(O74="", "", (N74-O74)*1000/(M74-M73))</f>
        <v/>
      </c>
      <c r="V74" s="1">
        <f>IF(U74="","",U74/R$2/2.5)</f>
        <v/>
      </c>
      <c r="W74" s="1">
        <f>IF(U74="","", 100*_xlfn.STDEV.P(U73:U74)/AVERAGE(U73:U74))</f>
        <v/>
      </c>
      <c r="X74" s="8">
        <f t="array" ref="X74">IF(U74="","", IFERROR(((IF(U$5&lt;&gt;"", U$5*M$5, 0) + SUMPRODUCT(--(U$6:U74&lt;&gt;""), U$6:U74, (M$6:M74-M$5:M73)))/1000), ""))</f>
        <v/>
      </c>
    </row>
    <row r="75">
      <c r="A75" s="1">
        <f>A74+10</f>
        <v/>
      </c>
      <c r="B75" s="1">
        <f>C74</f>
        <v/>
      </c>
      <c r="E75" t="inlineStr">
        <is>
          <t>60mL/2s/5s</t>
        </is>
      </c>
      <c r="I75" s="1">
        <f>IF(C75="", "", (B75-C75)*1000/(A75-A74))</f>
        <v/>
      </c>
      <c r="J75" s="1">
        <f>IF(I75="","",I75/F$2/2.5)</f>
        <v/>
      </c>
      <c r="K75" s="1">
        <f>IF(I75="","", 100*_xlfn.STDEV.P(I74:I75)/AVERAGE(I74:I75))</f>
        <v/>
      </c>
      <c r="L75" s="8">
        <f t="array" ref="L75">IF(I75="","", IFERROR(((IF(I$5&lt;&gt;"", I$5*A$5, 0) + SUMPRODUCT(--(I$6:I75&lt;&gt;""), I$6:I75, (A$6:A75-A$5:A74)))/1000), ""))</f>
        <v/>
      </c>
      <c r="M75" s="1">
        <f>M74+10</f>
        <v/>
      </c>
      <c r="N75" s="1">
        <f>O74</f>
        <v/>
      </c>
      <c r="Q75" t="inlineStr">
        <is>
          <t>60mL/2s/5s</t>
        </is>
      </c>
      <c r="U75" s="1">
        <f>IF(O75="", "", (N75-O75)*1000/(M75-M74))</f>
        <v/>
      </c>
      <c r="V75" s="1">
        <f>IF(U75="","",U75/R$2/2.5)</f>
        <v/>
      </c>
      <c r="W75" s="1">
        <f>IF(U75="","", 100*_xlfn.STDEV.P(U74:U75)/AVERAGE(U74:U75))</f>
        <v/>
      </c>
      <c r="X75" s="8">
        <f t="array" ref="X75">IF(U75="","", IFERROR(((IF(U$5&lt;&gt;"", U$5*M$5, 0) + SUMPRODUCT(--(U$6:U75&lt;&gt;""), U$6:U75, (M$6:M75-M$5:M74)))/1000), ""))</f>
        <v/>
      </c>
    </row>
    <row r="76">
      <c r="A76" s="1">
        <f>A75+10</f>
        <v/>
      </c>
      <c r="B76" s="1">
        <f>C75</f>
        <v/>
      </c>
      <c r="E76" t="inlineStr">
        <is>
          <t>60mL/2s/5s</t>
        </is>
      </c>
      <c r="I76" s="1">
        <f>IF(C76="", "", (B76-C76)*1000/(A76-A75))</f>
        <v/>
      </c>
      <c r="J76" s="1">
        <f>IF(I76="","",I76/F$2/2.5)</f>
        <v/>
      </c>
      <c r="K76" s="1">
        <f>IF(I76="","", 100*_xlfn.STDEV.P(I75:I76)/AVERAGE(I75:I76))</f>
        <v/>
      </c>
      <c r="L76" s="8">
        <f t="array" ref="L76">IF(I76="","", IFERROR(((IF(I$5&lt;&gt;"", I$5*A$5, 0) + SUMPRODUCT(--(I$6:I76&lt;&gt;""), I$6:I76, (A$6:A76-A$5:A75)))/1000), ""))</f>
        <v/>
      </c>
      <c r="M76" s="1">
        <f>M75+10</f>
        <v/>
      </c>
      <c r="N76" s="1">
        <f>O75</f>
        <v/>
      </c>
      <c r="Q76" t="inlineStr">
        <is>
          <t>60mL/2s/5s</t>
        </is>
      </c>
      <c r="U76" s="1">
        <f>IF(O76="", "", (N76-O76)*1000/(M76-M75))</f>
        <v/>
      </c>
      <c r="V76" s="1">
        <f>IF(U76="","",U76/R$2/2.5)</f>
        <v/>
      </c>
      <c r="W76" s="1">
        <f>IF(U76="","", 100*_xlfn.STDEV.P(U75:U76)/AVERAGE(U75:U76))</f>
        <v/>
      </c>
      <c r="X76" s="8">
        <f t="array" ref="X76">IF(U76="","", IFERROR(((IF(U$5&lt;&gt;"", U$5*M$5, 0) + SUMPRODUCT(--(U$6:U76&lt;&gt;""), U$6:U76, (M$6:M76-M$5:M75)))/1000), ""))</f>
        <v/>
      </c>
    </row>
    <row r="77">
      <c r="A77" s="1">
        <f>A76+10</f>
        <v/>
      </c>
      <c r="B77" s="1">
        <f>C76</f>
        <v/>
      </c>
      <c r="E77" t="inlineStr">
        <is>
          <t>60mL/2s/5s</t>
        </is>
      </c>
      <c r="I77" s="1">
        <f>IF(C77="", "", (B77-C77)*1000/(A77-A76))</f>
        <v/>
      </c>
      <c r="J77" s="1">
        <f>IF(I77="","",I77/F$2/2.5)</f>
        <v/>
      </c>
      <c r="K77" s="1">
        <f>IF(I77="","", 100*_xlfn.STDEV.P(I76:I77)/AVERAGE(I76:I77))</f>
        <v/>
      </c>
      <c r="L77" s="8">
        <f t="array" ref="L77">IF(I77="","", IFERROR(((IF(I$5&lt;&gt;"", I$5*A$5, 0) + SUMPRODUCT(--(I$6:I77&lt;&gt;""), I$6:I77, (A$6:A77-A$5:A76)))/1000), ""))</f>
        <v/>
      </c>
      <c r="M77" s="1">
        <f>M76+10</f>
        <v/>
      </c>
      <c r="N77" s="1">
        <f>O76</f>
        <v/>
      </c>
      <c r="Q77" t="inlineStr">
        <is>
          <t>60mL/2s/5s</t>
        </is>
      </c>
      <c r="U77" s="1">
        <f>IF(O77="", "", (N77-O77)*1000/(M77-M76))</f>
        <v/>
      </c>
      <c r="V77" s="1">
        <f>IF(U77="","",U77/R$2/2.5)</f>
        <v/>
      </c>
      <c r="W77" s="1">
        <f>IF(U77="","", 100*_xlfn.STDEV.P(U76:U77)/AVERAGE(U76:U77))</f>
        <v/>
      </c>
      <c r="X77" s="8">
        <f t="array" ref="X77">IF(U77="","", IFERROR(((IF(U$5&lt;&gt;"", U$5*M$5, 0) + SUMPRODUCT(--(U$6:U77&lt;&gt;""), U$6:U77, (M$6:M77-M$5:M76)))/1000), ""))</f>
        <v/>
      </c>
    </row>
    <row r="78">
      <c r="A78" s="1">
        <f>A77+10</f>
        <v/>
      </c>
      <c r="B78" s="1">
        <f>C77</f>
        <v/>
      </c>
      <c r="E78" t="inlineStr">
        <is>
          <t>60mL/2s/5s</t>
        </is>
      </c>
      <c r="I78" s="1">
        <f>IF(C78="", "", (B78-C78)*1000/(A78-A77))</f>
        <v/>
      </c>
      <c r="J78" s="1">
        <f>IF(I78="","",I78/F$2/2.5)</f>
        <v/>
      </c>
      <c r="K78" s="1">
        <f>IF(I78="","", 100*_xlfn.STDEV.P(I77:I78)/AVERAGE(I77:I78))</f>
        <v/>
      </c>
      <c r="L78" s="8">
        <f t="array" ref="L78">IF(I78="","", IFERROR(((IF(I$5&lt;&gt;"", I$5*A$5, 0) + SUMPRODUCT(--(I$6:I78&lt;&gt;""), I$6:I78, (A$6:A78-A$5:A77)))/1000), ""))</f>
        <v/>
      </c>
      <c r="M78" s="1">
        <f>M77+10</f>
        <v/>
      </c>
      <c r="N78" s="1">
        <f>O77</f>
        <v/>
      </c>
      <c r="Q78" t="inlineStr">
        <is>
          <t>60mL/2s/5s</t>
        </is>
      </c>
      <c r="U78" s="1">
        <f>IF(O78="", "", (N78-O78)*1000/(M78-M77))</f>
        <v/>
      </c>
      <c r="V78" s="1">
        <f>IF(U78="","",U78/R$2/2.5)</f>
        <v/>
      </c>
      <c r="W78" s="1">
        <f>IF(U78="","", 100*_xlfn.STDEV.P(U77:U78)/AVERAGE(U77:U78))</f>
        <v/>
      </c>
      <c r="X78" s="8">
        <f t="array" ref="X78">IF(U78="","", IFERROR(((IF(U$5&lt;&gt;"", U$5*M$5, 0) + SUMPRODUCT(--(U$6:U78&lt;&gt;""), U$6:U78, (M$6:M78-M$5:M77)))/1000), ""))</f>
        <v/>
      </c>
    </row>
    <row r="79">
      <c r="A79" s="1">
        <f>A78+10</f>
        <v/>
      </c>
      <c r="B79" s="1">
        <f>C78</f>
        <v/>
      </c>
      <c r="E79" t="inlineStr">
        <is>
          <t>60mL/2s/5s</t>
        </is>
      </c>
      <c r="I79" s="1">
        <f>IF(C79="", "", (B79-C79)*1000/(A79-A78))</f>
        <v/>
      </c>
      <c r="J79" s="1">
        <f>IF(I79="","",I79/F$2/2.5)</f>
        <v/>
      </c>
      <c r="K79" s="1">
        <f>IF(I79="","", 100*_xlfn.STDEV.P(I78:I79)/AVERAGE(I78:I79))</f>
        <v/>
      </c>
      <c r="L79" s="8">
        <f t="array" ref="L79">IF(I79="","", IFERROR(((IF(I$5&lt;&gt;"", I$5*A$5, 0) + SUMPRODUCT(--(I$6:I79&lt;&gt;""), I$6:I79, (A$6:A79-A$5:A78)))/1000), ""))</f>
        <v/>
      </c>
      <c r="M79" s="1">
        <f>M78+10</f>
        <v/>
      </c>
      <c r="N79" s="1">
        <f>O78</f>
        <v/>
      </c>
      <c r="Q79" t="inlineStr">
        <is>
          <t>60mL/2s/5s</t>
        </is>
      </c>
      <c r="U79" s="1">
        <f>IF(O79="", "", (N79-O79)*1000/(M79-M78))</f>
        <v/>
      </c>
      <c r="V79" s="1">
        <f>IF(U79="","",U79/R$2/2.5)</f>
        <v/>
      </c>
      <c r="W79" s="1">
        <f>IF(U79="","", 100*_xlfn.STDEV.P(U78:U79)/AVERAGE(U78:U79))</f>
        <v/>
      </c>
      <c r="X79" s="8">
        <f t="array" ref="X79">IF(U79="","", IFERROR(((IF(U$5&lt;&gt;"", U$5*M$5, 0) + SUMPRODUCT(--(U$6:U79&lt;&gt;""), U$6:U79, (M$6:M79-M$5:M78)))/1000), ""))</f>
        <v/>
      </c>
    </row>
    <row r="80">
      <c r="A80" s="1">
        <f>A79+10</f>
        <v/>
      </c>
      <c r="B80" s="1">
        <f>C79</f>
        <v/>
      </c>
      <c r="E80" t="inlineStr">
        <is>
          <t>60mL/2s/5s</t>
        </is>
      </c>
      <c r="I80" s="1">
        <f>IF(C80="", "", (B80-C80)*1000/(A80-A79))</f>
        <v/>
      </c>
      <c r="J80" s="1">
        <f>IF(I80="","",I80/F$2/2.5)</f>
        <v/>
      </c>
      <c r="K80" s="1">
        <f>IF(I80="","", 100*_xlfn.STDEV.P(I79:I80)/AVERAGE(I79:I80))</f>
        <v/>
      </c>
      <c r="L80" s="8">
        <f t="array" ref="L80">IF(I80="","", IFERROR(((IF(I$5&lt;&gt;"", I$5*A$5, 0) + SUMPRODUCT(--(I$6:I80&lt;&gt;""), I$6:I80, (A$6:A80-A$5:A79)))/1000), ""))</f>
        <v/>
      </c>
      <c r="M80" s="1">
        <f>M79+10</f>
        <v/>
      </c>
      <c r="N80" s="1">
        <f>O79</f>
        <v/>
      </c>
      <c r="Q80" t="inlineStr">
        <is>
          <t>60mL/2s/5s</t>
        </is>
      </c>
      <c r="U80" s="1">
        <f>IF(O80="", "", (N80-O80)*1000/(M80-M79))</f>
        <v/>
      </c>
      <c r="V80" s="1">
        <f>IF(U80="","",U80/R$2/2.5)</f>
        <v/>
      </c>
      <c r="W80" s="1">
        <f>IF(U80="","", 100*_xlfn.STDEV.P(U79:U80)/AVERAGE(U79:U80))</f>
        <v/>
      </c>
      <c r="X80" s="8">
        <f t="array" ref="X80">IF(U80="","", IFERROR(((IF(U$5&lt;&gt;"", U$5*M$5, 0) + SUMPRODUCT(--(U$6:U80&lt;&gt;""), U$6:U80, (M$6:M80-M$5:M79)))/1000), ""))</f>
        <v/>
      </c>
    </row>
    <row r="81">
      <c r="A81" s="1">
        <f>A80+10</f>
        <v/>
      </c>
      <c r="B81" s="1">
        <f>C80</f>
        <v/>
      </c>
      <c r="E81" t="inlineStr">
        <is>
          <t>60mL/2s/5s</t>
        </is>
      </c>
      <c r="I81" s="1">
        <f>IF(C81="", "", (B81-C81)*1000/(A81-A80))</f>
        <v/>
      </c>
      <c r="J81" s="1">
        <f>IF(I81="","",I81/F$2/2.5)</f>
        <v/>
      </c>
      <c r="K81" s="1">
        <f>IF(I81="","", 100*_xlfn.STDEV.P(I80:I81)/AVERAGE(I80:I81))</f>
        <v/>
      </c>
      <c r="L81" s="8">
        <f t="array" ref="L81">IF(I81="","", IFERROR(((IF(I$5&lt;&gt;"", I$5*A$5, 0) + SUMPRODUCT(--(I$6:I81&lt;&gt;""), I$6:I81, (A$6:A81-A$5:A80)))/1000), ""))</f>
        <v/>
      </c>
      <c r="M81" s="1">
        <f>M80+10</f>
        <v/>
      </c>
      <c r="N81" s="1">
        <f>O80</f>
        <v/>
      </c>
      <c r="Q81" t="inlineStr">
        <is>
          <t>60mL/2s/5s</t>
        </is>
      </c>
      <c r="U81" s="1">
        <f>IF(O81="", "", (N81-O81)*1000/(M81-M80))</f>
        <v/>
      </c>
      <c r="V81" s="1">
        <f>IF(U81="","",U81/R$2/2.5)</f>
        <v/>
      </c>
      <c r="W81" s="1">
        <f>IF(U81="","", 100*_xlfn.STDEV.P(U80:U81)/AVERAGE(U80:U81))</f>
        <v/>
      </c>
      <c r="X81" s="8">
        <f t="array" ref="X81">IF(U81="","", IFERROR(((IF(U$5&lt;&gt;"", U$5*M$5, 0) + SUMPRODUCT(--(U$6:U81&lt;&gt;""), U$6:U81, (M$6:M81-M$5:M80)))/1000), ""))</f>
        <v/>
      </c>
    </row>
    <row r="82">
      <c r="A82" s="1">
        <f>A81+10</f>
        <v/>
      </c>
      <c r="B82" s="1">
        <f>C81</f>
        <v/>
      </c>
      <c r="E82" t="inlineStr">
        <is>
          <t>60mL/2s/5s</t>
        </is>
      </c>
      <c r="I82" s="1">
        <f>IF(C82="", "", (B82-C82)*1000/(A82-A81))</f>
        <v/>
      </c>
      <c r="J82" s="1">
        <f>IF(I82="","",I82/F$2/2.5)</f>
        <v/>
      </c>
      <c r="K82" s="1">
        <f>IF(I82="","", 100*_xlfn.STDEV.P(I81:I82)/AVERAGE(I81:I82))</f>
        <v/>
      </c>
      <c r="L82" s="8">
        <f t="array" ref="L82">IF(I82="","", IFERROR(((IF(I$5&lt;&gt;"", I$5*A$5, 0) + SUMPRODUCT(--(I$6:I82&lt;&gt;""), I$6:I82, (A$6:A82-A$5:A81)))/1000), ""))</f>
        <v/>
      </c>
      <c r="M82" s="1">
        <f>M81+10</f>
        <v/>
      </c>
      <c r="N82" s="1">
        <f>O81</f>
        <v/>
      </c>
      <c r="Q82" t="inlineStr">
        <is>
          <t>60mL/2s/5s</t>
        </is>
      </c>
      <c r="U82" s="1">
        <f>IF(O82="", "", (N82-O82)*1000/(M82-M81))</f>
        <v/>
      </c>
      <c r="V82" s="1">
        <f>IF(U82="","",U82/R$2/2.5)</f>
        <v/>
      </c>
      <c r="W82" s="1">
        <f>IF(U82="","", 100*_xlfn.STDEV.P(U81:U82)/AVERAGE(U81:U82))</f>
        <v/>
      </c>
      <c r="X82" s="8">
        <f t="array" ref="X82">IF(U82="","", IFERROR(((IF(U$5&lt;&gt;"", U$5*M$5, 0) + SUMPRODUCT(--(U$6:U82&lt;&gt;""), U$6:U82, (M$6:M82-M$5:M81)))/1000), ""))</f>
        <v/>
      </c>
    </row>
    <row r="83">
      <c r="A83" s="1">
        <f>A82+10</f>
        <v/>
      </c>
      <c r="B83" s="1">
        <f>C82</f>
        <v/>
      </c>
      <c r="E83" t="inlineStr">
        <is>
          <t>60mL/2s/5s</t>
        </is>
      </c>
      <c r="I83" s="1">
        <f>IF(C83="", "", (B83-C83)*1000/(A83-A82))</f>
        <v/>
      </c>
      <c r="J83" s="1">
        <f>IF(I83="","",I83/F$2/2.5)</f>
        <v/>
      </c>
      <c r="K83" s="1">
        <f>IF(I83="","", 100*_xlfn.STDEV.P(I82:I83)/AVERAGE(I82:I83))</f>
        <v/>
      </c>
      <c r="L83" s="8">
        <f t="array" ref="L83">IF(I83="","", IFERROR(((IF(I$5&lt;&gt;"", I$5*A$5, 0) + SUMPRODUCT(--(I$6:I83&lt;&gt;""), I$6:I83, (A$6:A83-A$5:A82)))/1000), ""))</f>
        <v/>
      </c>
      <c r="M83" s="1">
        <f>M82+10</f>
        <v/>
      </c>
      <c r="N83" s="1">
        <f>O82</f>
        <v/>
      </c>
      <c r="Q83" t="inlineStr">
        <is>
          <t>60mL/2s/5s</t>
        </is>
      </c>
      <c r="U83" s="1">
        <f>IF(O83="", "", (N83-O83)*1000/(M83-M82))</f>
        <v/>
      </c>
      <c r="V83" s="1">
        <f>IF(U83="","",U83/R$2/2.5)</f>
        <v/>
      </c>
      <c r="W83" s="1">
        <f>IF(U83="","", 100*_xlfn.STDEV.P(U82:U83)/AVERAGE(U82:U83))</f>
        <v/>
      </c>
      <c r="X83" s="8">
        <f t="array" ref="X83">IF(U83="","", IFERROR(((IF(U$5&lt;&gt;"", U$5*M$5, 0) + SUMPRODUCT(--(U$6:U83&lt;&gt;""), U$6:U83, (M$6:M83-M$5:M82)))/1000), ""))</f>
        <v/>
      </c>
    </row>
    <row r="84">
      <c r="A84" s="1">
        <f>A83+10</f>
        <v/>
      </c>
      <c r="B84" s="1">
        <f>C83</f>
        <v/>
      </c>
      <c r="E84" t="inlineStr">
        <is>
          <t>60mL/2s/5s</t>
        </is>
      </c>
      <c r="I84" s="1">
        <f>IF(C84="", "", (B84-C84)*1000/(A84-A83))</f>
        <v/>
      </c>
      <c r="J84" s="1">
        <f>IF(I84="","",I84/F$2/2.5)</f>
        <v/>
      </c>
      <c r="K84" s="1">
        <f>IF(I84="","", 100*_xlfn.STDEV.P(I83:I84)/AVERAGE(I83:I84))</f>
        <v/>
      </c>
      <c r="L84" s="8">
        <f t="array" ref="L84">IF(I84="","", IFERROR(((IF(I$5&lt;&gt;"", I$5*A$5, 0) + SUMPRODUCT(--(I$6:I84&lt;&gt;""), I$6:I84, (A$6:A84-A$5:A83)))/1000), ""))</f>
        <v/>
      </c>
      <c r="M84" s="1">
        <f>M83+10</f>
        <v/>
      </c>
      <c r="N84" s="1">
        <f>O83</f>
        <v/>
      </c>
      <c r="Q84" t="inlineStr">
        <is>
          <t>60mL/2s/5s</t>
        </is>
      </c>
      <c r="U84" s="1">
        <f>IF(O84="", "", (N84-O84)*1000/(M84-M83))</f>
        <v/>
      </c>
      <c r="V84" s="1">
        <f>IF(U84="","",U84/R$2/2.5)</f>
        <v/>
      </c>
      <c r="W84" s="1">
        <f>IF(U84="","", 100*_xlfn.STDEV.P(U83:U84)/AVERAGE(U83:U84))</f>
        <v/>
      </c>
      <c r="X84" s="8">
        <f t="array" ref="X84">IF(U84="","", IFERROR(((IF(U$5&lt;&gt;"", U$5*M$5, 0) + SUMPRODUCT(--(U$6:U84&lt;&gt;""), U$6:U84, (M$6:M84-M$5:M83)))/1000), ""))</f>
        <v/>
      </c>
    </row>
    <row r="85">
      <c r="A85" s="1">
        <f>A84+10</f>
        <v/>
      </c>
      <c r="B85" s="1">
        <f>C84</f>
        <v/>
      </c>
      <c r="E85" t="inlineStr">
        <is>
          <t>60mL/2s/5s</t>
        </is>
      </c>
      <c r="I85" s="1">
        <f>IF(C85="", "", (B85-C85)*1000/(A85-A84))</f>
        <v/>
      </c>
      <c r="J85" s="1">
        <f>IF(I85="","",I85/F$2/2.5)</f>
        <v/>
      </c>
      <c r="K85" s="1">
        <f>IF(I85="","", 100*_xlfn.STDEV.P(I84:I85)/AVERAGE(I84:I85))</f>
        <v/>
      </c>
      <c r="L85" s="8">
        <f t="array" ref="L85">IF(I85="","", IFERROR(((IF(I$5&lt;&gt;"", I$5*A$5, 0) + SUMPRODUCT(--(I$6:I85&lt;&gt;""), I$6:I85, (A$6:A85-A$5:A84)))/1000), ""))</f>
        <v/>
      </c>
      <c r="M85" s="1">
        <f>M84+10</f>
        <v/>
      </c>
      <c r="N85" s="1">
        <f>O84</f>
        <v/>
      </c>
      <c r="Q85" t="inlineStr">
        <is>
          <t>60mL/2s/5s</t>
        </is>
      </c>
      <c r="U85" s="1">
        <f>IF(O85="", "", (N85-O85)*1000/(M85-M84))</f>
        <v/>
      </c>
      <c r="V85" s="1">
        <f>IF(U85="","",U85/R$2/2.5)</f>
        <v/>
      </c>
      <c r="W85" s="1">
        <f>IF(U85="","", 100*_xlfn.STDEV.P(U84:U85)/AVERAGE(U84:U85))</f>
        <v/>
      </c>
      <c r="X85" s="8">
        <f t="array" ref="X85">IF(U85="","", IFERROR(((IF(U$5&lt;&gt;"", U$5*M$5, 0) + SUMPRODUCT(--(U$6:U85&lt;&gt;""), U$6:U85, (M$6:M85-M$5:M84)))/1000), ""))</f>
        <v/>
      </c>
    </row>
    <row r="86">
      <c r="A86" s="1">
        <f>A85+10</f>
        <v/>
      </c>
      <c r="B86" s="1">
        <f>C85</f>
        <v/>
      </c>
      <c r="E86" t="inlineStr">
        <is>
          <t>60mL/2s/5s</t>
        </is>
      </c>
      <c r="I86" s="1">
        <f>IF(C86="", "", (B86-C86)*1000/(A86-A85))</f>
        <v/>
      </c>
      <c r="J86" s="1">
        <f>IF(I86="","",I86/F$2/2.5)</f>
        <v/>
      </c>
      <c r="K86" s="1">
        <f>IF(I86="","", 100*_xlfn.STDEV.P(I85:I86)/AVERAGE(I85:I86))</f>
        <v/>
      </c>
      <c r="L86" s="8">
        <f t="array" ref="L86">IF(I86="","", IFERROR(((IF(I$5&lt;&gt;"", I$5*A$5, 0) + SUMPRODUCT(--(I$6:I86&lt;&gt;""), I$6:I86, (A$6:A86-A$5:A85)))/1000), ""))</f>
        <v/>
      </c>
      <c r="M86" s="1">
        <f>M85+10</f>
        <v/>
      </c>
      <c r="N86" s="1">
        <f>O85</f>
        <v/>
      </c>
      <c r="Q86" t="inlineStr">
        <is>
          <t>60mL/2s/5s</t>
        </is>
      </c>
      <c r="U86" s="1">
        <f>IF(O86="", "", (N86-O86)*1000/(M86-M85))</f>
        <v/>
      </c>
      <c r="V86" s="1">
        <f>IF(U86="","",U86/R$2/2.5)</f>
        <v/>
      </c>
      <c r="W86" s="1">
        <f>IF(U86="","", 100*_xlfn.STDEV.P(U85:U86)/AVERAGE(U85:U86))</f>
        <v/>
      </c>
      <c r="X86" s="8">
        <f t="array" ref="X86">IF(U86="","", IFERROR(((IF(U$5&lt;&gt;"", U$5*M$5, 0) + SUMPRODUCT(--(U$6:U86&lt;&gt;""), U$6:U86, (M$6:M86-M$5:M85)))/1000), ""))</f>
        <v/>
      </c>
    </row>
    <row r="87">
      <c r="A87" s="1">
        <f>A86+10</f>
        <v/>
      </c>
      <c r="B87" s="1">
        <f>C86</f>
        <v/>
      </c>
      <c r="E87" t="inlineStr">
        <is>
          <t>60mL/2s/5s</t>
        </is>
      </c>
      <c r="I87" s="1">
        <f>IF(C87="", "", (B87-C87)*1000/(A87-A86))</f>
        <v/>
      </c>
      <c r="J87" s="1">
        <f>IF(I87="","",I87/F$2/2.5)</f>
        <v/>
      </c>
      <c r="K87" s="1">
        <f>IF(I87="","", 100*_xlfn.STDEV.P(I86:I87)/AVERAGE(I86:I87))</f>
        <v/>
      </c>
      <c r="L87" s="8">
        <f t="array" ref="L87">IF(I87="","", IFERROR(((IF(I$5&lt;&gt;"", I$5*A$5, 0) + SUMPRODUCT(--(I$6:I87&lt;&gt;""), I$6:I87, (A$6:A87-A$5:A86)))/1000), ""))</f>
        <v/>
      </c>
      <c r="M87" s="1">
        <f>M86+10</f>
        <v/>
      </c>
      <c r="N87" s="1">
        <f>O86</f>
        <v/>
      </c>
      <c r="Q87" t="inlineStr">
        <is>
          <t>60mL/2s/5s</t>
        </is>
      </c>
      <c r="U87" s="1">
        <f>IF(O87="", "", (N87-O87)*1000/(M87-M86))</f>
        <v/>
      </c>
      <c r="V87" s="1">
        <f>IF(U87="","",U87/R$2/2.5)</f>
        <v/>
      </c>
      <c r="W87" s="1">
        <f>IF(U87="","", 100*_xlfn.STDEV.P(U86:U87)/AVERAGE(U86:U87))</f>
        <v/>
      </c>
      <c r="X87" s="8">
        <f t="array" ref="X87">IF(U87="","", IFERROR(((IF(U$5&lt;&gt;"", U$5*M$5, 0) + SUMPRODUCT(--(U$6:U87&lt;&gt;""), U$6:U87, (M$6:M87-M$5:M86)))/1000), ""))</f>
        <v/>
      </c>
    </row>
    <row r="88">
      <c r="A88" s="1">
        <f>A87+10</f>
        <v/>
      </c>
      <c r="B88" s="1">
        <f>C87</f>
        <v/>
      </c>
      <c r="E88" t="inlineStr">
        <is>
          <t>60mL/2s/5s</t>
        </is>
      </c>
      <c r="I88" s="1">
        <f>IF(C88="", "", (B88-C88)*1000/(A88-A87))</f>
        <v/>
      </c>
      <c r="J88" s="1">
        <f>IF(I88="","",I88/F$2/2.5)</f>
        <v/>
      </c>
      <c r="K88" s="1">
        <f>IF(I88="","", 100*_xlfn.STDEV.P(I87:I88)/AVERAGE(I87:I88))</f>
        <v/>
      </c>
      <c r="L88" s="8">
        <f t="array" ref="L88">IF(I88="","", IFERROR(((IF(I$5&lt;&gt;"", I$5*A$5, 0) + SUMPRODUCT(--(I$6:I88&lt;&gt;""), I$6:I88, (A$6:A88-A$5:A87)))/1000), ""))</f>
        <v/>
      </c>
      <c r="M88" s="1">
        <f>M87+10</f>
        <v/>
      </c>
      <c r="N88" s="1">
        <f>O87</f>
        <v/>
      </c>
      <c r="Q88" t="inlineStr">
        <is>
          <t>60mL/2s/5s</t>
        </is>
      </c>
      <c r="U88" s="1">
        <f>IF(O88="", "", (N88-O88)*1000/(M88-M87))</f>
        <v/>
      </c>
      <c r="V88" s="1">
        <f>IF(U88="","",U88/R$2/2.5)</f>
        <v/>
      </c>
      <c r="W88" s="1">
        <f>IF(U88="","", 100*_xlfn.STDEV.P(U87:U88)/AVERAGE(U87:U88))</f>
        <v/>
      </c>
      <c r="X88" s="8">
        <f t="array" ref="X88">IF(U88="","", IFERROR(((IF(U$5&lt;&gt;"", U$5*M$5, 0) + SUMPRODUCT(--(U$6:U88&lt;&gt;""), U$6:U88, (M$6:M88-M$5:M87)))/1000), ""))</f>
        <v/>
      </c>
    </row>
    <row r="89">
      <c r="A89" s="1">
        <f>A88+10</f>
        <v/>
      </c>
      <c r="B89" s="1">
        <f>C88</f>
        <v/>
      </c>
      <c r="E89" t="inlineStr">
        <is>
          <t>60mL/2s/5s</t>
        </is>
      </c>
      <c r="I89" s="1">
        <f>IF(C89="", "", (B89-C89)*1000/(A89-A88))</f>
        <v/>
      </c>
      <c r="J89" s="1">
        <f>IF(I89="","",I89/F$2/2.5)</f>
        <v/>
      </c>
      <c r="K89" s="1">
        <f>IF(I89="","", 100*_xlfn.STDEV.P(I88:I89)/AVERAGE(I88:I89))</f>
        <v/>
      </c>
      <c r="L89" s="8">
        <f t="array" ref="L89">IF(I89="","", IFERROR(((IF(I$5&lt;&gt;"", I$5*A$5, 0) + SUMPRODUCT(--(I$6:I89&lt;&gt;""), I$6:I89, (A$6:A89-A$5:A88)))/1000), ""))</f>
        <v/>
      </c>
      <c r="M89" s="1">
        <f>M88+10</f>
        <v/>
      </c>
      <c r="N89" s="1">
        <f>O88</f>
        <v/>
      </c>
      <c r="Q89" t="inlineStr">
        <is>
          <t>60mL/2s/5s</t>
        </is>
      </c>
      <c r="U89" s="1">
        <f>IF(O89="", "", (N89-O89)*1000/(M89-M88))</f>
        <v/>
      </c>
      <c r="V89" s="1">
        <f>IF(U89="","",U89/R$2/2.5)</f>
        <v/>
      </c>
      <c r="W89" s="1">
        <f>IF(U89="","", 100*_xlfn.STDEV.P(U88:U89)/AVERAGE(U88:U89))</f>
        <v/>
      </c>
      <c r="X89" s="8">
        <f t="array" ref="X89">IF(U89="","", IFERROR(((IF(U$5&lt;&gt;"", U$5*M$5, 0) + SUMPRODUCT(--(U$6:U89&lt;&gt;""), U$6:U89, (M$6:M89-M$5:M88)))/1000), ""))</f>
        <v/>
      </c>
    </row>
    <row r="90">
      <c r="A90" s="1">
        <f>A89+10</f>
        <v/>
      </c>
      <c r="B90" s="1">
        <f>C89</f>
        <v/>
      </c>
      <c r="E90" t="inlineStr">
        <is>
          <t>60mL/2s/5s</t>
        </is>
      </c>
      <c r="I90" s="1">
        <f>IF(C90="", "", (B90-C90)*1000/(A90-A89))</f>
        <v/>
      </c>
      <c r="J90" s="1">
        <f>IF(I90="","",I90/F$2/2.5)</f>
        <v/>
      </c>
      <c r="K90" s="1">
        <f>IF(I90="","", 100*_xlfn.STDEV.P(I89:I90)/AVERAGE(I89:I90))</f>
        <v/>
      </c>
      <c r="L90" s="8">
        <f t="array" ref="L90">IF(I90="","", IFERROR(((IF(I$5&lt;&gt;"", I$5*A$5, 0) + SUMPRODUCT(--(I$6:I90&lt;&gt;""), I$6:I90, (A$6:A90-A$5:A89)))/1000), ""))</f>
        <v/>
      </c>
      <c r="M90" s="1">
        <f>M89+10</f>
        <v/>
      </c>
      <c r="N90" s="1">
        <f>O89</f>
        <v/>
      </c>
      <c r="Q90" t="inlineStr">
        <is>
          <t>60mL/2s/5s</t>
        </is>
      </c>
      <c r="U90" s="1">
        <f>IF(O90="", "", (N90-O90)*1000/(M90-M89))</f>
        <v/>
      </c>
      <c r="V90" s="1">
        <f>IF(U90="","",U90/R$2/2.5)</f>
        <v/>
      </c>
      <c r="W90" s="1">
        <f>IF(U90="","", 100*_xlfn.STDEV.P(U89:U90)/AVERAGE(U89:U90))</f>
        <v/>
      </c>
      <c r="X90" s="8">
        <f t="array" ref="X90">IF(U90="","", IFERROR(((IF(U$5&lt;&gt;"", U$5*M$5, 0) + SUMPRODUCT(--(U$6:U90&lt;&gt;""), U$6:U90, (M$6:M90-M$5:M89)))/1000), ""))</f>
        <v/>
      </c>
    </row>
    <row r="91">
      <c r="A91" s="1">
        <f>A90+10</f>
        <v/>
      </c>
      <c r="B91" s="1">
        <f>C90</f>
        <v/>
      </c>
      <c r="E91" t="inlineStr">
        <is>
          <t>60mL/2s/5s</t>
        </is>
      </c>
      <c r="I91" s="1">
        <f>IF(C91="", "", (B91-C91)*1000/(A91-A90))</f>
        <v/>
      </c>
      <c r="J91" s="1">
        <f>IF(I91="","",I91/F$2/2.5)</f>
        <v/>
      </c>
      <c r="K91" s="1">
        <f>IF(I91="","", 100*_xlfn.STDEV.P(I90:I91)/AVERAGE(I90:I91))</f>
        <v/>
      </c>
      <c r="L91" s="8">
        <f t="array" ref="L91">IF(I91="","", IFERROR(((IF(I$5&lt;&gt;"", I$5*A$5, 0) + SUMPRODUCT(--(I$6:I91&lt;&gt;""), I$6:I91, (A$6:A91-A$5:A90)))/1000), ""))</f>
        <v/>
      </c>
      <c r="M91" s="1">
        <f>M90+10</f>
        <v/>
      </c>
      <c r="N91" s="1">
        <f>O90</f>
        <v/>
      </c>
      <c r="Q91" t="inlineStr">
        <is>
          <t>60mL/2s/5s</t>
        </is>
      </c>
      <c r="U91" s="1">
        <f>IF(O91="", "", (N91-O91)*1000/(M91-M90))</f>
        <v/>
      </c>
      <c r="V91" s="1">
        <f>IF(U91="","",U91/R$2/2.5)</f>
        <v/>
      </c>
      <c r="W91" s="1">
        <f>IF(U91="","", 100*_xlfn.STDEV.P(U90:U91)/AVERAGE(U90:U91))</f>
        <v/>
      </c>
      <c r="X91" s="8">
        <f t="array" ref="X91">IF(U91="","", IFERROR(((IF(U$5&lt;&gt;"", U$5*M$5, 0) + SUMPRODUCT(--(U$6:U91&lt;&gt;""), U$6:U91, (M$6:M91-M$5:M90)))/1000), ""))</f>
        <v/>
      </c>
    </row>
    <row r="92">
      <c r="A92" s="1">
        <f>A91+10</f>
        <v/>
      </c>
      <c r="B92" s="1">
        <f>C91</f>
        <v/>
      </c>
      <c r="E92" t="inlineStr">
        <is>
          <t>60mL/2s/5s</t>
        </is>
      </c>
      <c r="I92" s="1">
        <f>IF(C92="", "", (B92-C92)*1000/(A92-A91))</f>
        <v/>
      </c>
      <c r="J92" s="1">
        <f>IF(I92="","",I92/F$2/2.5)</f>
        <v/>
      </c>
      <c r="K92" s="1">
        <f>IF(I92="","", 100*_xlfn.STDEV.P(I91:I92)/AVERAGE(I91:I92))</f>
        <v/>
      </c>
      <c r="L92" s="8">
        <f t="array" ref="L92">IF(I92="","", IFERROR(((IF(I$5&lt;&gt;"", I$5*A$5, 0) + SUMPRODUCT(--(I$6:I92&lt;&gt;""), I$6:I92, (A$6:A92-A$5:A91)))/1000), ""))</f>
        <v/>
      </c>
      <c r="M92" s="1">
        <f>M91+10</f>
        <v/>
      </c>
      <c r="N92" s="1">
        <f>O91</f>
        <v/>
      </c>
      <c r="Q92" t="inlineStr">
        <is>
          <t>60mL/2s/5s</t>
        </is>
      </c>
      <c r="U92" s="1">
        <f>IF(O92="", "", (N92-O92)*1000/(M92-M91))</f>
        <v/>
      </c>
      <c r="V92" s="1">
        <f>IF(U92="","",U92/R$2/2.5)</f>
        <v/>
      </c>
      <c r="W92" s="1">
        <f>IF(U92="","", 100*_xlfn.STDEV.P(U91:U92)/AVERAGE(U91:U92))</f>
        <v/>
      </c>
      <c r="X92" s="8">
        <f t="array" ref="X92">IF(U92="","", IFERROR(((IF(U$5&lt;&gt;"", U$5*M$5, 0) + SUMPRODUCT(--(U$6:U92&lt;&gt;""), U$6:U92, (M$6:M92-M$5:M91)))/1000), ""))</f>
        <v/>
      </c>
    </row>
    <row r="93">
      <c r="A93" s="1">
        <f>A92+10</f>
        <v/>
      </c>
      <c r="B93" s="1">
        <f>C92</f>
        <v/>
      </c>
      <c r="E93" t="inlineStr">
        <is>
          <t>60mL/2s/5s</t>
        </is>
      </c>
      <c r="I93" s="1">
        <f>IF(C93="", "", (B93-C93)*1000/(A93-A92))</f>
        <v/>
      </c>
      <c r="J93" s="1">
        <f>IF(I93="","",I93/F$2/2.5)</f>
        <v/>
      </c>
      <c r="K93" s="1">
        <f>IF(I93="","", 100*_xlfn.STDEV.P(I92:I93)/AVERAGE(I92:I93))</f>
        <v/>
      </c>
      <c r="L93" s="8">
        <f t="array" ref="L93">IF(I93="","", IFERROR(((IF(I$5&lt;&gt;"", I$5*A$5, 0) + SUMPRODUCT(--(I$6:I93&lt;&gt;""), I$6:I93, (A$6:A93-A$5:A92)))/1000), ""))</f>
        <v/>
      </c>
      <c r="M93" s="1">
        <f>M92+10</f>
        <v/>
      </c>
      <c r="N93" s="1">
        <f>O92</f>
        <v/>
      </c>
      <c r="Q93" t="inlineStr">
        <is>
          <t>60mL/2s/5s</t>
        </is>
      </c>
      <c r="U93" s="1">
        <f>IF(O93="", "", (N93-O93)*1000/(M93-M92))</f>
        <v/>
      </c>
      <c r="V93" s="1">
        <f>IF(U93="","",U93/R$2/2.5)</f>
        <v/>
      </c>
      <c r="W93" s="1">
        <f>IF(U93="","", 100*_xlfn.STDEV.P(U92:U93)/AVERAGE(U92:U93))</f>
        <v/>
      </c>
      <c r="X93" s="8">
        <f t="array" ref="X93">IF(U93="","", IFERROR(((IF(U$5&lt;&gt;"", U$5*M$5, 0) + SUMPRODUCT(--(U$6:U93&lt;&gt;""), U$6:U93, (M$6:M93-M$5:M92)))/1000), ""))</f>
        <v/>
      </c>
    </row>
    <row r="94">
      <c r="A94" s="1">
        <f>A93+10</f>
        <v/>
      </c>
      <c r="B94" s="1">
        <f>C93</f>
        <v/>
      </c>
      <c r="E94" t="inlineStr">
        <is>
          <t>60mL/2s/5s</t>
        </is>
      </c>
      <c r="I94" s="1">
        <f>IF(C94="", "", (B94-C94)*1000/(A94-A93))</f>
        <v/>
      </c>
      <c r="J94" s="1">
        <f>IF(I94="","",I94/F$2/2.5)</f>
        <v/>
      </c>
      <c r="K94" s="1">
        <f>IF(I94="","", 100*_xlfn.STDEV.P(I93:I94)/AVERAGE(I93:I94))</f>
        <v/>
      </c>
      <c r="L94" s="8">
        <f t="array" ref="L94">IF(I94="","", IFERROR(((IF(I$5&lt;&gt;"", I$5*A$5, 0) + SUMPRODUCT(--(I$6:I94&lt;&gt;""), I$6:I94, (A$6:A94-A$5:A93)))/1000), ""))</f>
        <v/>
      </c>
      <c r="M94" s="1">
        <f>M93+10</f>
        <v/>
      </c>
      <c r="N94" s="1">
        <f>O93</f>
        <v/>
      </c>
      <c r="Q94" t="inlineStr">
        <is>
          <t>60mL/2s/5s</t>
        </is>
      </c>
      <c r="U94" s="1">
        <f>IF(O94="", "", (N94-O94)*1000/(M94-M93))</f>
        <v/>
      </c>
      <c r="V94" s="1">
        <f>IF(U94="","",U94/R$2/2.5)</f>
        <v/>
      </c>
      <c r="W94" s="1">
        <f>IF(U94="","", 100*_xlfn.STDEV.P(U93:U94)/AVERAGE(U93:U94))</f>
        <v/>
      </c>
      <c r="X94" s="8">
        <f t="array" ref="X94">IF(U94="","", IFERROR(((IF(U$5&lt;&gt;"", U$5*M$5, 0) + SUMPRODUCT(--(U$6:U94&lt;&gt;""), U$6:U94, (M$6:M94-M$5:M93)))/1000), ""))</f>
        <v/>
      </c>
    </row>
    <row r="95">
      <c r="A95" s="1">
        <f>A94+10</f>
        <v/>
      </c>
      <c r="B95" s="1">
        <f>C94</f>
        <v/>
      </c>
      <c r="E95" t="inlineStr">
        <is>
          <t>60mL/2s/5s</t>
        </is>
      </c>
      <c r="I95" s="1">
        <f>IF(C95="", "", (B95-C95)*1000/(A95-A94))</f>
        <v/>
      </c>
      <c r="J95" s="1">
        <f>IF(I95="","",I95/F$2/2.5)</f>
        <v/>
      </c>
      <c r="K95" s="1">
        <f>IF(I95="","", 100*_xlfn.STDEV.P(I94:I95)/AVERAGE(I94:I95))</f>
        <v/>
      </c>
      <c r="L95" s="8">
        <f t="array" ref="L95">IF(I95="","", IFERROR(((IF(I$5&lt;&gt;"", I$5*A$5, 0) + SUMPRODUCT(--(I$6:I95&lt;&gt;""), I$6:I95, (A$6:A95-A$5:A94)))/1000), ""))</f>
        <v/>
      </c>
      <c r="M95" s="1">
        <f>M94+10</f>
        <v/>
      </c>
      <c r="N95" s="1">
        <f>O94</f>
        <v/>
      </c>
      <c r="Q95" t="inlineStr">
        <is>
          <t>60mL/2s/5s</t>
        </is>
      </c>
      <c r="U95" s="1">
        <f>IF(O95="", "", (N95-O95)*1000/(M95-M94))</f>
        <v/>
      </c>
      <c r="V95" s="1">
        <f>IF(U95="","",U95/R$2/2.5)</f>
        <v/>
      </c>
      <c r="W95" s="1">
        <f>IF(U95="","", 100*_xlfn.STDEV.P(U94:U95)/AVERAGE(U94:U95))</f>
        <v/>
      </c>
      <c r="X95" s="8">
        <f t="array" ref="X95">IF(U95="","", IFERROR(((IF(U$5&lt;&gt;"", U$5*M$5, 0) + SUMPRODUCT(--(U$6:U95&lt;&gt;""), U$6:U95, (M$6:M95-M$5:M94)))/1000), ""))</f>
        <v/>
      </c>
    </row>
    <row r="96">
      <c r="A96" s="1">
        <f>A95+10</f>
        <v/>
      </c>
      <c r="B96" s="1">
        <f>C95</f>
        <v/>
      </c>
      <c r="E96" t="inlineStr">
        <is>
          <t>60mL/2s/5s</t>
        </is>
      </c>
      <c r="I96" s="1">
        <f>IF(C96="", "", (B96-C96)*1000/(A96-A95))</f>
        <v/>
      </c>
      <c r="J96" s="1">
        <f>IF(I96="","",I96/F$2/2.5)</f>
        <v/>
      </c>
      <c r="K96" s="1">
        <f>IF(I96="","", 100*_xlfn.STDEV.P(I95:I96)/AVERAGE(I95:I96))</f>
        <v/>
      </c>
      <c r="L96" s="8">
        <f t="array" ref="L96">IF(I96="","", IFERROR(((IF(I$5&lt;&gt;"", I$5*A$5, 0) + SUMPRODUCT(--(I$6:I96&lt;&gt;""), I$6:I96, (A$6:A96-A$5:A95)))/1000), ""))</f>
        <v/>
      </c>
      <c r="M96" s="1">
        <f>M95+10</f>
        <v/>
      </c>
      <c r="N96" s="1">
        <f>O95</f>
        <v/>
      </c>
      <c r="Q96" t="inlineStr">
        <is>
          <t>60mL/2s/5s</t>
        </is>
      </c>
      <c r="U96" s="1">
        <f>IF(O96="", "", (N96-O96)*1000/(M96-M95))</f>
        <v/>
      </c>
      <c r="V96" s="1">
        <f>IF(U96="","",U96/R$2/2.5)</f>
        <v/>
      </c>
      <c r="W96" s="1">
        <f>IF(U96="","", 100*_xlfn.STDEV.P(U95:U96)/AVERAGE(U95:U96))</f>
        <v/>
      </c>
      <c r="X96" s="8">
        <f t="array" ref="X96">IF(U96="","", IFERROR(((IF(U$5&lt;&gt;"", U$5*M$5, 0) + SUMPRODUCT(--(U$6:U96&lt;&gt;""), U$6:U96, (M$6:M96-M$5:M95)))/1000), ""))</f>
        <v/>
      </c>
    </row>
    <row r="97">
      <c r="A97" s="1">
        <f>A96+10</f>
        <v/>
      </c>
      <c r="B97" s="1">
        <f>C96</f>
        <v/>
      </c>
      <c r="E97" t="inlineStr">
        <is>
          <t>60mL/2s/5s</t>
        </is>
      </c>
      <c r="I97" s="1">
        <f>IF(C97="", "", (B97-C97)*1000/(A97-A96))</f>
        <v/>
      </c>
      <c r="J97" s="1">
        <f>IF(I97="","",I97/F$2/2.5)</f>
        <v/>
      </c>
      <c r="K97" s="1">
        <f>IF(I97="","", 100*_xlfn.STDEV.P(I96:I97)/AVERAGE(I96:I97))</f>
        <v/>
      </c>
      <c r="L97" s="8">
        <f t="array" ref="L97">IF(I97="","", IFERROR(((IF(I$5&lt;&gt;"", I$5*A$5, 0) + SUMPRODUCT(--(I$6:I97&lt;&gt;""), I$6:I97, (A$6:A97-A$5:A96)))/1000), ""))</f>
        <v/>
      </c>
      <c r="M97" s="1">
        <f>M96+10</f>
        <v/>
      </c>
      <c r="N97" s="1">
        <f>O96</f>
        <v/>
      </c>
      <c r="Q97" t="inlineStr">
        <is>
          <t>60mL/2s/5s</t>
        </is>
      </c>
      <c r="U97" s="1">
        <f>IF(O97="", "", (N97-O97)*1000/(M97-M96))</f>
        <v/>
      </c>
      <c r="V97" s="1">
        <f>IF(U97="","",U97/R$2/2.5)</f>
        <v/>
      </c>
      <c r="W97" s="1">
        <f>IF(U97="","", 100*_xlfn.STDEV.P(U96:U97)/AVERAGE(U96:U97))</f>
        <v/>
      </c>
      <c r="X97" s="8">
        <f t="array" ref="X97">IF(U97="","", IFERROR(((IF(U$5&lt;&gt;"", U$5*M$5, 0) + SUMPRODUCT(--(U$6:U97&lt;&gt;""), U$6:U97, (M$6:M97-M$5:M96)))/1000), ""))</f>
        <v/>
      </c>
    </row>
    <row r="98">
      <c r="A98" s="1">
        <f>A97+10</f>
        <v/>
      </c>
      <c r="B98" s="1">
        <f>C97</f>
        <v/>
      </c>
      <c r="E98" t="inlineStr">
        <is>
          <t>60mL/2s/5s</t>
        </is>
      </c>
      <c r="I98" s="1">
        <f>IF(C98="", "", (B98-C98)*1000/(A98-A97))</f>
        <v/>
      </c>
      <c r="J98" s="1">
        <f>IF(I98="","",I98/F$2/2.5)</f>
        <v/>
      </c>
      <c r="K98" s="1">
        <f>IF(I98="","", 100*_xlfn.STDEV.P(I97:I98)/AVERAGE(I97:I98))</f>
        <v/>
      </c>
      <c r="L98" s="8">
        <f t="array" ref="L98">IF(I98="","", IFERROR(((IF(I$5&lt;&gt;"", I$5*A$5, 0) + SUMPRODUCT(--(I$6:I98&lt;&gt;""), I$6:I98, (A$6:A98-A$5:A97)))/1000), ""))</f>
        <v/>
      </c>
      <c r="M98" s="1">
        <f>M97+10</f>
        <v/>
      </c>
      <c r="N98" s="1">
        <f>O97</f>
        <v/>
      </c>
      <c r="Q98" t="inlineStr">
        <is>
          <t>60mL/2s/5s</t>
        </is>
      </c>
      <c r="U98" s="1">
        <f>IF(O98="", "", (N98-O98)*1000/(M98-M97))</f>
        <v/>
      </c>
      <c r="V98" s="1">
        <f>IF(U98="","",U98/R$2/2.5)</f>
        <v/>
      </c>
      <c r="W98" s="1">
        <f>IF(U98="","", 100*_xlfn.STDEV.P(U97:U98)/AVERAGE(U97:U98))</f>
        <v/>
      </c>
      <c r="X98" s="8">
        <f t="array" ref="X98">IF(U98="","", IFERROR(((IF(U$5&lt;&gt;"", U$5*M$5, 0) + SUMPRODUCT(--(U$6:U98&lt;&gt;""), U$6:U98, (M$6:M98-M$5:M97)))/1000), ""))</f>
        <v/>
      </c>
    </row>
    <row r="99">
      <c r="A99" s="1">
        <f>A98+10</f>
        <v/>
      </c>
      <c r="B99" s="1">
        <f>C98</f>
        <v/>
      </c>
      <c r="E99" t="inlineStr">
        <is>
          <t>60mL/2s/5s</t>
        </is>
      </c>
      <c r="I99" s="1">
        <f>IF(C99="", "", (B99-C99)*1000/(A99-A98))</f>
        <v/>
      </c>
      <c r="J99" s="1">
        <f>IF(I99="","",I99/F$2/2.5)</f>
        <v/>
      </c>
      <c r="K99" s="1">
        <f>IF(I99="","", 100*_xlfn.STDEV.P(I98:I99)/AVERAGE(I98:I99))</f>
        <v/>
      </c>
      <c r="L99" s="8">
        <f t="array" ref="L99">IF(I99="","", IFERROR(((IF(I$5&lt;&gt;"", I$5*A$5, 0) + SUMPRODUCT(--(I$6:I99&lt;&gt;""), I$6:I99, (A$6:A99-A$5:A98)))/1000), ""))</f>
        <v/>
      </c>
      <c r="M99" s="1">
        <f>M98+10</f>
        <v/>
      </c>
      <c r="N99" s="1">
        <f>O98</f>
        <v/>
      </c>
      <c r="Q99" t="inlineStr">
        <is>
          <t>60mL/2s/5s</t>
        </is>
      </c>
      <c r="U99" s="1">
        <f>IF(O99="", "", (N99-O99)*1000/(M99-M98))</f>
        <v/>
      </c>
      <c r="V99" s="1">
        <f>IF(U99="","",U99/R$2/2.5)</f>
        <v/>
      </c>
      <c r="W99" s="1">
        <f>IF(U99="","", 100*_xlfn.STDEV.P(U98:U99)/AVERAGE(U98:U99))</f>
        <v/>
      </c>
      <c r="X99" s="8">
        <f t="array" ref="X99">IF(U99="","", IFERROR(((IF(U$5&lt;&gt;"", U$5*M$5, 0) + SUMPRODUCT(--(U$6:U99&lt;&gt;""), U$6:U99, (M$6:M99-M$5:M98)))/1000), ""))</f>
        <v/>
      </c>
    </row>
    <row r="100">
      <c r="A100" s="1">
        <f>A99+10</f>
        <v/>
      </c>
      <c r="B100" s="1">
        <f>C99</f>
        <v/>
      </c>
      <c r="E100" t="inlineStr">
        <is>
          <t>60mL/2s/5s</t>
        </is>
      </c>
      <c r="I100" s="1">
        <f>IF(C100="", "", (B100-C100)*1000/(A100-A99))</f>
        <v/>
      </c>
      <c r="J100" s="1">
        <f>IF(I100="","",I100/F$2/2.5)</f>
        <v/>
      </c>
      <c r="K100" s="1">
        <f>IF(I100="","", 100*_xlfn.STDEV.P(I99:I100)/AVERAGE(I99:I100))</f>
        <v/>
      </c>
      <c r="L100" s="8">
        <f t="array" ref="L100">IF(I100="","", IFERROR(((IF(I$5&lt;&gt;"", I$5*A$5, 0) + SUMPRODUCT(--(I$6:I100&lt;&gt;""), I$6:I100, (A$6:A100-A$5:A99)))/1000), ""))</f>
        <v/>
      </c>
      <c r="M100" s="1">
        <f>M99+10</f>
        <v/>
      </c>
      <c r="N100" s="1">
        <f>O99</f>
        <v/>
      </c>
      <c r="Q100" t="inlineStr">
        <is>
          <t>60mL/2s/5s</t>
        </is>
      </c>
      <c r="U100" s="1">
        <f>IF(O100="", "", (N100-O100)*1000/(M100-M99))</f>
        <v/>
      </c>
      <c r="V100" s="1">
        <f>IF(U100="","",U100/R$2/2.5)</f>
        <v/>
      </c>
      <c r="W100" s="1">
        <f>IF(U100="","", 100*_xlfn.STDEV.P(U99:U100)/AVERAGE(U99:U100))</f>
        <v/>
      </c>
      <c r="X100" s="8">
        <f t="array" ref="X100">IF(U100="","", IFERROR(((IF(U$5&lt;&gt;"", U$5*M$5, 0) + SUMPRODUCT(--(U$6:U100&lt;&gt;""), U$6:U100, (M$6:M100-M$5:M99)))/1000), ""))</f>
        <v/>
      </c>
    </row>
    <row r="101">
      <c r="A101" s="1">
        <f>A100+10</f>
        <v/>
      </c>
      <c r="B101" s="1">
        <f>C100</f>
        <v/>
      </c>
      <c r="E101" t="inlineStr">
        <is>
          <t>60mL/2s/5s</t>
        </is>
      </c>
      <c r="I101" s="1">
        <f>IF(C101="", "", (B101-C101)*1000/(A101-A100))</f>
        <v/>
      </c>
      <c r="J101" s="1">
        <f>IF(I101="","",I101/F$2/2.5)</f>
        <v/>
      </c>
      <c r="K101" s="1">
        <f>IF(I101="","", 100*_xlfn.STDEV.P(I100:I101)/AVERAGE(I100:I101))</f>
        <v/>
      </c>
      <c r="L101" s="8">
        <f t="array" ref="L101">IF(I101="","", IFERROR(((IF(I$5&lt;&gt;"", I$5*A$5, 0) + SUMPRODUCT(--(I$6:I101&lt;&gt;""), I$6:I101, (A$6:A101-A$5:A100)))/1000), ""))</f>
        <v/>
      </c>
      <c r="M101" s="1">
        <f>M100+10</f>
        <v/>
      </c>
      <c r="N101" s="1">
        <f>O100</f>
        <v/>
      </c>
      <c r="Q101" t="inlineStr">
        <is>
          <t>60mL/2s/5s</t>
        </is>
      </c>
      <c r="U101" s="1">
        <f>IF(O101="", "", (N101-O101)*1000/(M101-M100))</f>
        <v/>
      </c>
      <c r="V101" s="1">
        <f>IF(U101="","",U101/R$2/2.5)</f>
        <v/>
      </c>
      <c r="W101" s="1">
        <f>IF(U101="","", 100*_xlfn.STDEV.P(U100:U101)/AVERAGE(U100:U101))</f>
        <v/>
      </c>
      <c r="X101" s="8">
        <f t="array" ref="X101">IF(U101="","", IFERROR(((IF(U$5&lt;&gt;"", U$5*M$5, 0) + SUMPRODUCT(--(U$6:U101&lt;&gt;""), U$6:U101, (M$6:M101-M$5:M100)))/1000), ""))</f>
        <v/>
      </c>
    </row>
    <row r="102">
      <c r="A102" s="1">
        <f>A101+10</f>
        <v/>
      </c>
      <c r="B102" s="1">
        <f>C101</f>
        <v/>
      </c>
      <c r="E102" t="inlineStr">
        <is>
          <t>60mL/2s/5s</t>
        </is>
      </c>
      <c r="I102" s="1">
        <f>IF(C102="", "", (B102-C102)*1000/(A102-A101))</f>
        <v/>
      </c>
      <c r="J102" s="1">
        <f>IF(I102="","",I102/F$2/2.5)</f>
        <v/>
      </c>
      <c r="K102" s="1">
        <f>IF(I102="","", 100*_xlfn.STDEV.P(I101:I102)/AVERAGE(I101:I102))</f>
        <v/>
      </c>
      <c r="L102" s="8">
        <f t="array" ref="L102">IF(I102="","", IFERROR(((IF(I$5&lt;&gt;"", I$5*A$5, 0) + SUMPRODUCT(--(I$6:I102&lt;&gt;""), I$6:I102, (A$6:A102-A$5:A101)))/1000), ""))</f>
        <v/>
      </c>
      <c r="M102" s="1">
        <f>M101+10</f>
        <v/>
      </c>
      <c r="N102" s="1">
        <f>O101</f>
        <v/>
      </c>
      <c r="Q102" t="inlineStr">
        <is>
          <t>60mL/2s/5s</t>
        </is>
      </c>
      <c r="U102" s="1">
        <f>IF(O102="", "", (N102-O102)*1000/(M102-M101))</f>
        <v/>
      </c>
      <c r="V102" s="1">
        <f>IF(U102="","",U102/R$2/2.5)</f>
        <v/>
      </c>
      <c r="W102" s="1">
        <f>IF(U102="","", 100*_xlfn.STDEV.P(U101:U102)/AVERAGE(U101:U102))</f>
        <v/>
      </c>
      <c r="X102" s="8">
        <f t="array" ref="X102">IF(U102="","", IFERROR(((IF(U$5&lt;&gt;"", U$5*M$5, 0) + SUMPRODUCT(--(U$6:U102&lt;&gt;""), U$6:U102, (M$6:M102-M$5:M101)))/1000), ""))</f>
        <v/>
      </c>
    </row>
    <row r="103">
      <c r="A103" s="1">
        <f>A102+10</f>
        <v/>
      </c>
      <c r="B103" s="1">
        <f>C102</f>
        <v/>
      </c>
      <c r="E103" t="inlineStr">
        <is>
          <t>60mL/2s/5s</t>
        </is>
      </c>
      <c r="I103" s="1">
        <f>IF(C103="", "", (B103-C103)*1000/(A103-A102))</f>
        <v/>
      </c>
      <c r="J103" s="1">
        <f>IF(I103="","",I103/F$2/2.5)</f>
        <v/>
      </c>
      <c r="K103" s="1">
        <f>IF(I103="","", 100*_xlfn.STDEV.P(I102:I103)/AVERAGE(I102:I103))</f>
        <v/>
      </c>
      <c r="L103" s="8">
        <f t="array" ref="L103">IF(I103="","", IFERROR(((IF(I$5&lt;&gt;"", I$5*A$5, 0) + SUMPRODUCT(--(I$6:I103&lt;&gt;""), I$6:I103, (A$6:A103-A$5:A102)))/1000), ""))</f>
        <v/>
      </c>
      <c r="M103" s="1">
        <f>M102+10</f>
        <v/>
      </c>
      <c r="N103" s="1">
        <f>O102</f>
        <v/>
      </c>
      <c r="Q103" t="inlineStr">
        <is>
          <t>60mL/2s/5s</t>
        </is>
      </c>
      <c r="U103" s="1">
        <f>IF(O103="", "", (N103-O103)*1000/(M103-M102))</f>
        <v/>
      </c>
      <c r="V103" s="1">
        <f>IF(U103="","",U103/R$2/2.5)</f>
        <v/>
      </c>
      <c r="W103" s="1">
        <f>IF(U103="","", 100*_xlfn.STDEV.P(U102:U103)/AVERAGE(U102:U103))</f>
        <v/>
      </c>
      <c r="X103" s="8">
        <f t="array" ref="X103">IF(U103="","", IFERROR(((IF(U$5&lt;&gt;"", U$5*M$5, 0) + SUMPRODUCT(--(U$6:U103&lt;&gt;""), U$6:U103, (M$6:M103-M$5:M102)))/1000), ""))</f>
        <v/>
      </c>
    </row>
    <row r="104">
      <c r="A104" s="1">
        <f>A103+10</f>
        <v/>
      </c>
      <c r="B104" s="1">
        <f>C103</f>
        <v/>
      </c>
      <c r="E104" t="inlineStr">
        <is>
          <t>60mL/2s/5s</t>
        </is>
      </c>
      <c r="I104" s="1">
        <f>IF(C104="", "", (B104-C104)*1000/(A104-A103))</f>
        <v/>
      </c>
      <c r="J104" s="1">
        <f>IF(I104="","",I104/F$2/2.5)</f>
        <v/>
      </c>
      <c r="K104" s="1">
        <f>IF(I104="","", 100*_xlfn.STDEV.P(I103:I104)/AVERAGE(I103:I104))</f>
        <v/>
      </c>
      <c r="L104" s="8">
        <f t="array" ref="L104">IF(I104="","", IFERROR(((IF(I$5&lt;&gt;"", I$5*A$5, 0) + SUMPRODUCT(--(I$6:I104&lt;&gt;""), I$6:I104, (A$6:A104-A$5:A103)))/1000), ""))</f>
        <v/>
      </c>
      <c r="M104" s="1">
        <f>M103+10</f>
        <v/>
      </c>
      <c r="N104" s="1">
        <f>O103</f>
        <v/>
      </c>
      <c r="Q104" t="inlineStr">
        <is>
          <t>60mL/2s/5s</t>
        </is>
      </c>
      <c r="U104" s="1">
        <f>IF(O104="", "", (N104-O104)*1000/(M104-M103))</f>
        <v/>
      </c>
      <c r="V104" s="1">
        <f>IF(U104="","",U104/R$2/2.5)</f>
        <v/>
      </c>
      <c r="W104" s="1">
        <f>IF(U104="","", 100*_xlfn.STDEV.P(U103:U104)/AVERAGE(U103:U104))</f>
        <v/>
      </c>
      <c r="X104" s="8">
        <f t="array" ref="X104">IF(U104="","", IFERROR(((IF(U$5&lt;&gt;"", U$5*M$5, 0) + SUMPRODUCT(--(U$6:U104&lt;&gt;""), U$6:U104, (M$6:M104-M$5:M103)))/1000), ""))</f>
        <v/>
      </c>
    </row>
    <row r="105">
      <c r="A105" s="1">
        <f>A104+10</f>
        <v/>
      </c>
      <c r="B105" s="1">
        <f>C104</f>
        <v/>
      </c>
      <c r="E105" t="inlineStr">
        <is>
          <t>60mL/2s/5s</t>
        </is>
      </c>
      <c r="I105" s="1">
        <f>IF(C105="", "", (B105-C105)*1000/(A105-A104))</f>
        <v/>
      </c>
      <c r="J105" s="1">
        <f>IF(I105="","",I105/F$2/2.5)</f>
        <v/>
      </c>
      <c r="K105" s="1">
        <f>IF(I105="","", 100*_xlfn.STDEV.P(I104:I105)/AVERAGE(I104:I105))</f>
        <v/>
      </c>
      <c r="L105" s="8">
        <f t="array" ref="L105">IF(I105="","", IFERROR(((IF(I$5&lt;&gt;"", I$5*A$5, 0) + SUMPRODUCT(--(I$6:I105&lt;&gt;""), I$6:I105, (A$6:A105-A$5:A104)))/1000), ""))</f>
        <v/>
      </c>
      <c r="M105" s="1">
        <f>M104+10</f>
        <v/>
      </c>
      <c r="N105" s="1">
        <f>O104</f>
        <v/>
      </c>
      <c r="Q105" t="inlineStr">
        <is>
          <t>60mL/2s/5s</t>
        </is>
      </c>
      <c r="U105" s="1">
        <f>IF(O105="", "", (N105-O105)*1000/(M105-M104))</f>
        <v/>
      </c>
      <c r="V105" s="1">
        <f>IF(U105="","",U105/R$2/2.5)</f>
        <v/>
      </c>
      <c r="W105" s="1">
        <f>IF(U105="","", 100*_xlfn.STDEV.P(U104:U105)/AVERAGE(U104:U105))</f>
        <v/>
      </c>
      <c r="X105" s="8">
        <f t="array" ref="X105">IF(U105="","", IFERROR(((IF(U$5&lt;&gt;"", U$5*M$5, 0) + SUMPRODUCT(--(U$6:U105&lt;&gt;""), U$6:U105, (M$6:M105-M$5:M104)))/1000), ""))</f>
        <v/>
      </c>
    </row>
    <row r="106">
      <c r="A106" s="1">
        <f>A105+10</f>
        <v/>
      </c>
      <c r="B106" s="1">
        <f>C105</f>
        <v/>
      </c>
      <c r="E106" t="inlineStr">
        <is>
          <t>60mL/2s/5s</t>
        </is>
      </c>
      <c r="I106" s="1">
        <f>IF(C106="", "", (B106-C106)*1000/(A106-A105))</f>
        <v/>
      </c>
      <c r="J106" s="1">
        <f>IF(I106="","",I106/F$2/2.5)</f>
        <v/>
      </c>
      <c r="K106" s="1">
        <f>IF(I106="","", 100*_xlfn.STDEV.P(I105:I106)/AVERAGE(I105:I106))</f>
        <v/>
      </c>
      <c r="L106" s="8">
        <f t="array" ref="L106">IF(I106="","", IFERROR(((IF(I$5&lt;&gt;"", I$5*A$5, 0) + SUMPRODUCT(--(I$6:I106&lt;&gt;""), I$6:I106, (A$6:A106-A$5:A105)))/1000), ""))</f>
        <v/>
      </c>
      <c r="M106" s="1">
        <f>M105+10</f>
        <v/>
      </c>
      <c r="N106" s="1">
        <f>O105</f>
        <v/>
      </c>
      <c r="Q106" t="inlineStr">
        <is>
          <t>60mL/2s/5s</t>
        </is>
      </c>
      <c r="U106" s="1">
        <f>IF(O106="", "", (N106-O106)*1000/(M106-M105))</f>
        <v/>
      </c>
      <c r="V106" s="1">
        <f>IF(U106="","",U106/R$2/2.5)</f>
        <v/>
      </c>
      <c r="W106" s="1">
        <f>IF(U106="","", 100*_xlfn.STDEV.P(U105:U106)/AVERAGE(U105:U106))</f>
        <v/>
      </c>
      <c r="X106" s="8">
        <f t="array" ref="X106">IF(U106="","", IFERROR(((IF(U$5&lt;&gt;"", U$5*M$5, 0) + SUMPRODUCT(--(U$6:U106&lt;&gt;""), U$6:U106, (M$6:M106-M$5:M105)))/1000), ""))</f>
        <v/>
      </c>
    </row>
    <row r="107">
      <c r="A107" s="1">
        <f>A106+10</f>
        <v/>
      </c>
      <c r="B107" s="1">
        <f>C106</f>
        <v/>
      </c>
      <c r="E107" t="inlineStr">
        <is>
          <t>60mL/2s/5s</t>
        </is>
      </c>
      <c r="I107" s="1">
        <f>IF(C107="", "", (B107-C107)*1000/(A107-A106))</f>
        <v/>
      </c>
      <c r="J107" s="1">
        <f>IF(I107="","",I107/F$2/2.5)</f>
        <v/>
      </c>
      <c r="K107" s="1">
        <f>IF(I107="","", 100*_xlfn.STDEV.P(I106:I107)/AVERAGE(I106:I107))</f>
        <v/>
      </c>
      <c r="L107" s="8">
        <f t="array" ref="L107">IF(I107="","", IFERROR(((IF(I$5&lt;&gt;"", I$5*A$5, 0) + SUMPRODUCT(--(I$6:I107&lt;&gt;""), I$6:I107, (A$6:A107-A$5:A106)))/1000), ""))</f>
        <v/>
      </c>
      <c r="M107" s="1">
        <f>M106+10</f>
        <v/>
      </c>
      <c r="N107" s="1">
        <f>O106</f>
        <v/>
      </c>
      <c r="Q107" t="inlineStr">
        <is>
          <t>60mL/2s/5s</t>
        </is>
      </c>
      <c r="U107" s="1">
        <f>IF(O107="", "", (N107-O107)*1000/(M107-M106))</f>
        <v/>
      </c>
      <c r="V107" s="1">
        <f>IF(U107="","",U107/R$2/2.5)</f>
        <v/>
      </c>
      <c r="W107" s="1">
        <f>IF(U107="","", 100*_xlfn.STDEV.P(U106:U107)/AVERAGE(U106:U107))</f>
        <v/>
      </c>
      <c r="X107" s="8">
        <f t="array" ref="X107">IF(U107="","", IFERROR(((IF(U$5&lt;&gt;"", U$5*M$5, 0) + SUMPRODUCT(--(U$6:U107&lt;&gt;""), U$6:U107, (M$6:M107-M$5:M106)))/1000), ""))</f>
        <v/>
      </c>
    </row>
    <row r="108">
      <c r="A108" s="1">
        <f>A107+10</f>
        <v/>
      </c>
      <c r="B108" s="1">
        <f>C107</f>
        <v/>
      </c>
      <c r="E108" t="inlineStr">
        <is>
          <t>60mL/2s/5s</t>
        </is>
      </c>
      <c r="I108" s="1">
        <f>IF(C108="", "", (B108-C108)*1000/(A108-A107))</f>
        <v/>
      </c>
      <c r="J108" s="1">
        <f>IF(I108="","",I108/F$2/2.5)</f>
        <v/>
      </c>
      <c r="K108" s="1">
        <f>IF(I108="","", 100*_xlfn.STDEV.P(I107:I108)/AVERAGE(I107:I108))</f>
        <v/>
      </c>
      <c r="L108" s="8">
        <f t="array" ref="L108">IF(I108="","", IFERROR(((IF(I$5&lt;&gt;"", I$5*A$5, 0) + SUMPRODUCT(--(I$6:I108&lt;&gt;""), I$6:I108, (A$6:A108-A$5:A107)))/1000), ""))</f>
        <v/>
      </c>
      <c r="M108" s="1">
        <f>M107+10</f>
        <v/>
      </c>
      <c r="N108" s="1">
        <f>O107</f>
        <v/>
      </c>
      <c r="Q108" t="inlineStr">
        <is>
          <t>60mL/2s/5s</t>
        </is>
      </c>
      <c r="U108" s="1">
        <f>IF(O108="", "", (N108-O108)*1000/(M108-M107))</f>
        <v/>
      </c>
      <c r="V108" s="1">
        <f>IF(U108="","",U108/R$2/2.5)</f>
        <v/>
      </c>
      <c r="W108" s="1">
        <f>IF(U108="","", 100*_xlfn.STDEV.P(U107:U108)/AVERAGE(U107:U108))</f>
        <v/>
      </c>
      <c r="X108" s="8">
        <f t="array" ref="X108">IF(U108="","", IFERROR(((IF(U$5&lt;&gt;"", U$5*M$5, 0) + SUMPRODUCT(--(U$6:U108&lt;&gt;""), U$6:U108, (M$6:M108-M$5:M107)))/1000), ""))</f>
        <v/>
      </c>
    </row>
    <row r="109">
      <c r="A109" s="1">
        <f>A108+10</f>
        <v/>
      </c>
      <c r="B109" s="1">
        <f>C108</f>
        <v/>
      </c>
      <c r="E109" t="inlineStr">
        <is>
          <t>60mL/2s/5s</t>
        </is>
      </c>
      <c r="I109" s="1">
        <f>IF(C109="", "", (B109-C109)*1000/(A109-A108))</f>
        <v/>
      </c>
      <c r="J109" s="1">
        <f>IF(I109="","",I109/F$2/2.5)</f>
        <v/>
      </c>
      <c r="K109" s="1">
        <f>IF(I109="","", 100*_xlfn.STDEV.P(I108:I109)/AVERAGE(I108:I109))</f>
        <v/>
      </c>
      <c r="L109" s="8">
        <f t="array" ref="L109">IF(I109="","", IFERROR(((IF(I$5&lt;&gt;"", I$5*A$5, 0) + SUMPRODUCT(--(I$6:I109&lt;&gt;""), I$6:I109, (A$6:A109-A$5:A108)))/1000), ""))</f>
        <v/>
      </c>
      <c r="M109" s="1">
        <f>M108+10</f>
        <v/>
      </c>
      <c r="N109" s="1">
        <f>O108</f>
        <v/>
      </c>
      <c r="Q109" t="inlineStr">
        <is>
          <t>60mL/2s/5s</t>
        </is>
      </c>
      <c r="U109" s="1">
        <f>IF(O109="", "", (N109-O109)*1000/(M109-M108))</f>
        <v/>
      </c>
      <c r="V109" s="1">
        <f>IF(U109="","",U109/R$2/2.5)</f>
        <v/>
      </c>
      <c r="W109" s="1">
        <f>IF(U109="","", 100*_xlfn.STDEV.P(U108:U109)/AVERAGE(U108:U109))</f>
        <v/>
      </c>
      <c r="X109" s="8">
        <f t="array" ref="X109">IF(U109="","", IFERROR(((IF(U$5&lt;&gt;"", U$5*M$5, 0) + SUMPRODUCT(--(U$6:U109&lt;&gt;""), U$6:U109, (M$6:M109-M$5:M108)))/1000), ""))</f>
        <v/>
      </c>
    </row>
    <row r="110">
      <c r="A110" s="1">
        <f>A109+10</f>
        <v/>
      </c>
      <c r="B110" s="1">
        <f>C109</f>
        <v/>
      </c>
      <c r="E110" t="inlineStr">
        <is>
          <t>60mL/2s/5s</t>
        </is>
      </c>
      <c r="I110" s="1">
        <f>IF(C110="", "", (B110-C110)*1000/(A110-A109))</f>
        <v/>
      </c>
      <c r="J110" s="1">
        <f>IF(I110="","",I110/F$2/2.5)</f>
        <v/>
      </c>
      <c r="K110" s="1">
        <f>IF(I110="","", 100*_xlfn.STDEV.P(I109:I110)/AVERAGE(I109:I110))</f>
        <v/>
      </c>
      <c r="L110" s="8">
        <f t="array" ref="L110">IF(I110="","", IFERROR(((IF(I$5&lt;&gt;"", I$5*A$5, 0) + SUMPRODUCT(--(I$6:I110&lt;&gt;""), I$6:I110, (A$6:A110-A$5:A109)))/1000), ""))</f>
        <v/>
      </c>
      <c r="M110" s="1">
        <f>M109+10</f>
        <v/>
      </c>
      <c r="N110" s="1">
        <f>O109</f>
        <v/>
      </c>
      <c r="Q110" t="inlineStr">
        <is>
          <t>60mL/2s/5s</t>
        </is>
      </c>
      <c r="U110" s="1">
        <f>IF(O110="", "", (N110-O110)*1000/(M110-M109))</f>
        <v/>
      </c>
      <c r="V110" s="1">
        <f>IF(U110="","",U110/R$2/2.5)</f>
        <v/>
      </c>
      <c r="W110" s="1">
        <f>IF(U110="","", 100*_xlfn.STDEV.P(U109:U110)/AVERAGE(U109:U110))</f>
        <v/>
      </c>
      <c r="X110" s="8">
        <f t="array" ref="X110">IF(U110="","", IFERROR(((IF(U$5&lt;&gt;"", U$5*M$5, 0) + SUMPRODUCT(--(U$6:U110&lt;&gt;""), U$6:U110, (M$6:M110-M$5:M109)))/1000), ""))</f>
        <v/>
      </c>
    </row>
    <row r="111">
      <c r="A111" s="1">
        <f>A110+10</f>
        <v/>
      </c>
      <c r="B111" s="1">
        <f>C110</f>
        <v/>
      </c>
      <c r="E111" t="inlineStr">
        <is>
          <t>60mL/2s/5s</t>
        </is>
      </c>
      <c r="I111" s="1">
        <f>IF(C111="", "", (B111-C111)*1000/(A111-A110))</f>
        <v/>
      </c>
      <c r="J111" s="1">
        <f>IF(I111="","",I111/F$2/2.5)</f>
        <v/>
      </c>
      <c r="K111" s="1">
        <f>IF(I111="","", 100*_xlfn.STDEV.P(I110:I111)/AVERAGE(I110:I111))</f>
        <v/>
      </c>
      <c r="L111" s="8">
        <f t="array" ref="L111">IF(I111="","", IFERROR(((IF(I$5&lt;&gt;"", I$5*A$5, 0) + SUMPRODUCT(--(I$6:I111&lt;&gt;""), I$6:I111, (A$6:A111-A$5:A110)))/1000), ""))</f>
        <v/>
      </c>
      <c r="M111" s="1">
        <f>M110+10</f>
        <v/>
      </c>
      <c r="N111" s="1">
        <f>O110</f>
        <v/>
      </c>
      <c r="Q111" t="inlineStr">
        <is>
          <t>60mL/2s/5s</t>
        </is>
      </c>
      <c r="U111" s="1">
        <f>IF(O111="", "", (N111-O111)*1000/(M111-M110))</f>
        <v/>
      </c>
      <c r="V111" s="1">
        <f>IF(U111="","",U111/R$2/2.5)</f>
        <v/>
      </c>
      <c r="W111" s="1">
        <f>IF(U111="","", 100*_xlfn.STDEV.P(U110:U111)/AVERAGE(U110:U111))</f>
        <v/>
      </c>
      <c r="X111" s="8">
        <f t="array" ref="X111">IF(U111="","", IFERROR(((IF(U$5&lt;&gt;"", U$5*M$5, 0) + SUMPRODUCT(--(U$6:U111&lt;&gt;""), U$6:U111, (M$6:M111-M$5:M110)))/1000), ""))</f>
        <v/>
      </c>
    </row>
    <row r="112">
      <c r="A112" s="1">
        <f>A111+10</f>
        <v/>
      </c>
      <c r="B112" s="1">
        <f>C111</f>
        <v/>
      </c>
      <c r="E112" t="inlineStr">
        <is>
          <t>60mL/2s/5s</t>
        </is>
      </c>
      <c r="I112" s="1">
        <f>IF(C112="", "", (B112-C112)*1000/(A112-A111))</f>
        <v/>
      </c>
      <c r="J112" s="1">
        <f>IF(I112="","",I112/F$2/2.5)</f>
        <v/>
      </c>
      <c r="K112" s="1">
        <f>IF(I112="","", 100*_xlfn.STDEV.P(I111:I112)/AVERAGE(I111:I112))</f>
        <v/>
      </c>
      <c r="L112" s="8">
        <f t="array" ref="L112">IF(I112="","", IFERROR(((IF(I$5&lt;&gt;"", I$5*A$5, 0) + SUMPRODUCT(--(I$6:I112&lt;&gt;""), I$6:I112, (A$6:A112-A$5:A111)))/1000), ""))</f>
        <v/>
      </c>
      <c r="M112" s="1">
        <f>M111+10</f>
        <v/>
      </c>
      <c r="N112" s="1">
        <f>O111</f>
        <v/>
      </c>
      <c r="Q112" t="inlineStr">
        <is>
          <t>60mL/2s/5s</t>
        </is>
      </c>
      <c r="U112" s="1">
        <f>IF(O112="", "", (N112-O112)*1000/(M112-M111))</f>
        <v/>
      </c>
      <c r="V112" s="1">
        <f>IF(U112="","",U112/R$2/2.5)</f>
        <v/>
      </c>
      <c r="W112" s="1">
        <f>IF(U112="","", 100*_xlfn.STDEV.P(U111:U112)/AVERAGE(U111:U112))</f>
        <v/>
      </c>
      <c r="X112" s="8">
        <f t="array" ref="X112">IF(U112="","", IFERROR(((IF(U$5&lt;&gt;"", U$5*M$5, 0) + SUMPRODUCT(--(U$6:U112&lt;&gt;""), U$6:U112, (M$6:M112-M$5:M111)))/1000), ""))</f>
        <v/>
      </c>
    </row>
    <row r="113">
      <c r="A113" s="1">
        <f>A112+10</f>
        <v/>
      </c>
      <c r="B113" s="1">
        <f>C112</f>
        <v/>
      </c>
      <c r="E113" t="inlineStr">
        <is>
          <t>60mL/2s/5s</t>
        </is>
      </c>
      <c r="I113" s="1">
        <f>IF(C113="", "", (B113-C113)*1000/(A113-A112))</f>
        <v/>
      </c>
      <c r="J113" s="1">
        <f>IF(I113="","",I113/F$2/2.5)</f>
        <v/>
      </c>
      <c r="K113" s="1">
        <f>IF(I113="","", 100*_xlfn.STDEV.P(I112:I113)/AVERAGE(I112:I113))</f>
        <v/>
      </c>
      <c r="L113" s="8">
        <f t="array" ref="L113">IF(I113="","", IFERROR(((IF(I$5&lt;&gt;"", I$5*A$5, 0) + SUMPRODUCT(--(I$6:I113&lt;&gt;""), I$6:I113, (A$6:A113-A$5:A112)))/1000), ""))</f>
        <v/>
      </c>
      <c r="M113" s="1">
        <f>M112+10</f>
        <v/>
      </c>
      <c r="N113" s="1">
        <f>O112</f>
        <v/>
      </c>
      <c r="Q113" t="inlineStr">
        <is>
          <t>60mL/2s/5s</t>
        </is>
      </c>
      <c r="U113" s="1">
        <f>IF(O113="", "", (N113-O113)*1000/(M113-M112))</f>
        <v/>
      </c>
      <c r="V113" s="1">
        <f>IF(U113="","",U113/R$2/2.5)</f>
        <v/>
      </c>
      <c r="W113" s="1">
        <f>IF(U113="","", 100*_xlfn.STDEV.P(U112:U113)/AVERAGE(U112:U113))</f>
        <v/>
      </c>
      <c r="X113" s="8">
        <f t="array" ref="X113">IF(U113="","", IFERROR(((IF(U$5&lt;&gt;"", U$5*M$5, 0) + SUMPRODUCT(--(U$6:U113&lt;&gt;""), U$6:U113, (M$6:M113-M$5:M112)))/1000), ""))</f>
        <v/>
      </c>
    </row>
    <row r="114">
      <c r="A114" s="1">
        <f>A113+10</f>
        <v/>
      </c>
      <c r="B114" s="1">
        <f>C113</f>
        <v/>
      </c>
      <c r="E114" t="inlineStr">
        <is>
          <t>60mL/2s/5s</t>
        </is>
      </c>
      <c r="I114" s="1">
        <f>IF(C114="", "", (B114-C114)*1000/(A114-A113))</f>
        <v/>
      </c>
      <c r="J114" s="1">
        <f>IF(I114="","",I114/F$2/2.5)</f>
        <v/>
      </c>
      <c r="K114" s="1">
        <f>IF(I114="","", 100*_xlfn.STDEV.P(I113:I114)/AVERAGE(I113:I114))</f>
        <v/>
      </c>
      <c r="L114" s="8">
        <f t="array" ref="L114">IF(I114="","", IFERROR(((IF(I$5&lt;&gt;"", I$5*A$5, 0) + SUMPRODUCT(--(I$6:I114&lt;&gt;""), I$6:I114, (A$6:A114-A$5:A113)))/1000), ""))</f>
        <v/>
      </c>
      <c r="M114" s="1">
        <f>M113+10</f>
        <v/>
      </c>
      <c r="N114" s="1">
        <f>O113</f>
        <v/>
      </c>
      <c r="Q114" t="inlineStr">
        <is>
          <t>60mL/2s/5s</t>
        </is>
      </c>
      <c r="U114" s="1">
        <f>IF(O114="", "", (N114-O114)*1000/(M114-M113))</f>
        <v/>
      </c>
      <c r="V114" s="1">
        <f>IF(U114="","",U114/R$2/2.5)</f>
        <v/>
      </c>
      <c r="W114" s="1">
        <f>IF(U114="","", 100*_xlfn.STDEV.P(U113:U114)/AVERAGE(U113:U114))</f>
        <v/>
      </c>
      <c r="X114" s="8">
        <f t="array" ref="X114">IF(U114="","", IFERROR(((IF(U$5&lt;&gt;"", U$5*M$5, 0) + SUMPRODUCT(--(U$6:U114&lt;&gt;""), U$6:U114, (M$6:M114-M$5:M113)))/1000), ""))</f>
        <v/>
      </c>
    </row>
    <row r="115">
      <c r="A115" s="1">
        <f>A114+10</f>
        <v/>
      </c>
      <c r="B115" s="1">
        <f>C114</f>
        <v/>
      </c>
      <c r="E115" t="inlineStr">
        <is>
          <t>60mL/2s/5s</t>
        </is>
      </c>
      <c r="I115" s="1">
        <f>IF(C115="", "", (B115-C115)*1000/(A115-A114))</f>
        <v/>
      </c>
      <c r="J115" s="1">
        <f>IF(I115="","",I115/F$2/2.5)</f>
        <v/>
      </c>
      <c r="K115" s="1">
        <f>IF(I115="","", 100*_xlfn.STDEV.P(I114:I115)/AVERAGE(I114:I115))</f>
        <v/>
      </c>
      <c r="L115" s="8">
        <f t="array" ref="L115">IF(I115="","", IFERROR(((IF(I$5&lt;&gt;"", I$5*A$5, 0) + SUMPRODUCT(--(I$6:I115&lt;&gt;""), I$6:I115, (A$6:A115-A$5:A114)))/1000), ""))</f>
        <v/>
      </c>
      <c r="M115" s="1">
        <f>M114+10</f>
        <v/>
      </c>
      <c r="N115" s="1">
        <f>O114</f>
        <v/>
      </c>
      <c r="Q115" t="inlineStr">
        <is>
          <t>60mL/2s/5s</t>
        </is>
      </c>
      <c r="U115" s="1">
        <f>IF(O115="", "", (N115-O115)*1000/(M115-M114))</f>
        <v/>
      </c>
      <c r="V115" s="1">
        <f>IF(U115="","",U115/R$2/2.5)</f>
        <v/>
      </c>
      <c r="W115" s="1">
        <f>IF(U115="","", 100*_xlfn.STDEV.P(U114:U115)/AVERAGE(U114:U115))</f>
        <v/>
      </c>
      <c r="X115" s="8">
        <f t="array" ref="X115">IF(U115="","", IFERROR(((IF(U$5&lt;&gt;"", U$5*M$5, 0) + SUMPRODUCT(--(U$6:U115&lt;&gt;""), U$6:U115, (M$6:M115-M$5:M114)))/1000), ""))</f>
        <v/>
      </c>
    </row>
    <row r="116"/>
  </sheetData>
  <conditionalFormatting sqref="I5:L115">
    <cfRule type="containsErrors" priority="3" dxfId="0">
      <formula>ISERROR(I5)</formula>
    </cfRule>
  </conditionalFormatting>
  <conditionalFormatting sqref="K6:K115">
    <cfRule type="cellIs" priority="17" operator="between" dxfId="29">
      <formula>0</formula>
      <formula>15</formula>
    </cfRule>
    <cfRule type="cellIs" priority="18" operator="between" dxfId="28">
      <formula>15</formula>
      <formula>25</formula>
    </cfRule>
    <cfRule type="cellIs" priority="19" operator="between" dxfId="27">
      <formula>25</formula>
      <formula>1000</formula>
    </cfRule>
  </conditionalFormatting>
  <conditionalFormatting sqref="L2:L3 X2:X3">
    <cfRule type="containsErrors" priority="10" dxfId="0">
      <formula>ISERROR(L2)</formula>
    </cfRule>
  </conditionalFormatting>
  <conditionalFormatting sqref="U5:U115 W5:X115">
    <cfRule type="containsErrors" priority="2" dxfId="0">
      <formula>ISERROR(U5)</formula>
    </cfRule>
  </conditionalFormatting>
  <conditionalFormatting sqref="W6:W115">
    <cfRule type="cellIs" priority="14" operator="between" dxfId="29">
      <formula>0</formula>
      <formula>15</formula>
    </cfRule>
    <cfRule type="cellIs" priority="15" operator="between" dxfId="28">
      <formula>15</formula>
      <formula>25</formula>
    </cfRule>
    <cfRule type="cellIs" priority="16" operator="between" dxfId="27">
      <formula>25</formula>
      <formula>1000</formula>
    </cfRule>
  </conditionalFormatting>
  <conditionalFormatting sqref="V5:V115">
    <cfRule type="containsErrors" priority="1" dxfId="0">
      <formula>ISERROR(V5)</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116"/>
  <sheetViews>
    <sheetView zoomScaleNormal="100" workbookViewId="0">
      <selection activeCell="AJ1" sqref="AJ1"/>
    </sheetView>
  </sheetViews>
  <sheetFormatPr baseColWidth="8" defaultRowHeight="15"/>
  <cols>
    <col width="11.710937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7.28515625" customWidth="1" style="1" min="9" max="9"/>
    <col width="18" customWidth="1" style="1" min="10" max="10"/>
    <col width="12.140625" customWidth="1" style="1" min="11" max="11"/>
    <col width="14.140625" customWidth="1" style="7" min="12" max="12"/>
    <col width="11.710937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19.140625" customWidth="1" style="1" min="21" max="21"/>
    <col width="18" customWidth="1" style="1" min="22" max="22"/>
    <col width="12.140625" customWidth="1" style="1" min="23" max="23"/>
    <col width="14.140625" customWidth="1" style="7" min="24" max="24"/>
    <col width="9.140625" customWidth="1" style="1" min="25" max="16384"/>
  </cols>
  <sheetData>
    <row r="1" ht="45" customFormat="1" customHeight="1" s="27">
      <c r="A1" s="3" t="inlineStr">
        <is>
          <t>Intense Test</t>
        </is>
      </c>
      <c r="C1" s="4" t="inlineStr">
        <is>
          <t>Date:</t>
        </is>
      </c>
      <c r="E1" s="4" t="inlineStr">
        <is>
          <t>Sample ID:</t>
        </is>
      </c>
      <c r="G1" s="4" t="inlineStr">
        <is>
          <t>Heating Technology:</t>
        </is>
      </c>
      <c r="J1" s="4" t="inlineStr">
        <is>
          <t>Did this burn?</t>
        </is>
      </c>
      <c r="L1" s="6" t="inlineStr">
        <is>
          <t>Average TPM and Standard deviation</t>
        </is>
      </c>
      <c r="M1" s="3" t="inlineStr">
        <is>
          <t>Intense Test</t>
        </is>
      </c>
      <c r="O1" s="4" t="inlineStr">
        <is>
          <t>Date:</t>
        </is>
      </c>
      <c r="Q1" s="4" t="inlineStr">
        <is>
          <t>Sample ID:</t>
        </is>
      </c>
      <c r="S1" s="4" t="inlineStr">
        <is>
          <t>Heating Technology:</t>
        </is>
      </c>
      <c r="V1" s="4" t="inlineStr">
        <is>
          <t>Did this burn?</t>
        </is>
      </c>
      <c r="X1" s="6" t="inlineStr">
        <is>
          <t>Average TPM and Standard deviation</t>
        </is>
      </c>
    </row>
    <row r="2" ht="30"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200mL/3s/30s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200mL/3s/30s</t>
        </is>
      </c>
      <c r="U2" s="4" t="inlineStr">
        <is>
          <t>Usage Efficiency
                  ↓</t>
        </is>
      </c>
      <c r="V2" s="4" t="inlineStr">
        <is>
          <t>Did this clog?</t>
        </is>
      </c>
      <c r="X2" s="20">
        <f>IF(U5="","",AVERAGEIFS(U5:U115,U5:U115,"&lt;&gt;0",U5:U115,"&lt;&gt;"))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row>
    <row r="4" ht="45" customFormat="1" customHeight="1" s="27">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row>
    <row r="5">
      <c r="A5" s="1" t="n">
        <v>10</v>
      </c>
      <c r="B5" s="1" t="n">
        <v>0</v>
      </c>
      <c r="E5" t="inlineStr">
        <is>
          <t>200mL/3s/30s</t>
        </is>
      </c>
      <c r="I5" s="1">
        <f>IF(C5="", "", (B5-C5)*1000/A5)</f>
        <v/>
      </c>
      <c r="J5" s="1">
        <f>IF(I5="","",I5/F$2/3)</f>
        <v/>
      </c>
      <c r="L5" s="8">
        <f>IF(I5="","", IFERROR(((IF(I$5&lt;&gt;"", I$5*A$5, 0))/1000), ""))</f>
        <v/>
      </c>
      <c r="M5" s="1" t="n">
        <v>10</v>
      </c>
      <c r="Q5" t="inlineStr">
        <is>
          <t>200mL/3s/30s</t>
        </is>
      </c>
      <c r="U5" s="1">
        <f>IF(O5="", "", (N5-O5)*1000/M5)</f>
        <v/>
      </c>
      <c r="V5" s="1">
        <f>IF(U5="","",U5/R$2/3)</f>
        <v/>
      </c>
      <c r="X5" s="8">
        <f>IF(U5="","", IFERROR(((IF(U$5&lt;&gt;"", U$5*M$5, 0))/1000), ""))</f>
        <v/>
      </c>
    </row>
    <row r="6">
      <c r="A6" s="1">
        <f>A5+10</f>
        <v/>
      </c>
      <c r="B6" s="1">
        <f>C5</f>
        <v/>
      </c>
      <c r="E6" t="inlineStr">
        <is>
          <t>200mL/3s/30s</t>
        </is>
      </c>
      <c r="I6" s="1">
        <f>IF(C6="", "", (B6-C6)*1000/(A6-A5))</f>
        <v/>
      </c>
      <c r="J6" s="1">
        <f>IF(I6="","",I6/F$2/3)</f>
        <v/>
      </c>
      <c r="K6" s="1">
        <f>IF(I6="","", 100*_xlfn.STDEV.P(I5:I6)/AVERAGE(I5:I6))</f>
        <v/>
      </c>
      <c r="L6" s="8">
        <f t="array" ref="L6">IF(I6="","", IFERROR(((IF(I$5&lt;&gt;"", I$5*A$5, 0) + SUMPRODUCT(--(I$6:I6&lt;&gt;""), I$6:I6, (A$6:A6-A$5:A5)))/1000), ""))</f>
        <v/>
      </c>
      <c r="M6" s="1">
        <f>M5+10</f>
        <v/>
      </c>
      <c r="N6" s="1">
        <f>O5</f>
        <v/>
      </c>
      <c r="Q6" t="inlineStr">
        <is>
          <t>200mL/3s/30s</t>
        </is>
      </c>
      <c r="U6" s="1">
        <f>IF(O6="", "", (N6-O6)*1000/(M6-M5))</f>
        <v/>
      </c>
      <c r="V6" s="1">
        <f>IF(U6="","",U6/R$2/3)</f>
        <v/>
      </c>
      <c r="W6" s="1">
        <f>IF(U6="","", 100*_xlfn.STDEV.P(U5:U6)/AVERAGE(U5:U6))</f>
        <v/>
      </c>
      <c r="X6" s="8">
        <f t="array" ref="X6">IF(U6="","", IFERROR(((IF(U$5&lt;&gt;"", U$5*M$5, 0) + SUMPRODUCT(--(U$6:U6&lt;&gt;""), U$6:U6, (M$6:M6-M$5:M5)))/1000), ""))</f>
        <v/>
      </c>
    </row>
    <row r="7">
      <c r="A7" s="1">
        <f>A6+10</f>
        <v/>
      </c>
      <c r="B7" s="1">
        <f>C6</f>
        <v/>
      </c>
      <c r="E7" t="inlineStr">
        <is>
          <t>200mL/3s/30s</t>
        </is>
      </c>
      <c r="I7" s="1">
        <f>IF(C7="", "", (B7-C7)*1000/(A7-A6))</f>
        <v/>
      </c>
      <c r="J7" s="1">
        <f>IF(I7="","",I7/F$2/3)</f>
        <v/>
      </c>
      <c r="K7" s="1">
        <f>IF(I7="","", 100*_xlfn.STDEV.P(I6:I7)/AVERAGE(I6:I7))</f>
        <v/>
      </c>
      <c r="L7" s="8">
        <f t="array" ref="L7">IF(I7="","", IFERROR(((IF(I$5&lt;&gt;"", I$5*A$5, 0) + SUMPRODUCT(--(I$6:I7&lt;&gt;""), I$6:I7, (A$6:A7-A$5:A6)))/1000), ""))</f>
        <v/>
      </c>
      <c r="M7" s="1">
        <f>M6+10</f>
        <v/>
      </c>
      <c r="N7" s="1">
        <f>O6</f>
        <v/>
      </c>
      <c r="Q7" t="inlineStr">
        <is>
          <t>200mL/3s/30s</t>
        </is>
      </c>
      <c r="U7" s="1">
        <f>IF(O7="", "", (N7-O7)*1000/(M7-M6))</f>
        <v/>
      </c>
      <c r="V7" s="1">
        <f>IF(U7="","",U7/R$2/3)</f>
        <v/>
      </c>
      <c r="W7" s="1">
        <f>IF(U7="","", 100*_xlfn.STDEV.P(U6:U7)/AVERAGE(U6:U7))</f>
        <v/>
      </c>
      <c r="X7" s="8">
        <f t="array" ref="X7">IF(U7="","", IFERROR(((IF(U$5&lt;&gt;"", U$5*M$5, 0) + SUMPRODUCT(--(U$6:U7&lt;&gt;""), U$6:U7, (M$6:M7-M$5:M6)))/1000), ""))</f>
        <v/>
      </c>
    </row>
    <row r="8">
      <c r="A8" s="1">
        <f>A7+10</f>
        <v/>
      </c>
      <c r="B8" s="1">
        <f>C7</f>
        <v/>
      </c>
      <c r="E8" t="inlineStr">
        <is>
          <t>200mL/3s/30s</t>
        </is>
      </c>
      <c r="I8" s="1">
        <f>IF(C8="", "", (B8-C8)*1000/(A8-A7))</f>
        <v/>
      </c>
      <c r="J8" s="1">
        <f>IF(I8="","",I8/F$2/3)</f>
        <v/>
      </c>
      <c r="K8" s="1">
        <f>IF(I8="","", 100*_xlfn.STDEV.P(I7:I8)/AVERAGE(I7:I8))</f>
        <v/>
      </c>
      <c r="L8" s="8">
        <f t="array" ref="L8">IF(I8="","", IFERROR(((IF(I$5&lt;&gt;"", I$5*A$5, 0) + SUMPRODUCT(--(I$6:I8&lt;&gt;""), I$6:I8, (A$6:A8-A$5:A7)))/1000), ""))</f>
        <v/>
      </c>
      <c r="M8" s="1">
        <f>M7+10</f>
        <v/>
      </c>
      <c r="N8" s="1">
        <f>O7</f>
        <v/>
      </c>
      <c r="Q8" t="inlineStr">
        <is>
          <t>200mL/3s/30s</t>
        </is>
      </c>
      <c r="U8" s="1">
        <f>IF(O8="", "", (N8-O8)*1000/(M8-M7))</f>
        <v/>
      </c>
      <c r="V8" s="1">
        <f>IF(U8="","",U8/R$2/3)</f>
        <v/>
      </c>
      <c r="W8" s="1">
        <f>IF(U8="","", 100*_xlfn.STDEV.P(U7:U8)/AVERAGE(U7:U8))</f>
        <v/>
      </c>
      <c r="X8" s="8">
        <f t="array" ref="X8">IF(U8="","", IFERROR(((IF(U$5&lt;&gt;"", U$5*M$5, 0) + SUMPRODUCT(--(U$6:U8&lt;&gt;""), U$6:U8, (M$6:M8-M$5:M7)))/1000), ""))</f>
        <v/>
      </c>
    </row>
    <row r="9">
      <c r="A9" s="1">
        <f>A8+10</f>
        <v/>
      </c>
      <c r="B9" s="1">
        <f>C8</f>
        <v/>
      </c>
      <c r="E9" t="inlineStr">
        <is>
          <t>200mL/3s/30s</t>
        </is>
      </c>
      <c r="I9" s="1">
        <f>IF(C9="", "", (B9-C9)*1000/(A9-A8))</f>
        <v/>
      </c>
      <c r="J9" s="1">
        <f>IF(I9="","",I9/F$2/3)</f>
        <v/>
      </c>
      <c r="K9" s="1">
        <f>IF(I9="","", 100*_xlfn.STDEV.P(I8:I9)/AVERAGE(I8:I9))</f>
        <v/>
      </c>
      <c r="L9" s="8">
        <f t="array" ref="L9">IF(I9="","", IFERROR(((IF(I$5&lt;&gt;"", I$5*A$5, 0) + SUMPRODUCT(--(I$6:I9&lt;&gt;""), I$6:I9, (A$6:A9-A$5:A8)))/1000), ""))</f>
        <v/>
      </c>
      <c r="M9" s="1">
        <f>M8+10</f>
        <v/>
      </c>
      <c r="N9" s="1">
        <f>O8</f>
        <v/>
      </c>
      <c r="Q9" t="inlineStr">
        <is>
          <t>200mL/3s/30s</t>
        </is>
      </c>
      <c r="U9" s="1">
        <f>IF(O9="", "", (N9-O9)*1000/(M9-M8))</f>
        <v/>
      </c>
      <c r="V9" s="1">
        <f>IF(U9="","",U9/R$2/3)</f>
        <v/>
      </c>
      <c r="W9" s="1">
        <f>IF(U9="","", 100*_xlfn.STDEV.P(U8:U9)/AVERAGE(U8:U9))</f>
        <v/>
      </c>
      <c r="X9" s="8">
        <f t="array" ref="X9">IF(U9="","", IFERROR(((IF(U$5&lt;&gt;"", U$5*M$5, 0) + SUMPRODUCT(--(U$6:U9&lt;&gt;""), U$6:U9, (M$6:M9-M$5:M8)))/1000), ""))</f>
        <v/>
      </c>
    </row>
    <row r="10">
      <c r="A10" s="1">
        <f>A9+10</f>
        <v/>
      </c>
      <c r="B10" s="1">
        <f>C9</f>
        <v/>
      </c>
      <c r="E10" t="inlineStr">
        <is>
          <t>200mL/3s/30s</t>
        </is>
      </c>
      <c r="I10" s="1">
        <f>IF(C10="", "", (B10-C10)*1000/(A10-A9))</f>
        <v/>
      </c>
      <c r="J10" s="1">
        <f>IF(I10="","",I10/F$2/3)</f>
        <v/>
      </c>
      <c r="K10" s="1">
        <f>IF(I10="","", 100*_xlfn.STDEV.P(I9:I10)/AVERAGE(I9:I10))</f>
        <v/>
      </c>
      <c r="L10" s="8">
        <f t="array" ref="L10">IF(I10="","", IFERROR(((IF(I$5&lt;&gt;"", I$5*A$5, 0) + SUMPRODUCT(--(I$6:I10&lt;&gt;""), I$6:I10, (A$6:A10-A$5:A9)))/1000), ""))</f>
        <v/>
      </c>
      <c r="M10" s="1">
        <f>M9+10</f>
        <v/>
      </c>
      <c r="N10" s="1">
        <f>O9</f>
        <v/>
      </c>
      <c r="Q10" t="inlineStr">
        <is>
          <t>200mL/3s/30s</t>
        </is>
      </c>
      <c r="U10" s="1">
        <f>IF(O10="", "", (N10-O10)*1000/(M10-M9))</f>
        <v/>
      </c>
      <c r="V10" s="1">
        <f>IF(U10="","",U10/R$2/3)</f>
        <v/>
      </c>
      <c r="W10" s="1">
        <f>IF(U10="","", 100*_xlfn.STDEV.P(U9:U10)/AVERAGE(U9:U10))</f>
        <v/>
      </c>
      <c r="X10" s="8">
        <f t="array" ref="X10">IF(U10="","", IFERROR(((IF(U$5&lt;&gt;"", U$5*M$5, 0) + SUMPRODUCT(--(U$6:U10&lt;&gt;""), U$6:U10, (M$6:M10-M$5:M9)))/1000), ""))</f>
        <v/>
      </c>
    </row>
    <row r="11">
      <c r="A11" s="1">
        <f>A10+10</f>
        <v/>
      </c>
      <c r="B11" s="1">
        <f>C10</f>
        <v/>
      </c>
      <c r="E11" t="inlineStr">
        <is>
          <t>200mL/3s/30s</t>
        </is>
      </c>
      <c r="I11" s="1">
        <f>IF(C11="", "", (B11-C11)*1000/(A11-A10))</f>
        <v/>
      </c>
      <c r="J11" s="1">
        <f>IF(I11="","",I11/F$2/3)</f>
        <v/>
      </c>
      <c r="K11" s="1">
        <f>IF(I11="","", 100*_xlfn.STDEV.P(I10:I11)/AVERAGE(I10:I11))</f>
        <v/>
      </c>
      <c r="L11" s="8">
        <f t="array" ref="L11">IF(I11="","", IFERROR(((IF(I$5&lt;&gt;"", I$5*A$5, 0) + SUMPRODUCT(--(I$6:I11&lt;&gt;""), I$6:I11, (A$6:A11-A$5:A10)))/1000), ""))</f>
        <v/>
      </c>
      <c r="M11" s="1">
        <f>M10+10</f>
        <v/>
      </c>
      <c r="N11" s="1">
        <f>O10</f>
        <v/>
      </c>
      <c r="Q11" t="inlineStr">
        <is>
          <t>200mL/3s/30s</t>
        </is>
      </c>
      <c r="U11" s="1">
        <f>IF(O11="", "", (N11-O11)*1000/(M11-M10))</f>
        <v/>
      </c>
      <c r="V11" s="1">
        <f>IF(U11="","",U11/R$2/3)</f>
        <v/>
      </c>
      <c r="W11" s="1">
        <f>IF(U11="","", 100*_xlfn.STDEV.P(U10:U11)/AVERAGE(U10:U11))</f>
        <v/>
      </c>
      <c r="X11" s="8">
        <f t="array" ref="X11">IF(U11="","", IFERROR(((IF(U$5&lt;&gt;"", U$5*M$5, 0) + SUMPRODUCT(--(U$6:U11&lt;&gt;""), U$6:U11, (M$6:M11-M$5:M10)))/1000), ""))</f>
        <v/>
      </c>
    </row>
    <row r="12">
      <c r="A12" s="1">
        <f>A11+10</f>
        <v/>
      </c>
      <c r="B12" s="1">
        <f>C11</f>
        <v/>
      </c>
      <c r="E12" t="inlineStr">
        <is>
          <t>200mL/3s/30s</t>
        </is>
      </c>
      <c r="I12" s="1">
        <f>IF(C12="", "", (B12-C12)*1000/(A12-A11))</f>
        <v/>
      </c>
      <c r="J12" s="1">
        <f>IF(I12="","",I12/F$2/3)</f>
        <v/>
      </c>
      <c r="K12" s="1">
        <f>IF(I12="","", 100*_xlfn.STDEV.P(I11:I12)/AVERAGE(I11:I12))</f>
        <v/>
      </c>
      <c r="L12" s="8">
        <f t="array" ref="L12">IF(I12="","", IFERROR(((IF(I$5&lt;&gt;"", I$5*A$5, 0) + SUMPRODUCT(--(I$6:I12&lt;&gt;""), I$6:I12, (A$6:A12-A$5:A11)))/1000), ""))</f>
        <v/>
      </c>
      <c r="M12" s="1">
        <f>M11+10</f>
        <v/>
      </c>
      <c r="N12" s="1">
        <f>O11</f>
        <v/>
      </c>
      <c r="Q12" t="inlineStr">
        <is>
          <t>200mL/3s/30s</t>
        </is>
      </c>
      <c r="U12" s="1">
        <f>IF(O12="", "", (N12-O12)*1000/(M12-M11))</f>
        <v/>
      </c>
      <c r="V12" s="1">
        <f>IF(U12="","",U12/R$2/3)</f>
        <v/>
      </c>
      <c r="W12" s="1">
        <f>IF(U12="","", 100*_xlfn.STDEV.P(U11:U12)/AVERAGE(U11:U12))</f>
        <v/>
      </c>
      <c r="X12" s="8">
        <f t="array" ref="X12">IF(U12="","", IFERROR(((IF(U$5&lt;&gt;"", U$5*M$5, 0) + SUMPRODUCT(--(U$6:U12&lt;&gt;""), U$6:U12, (M$6:M12-M$5:M11)))/1000), ""))</f>
        <v/>
      </c>
    </row>
    <row r="13">
      <c r="A13" s="1">
        <f>A12+10</f>
        <v/>
      </c>
      <c r="B13" s="1">
        <f>C12</f>
        <v/>
      </c>
      <c r="E13" t="inlineStr">
        <is>
          <t>200mL/3s/30s</t>
        </is>
      </c>
      <c r="I13" s="1">
        <f>IF(C13="", "", (B13-C13)*1000/(A13-A12))</f>
        <v/>
      </c>
      <c r="J13" s="1">
        <f>IF(I13="","",I13/F$2/3)</f>
        <v/>
      </c>
      <c r="K13" s="1">
        <f>IF(I13="","", 100*_xlfn.STDEV.P(I12:I13)/AVERAGE(I12:I13))</f>
        <v/>
      </c>
      <c r="L13" s="8">
        <f t="array" ref="L13">IF(I13="","", IFERROR(((IF(I$5&lt;&gt;"", I$5*A$5, 0) + SUMPRODUCT(--(I$6:I13&lt;&gt;""), I$6:I13, (A$6:A13-A$5:A12)))/1000), ""))</f>
        <v/>
      </c>
      <c r="M13" s="1">
        <f>M12+10</f>
        <v/>
      </c>
      <c r="N13" s="1">
        <f>O12</f>
        <v/>
      </c>
      <c r="Q13" t="inlineStr">
        <is>
          <t>200mL/3s/30s</t>
        </is>
      </c>
      <c r="U13" s="1">
        <f>IF(O13="", "", (N13-O13)*1000/(M13-M12))</f>
        <v/>
      </c>
      <c r="V13" s="1">
        <f>IF(U13="","",U13/R$2/3)</f>
        <v/>
      </c>
      <c r="W13" s="1">
        <f>IF(U13="","", 100*_xlfn.STDEV.P(U12:U13)/AVERAGE(U12:U13))</f>
        <v/>
      </c>
      <c r="X13" s="8">
        <f t="array" ref="X13">IF(U13="","", IFERROR(((IF(U$5&lt;&gt;"", U$5*M$5, 0) + SUMPRODUCT(--(U$6:U13&lt;&gt;""), U$6:U13, (M$6:M13-M$5:M12)))/1000), ""))</f>
        <v/>
      </c>
    </row>
    <row r="14">
      <c r="A14" s="1">
        <f>A13+10</f>
        <v/>
      </c>
      <c r="B14" s="1">
        <f>C13</f>
        <v/>
      </c>
      <c r="E14" t="inlineStr">
        <is>
          <t>200mL/3s/30s</t>
        </is>
      </c>
      <c r="I14" s="1">
        <f>IF(C14="", "", (B14-C14)*1000/(A14-A13))</f>
        <v/>
      </c>
      <c r="J14" s="1">
        <f>IF(I14="","",I14/F$2/3)</f>
        <v/>
      </c>
      <c r="K14" s="1">
        <f>IF(I14="","", 100*_xlfn.STDEV.P(I13:I14)/AVERAGE(I13:I14))</f>
        <v/>
      </c>
      <c r="L14" s="8">
        <f t="array" ref="L14">IF(I14="","", IFERROR(((IF(I$5&lt;&gt;"", I$5*A$5, 0) + SUMPRODUCT(--(I$6:I14&lt;&gt;""), I$6:I14, (A$6:A14-A$5:A13)))/1000), ""))</f>
        <v/>
      </c>
      <c r="M14" s="1">
        <f>M13+10</f>
        <v/>
      </c>
      <c r="N14" s="1">
        <f>O13</f>
        <v/>
      </c>
      <c r="Q14" t="inlineStr">
        <is>
          <t>200mL/3s/30s</t>
        </is>
      </c>
      <c r="U14" s="1">
        <f>IF(O14="", "", (N14-O14)*1000/(M14-M13))</f>
        <v/>
      </c>
      <c r="V14" s="1">
        <f>IF(U14="","",U14/R$2/3)</f>
        <v/>
      </c>
      <c r="W14" s="1">
        <f>IF(U14="","", 100*_xlfn.STDEV.P(U13:U14)/AVERAGE(U13:U14))</f>
        <v/>
      </c>
      <c r="X14" s="8">
        <f t="array" ref="X14">IF(U14="","", IFERROR(((IF(U$5&lt;&gt;"", U$5*M$5, 0) + SUMPRODUCT(--(U$6:U14&lt;&gt;""), U$6:U14, (M$6:M14-M$5:M13)))/1000), ""))</f>
        <v/>
      </c>
    </row>
    <row r="15">
      <c r="A15" s="1">
        <f>A14+10</f>
        <v/>
      </c>
      <c r="B15" s="1">
        <f>C14</f>
        <v/>
      </c>
      <c r="E15" t="inlineStr">
        <is>
          <t>200mL/3s/30s</t>
        </is>
      </c>
      <c r="I15" s="1">
        <f>IF(C15="", "", (B15-C15)*1000/(A15-A14))</f>
        <v/>
      </c>
      <c r="J15" s="1">
        <f>IF(I15="","",I15/F$2/3)</f>
        <v/>
      </c>
      <c r="K15" s="1">
        <f>IF(I15="","", 100*_xlfn.STDEV.P(I14:I15)/AVERAGE(I14:I15))</f>
        <v/>
      </c>
      <c r="L15" s="8">
        <f t="array" ref="L15">IF(I15="","", IFERROR(((IF(I$5&lt;&gt;"", I$5*A$5, 0) + SUMPRODUCT(--(I$6:I15&lt;&gt;""), I$6:I15, (A$6:A15-A$5:A14)))/1000), ""))</f>
        <v/>
      </c>
      <c r="M15" s="1">
        <f>M14+10</f>
        <v/>
      </c>
      <c r="N15" s="1">
        <f>O14</f>
        <v/>
      </c>
      <c r="Q15" t="inlineStr">
        <is>
          <t>200mL/3s/30s</t>
        </is>
      </c>
      <c r="U15" s="1">
        <f>IF(O15="", "", (N15-O15)*1000/(M15-M14))</f>
        <v/>
      </c>
      <c r="V15" s="1">
        <f>IF(U15="","",U15/R$2/3)</f>
        <v/>
      </c>
      <c r="W15" s="1">
        <f>IF(U15="","", 100*_xlfn.STDEV.P(U14:U15)/AVERAGE(U14:U15))</f>
        <v/>
      </c>
      <c r="X15" s="8">
        <f t="array" ref="X15">IF(U15="","", IFERROR(((IF(U$5&lt;&gt;"", U$5*M$5, 0) + SUMPRODUCT(--(U$6:U15&lt;&gt;""), U$6:U15, (M$6:M15-M$5:M14)))/1000), ""))</f>
        <v/>
      </c>
    </row>
    <row r="16">
      <c r="A16" s="1">
        <f>A15+10</f>
        <v/>
      </c>
      <c r="B16" s="1">
        <f>C15</f>
        <v/>
      </c>
      <c r="E16" t="inlineStr">
        <is>
          <t>200mL/3s/30s</t>
        </is>
      </c>
      <c r="I16" s="1">
        <f>IF(C16="", "", (B16-C16)*1000/(A16-A15))</f>
        <v/>
      </c>
      <c r="J16" s="1">
        <f>IF(I16="","",I16/F$2/3)</f>
        <v/>
      </c>
      <c r="K16" s="1">
        <f>IF(I16="","", 100*_xlfn.STDEV.P(I15:I16)/AVERAGE(I15:I16))</f>
        <v/>
      </c>
      <c r="L16" s="8">
        <f t="array" ref="L16">IF(I16="","", IFERROR(((IF(I$5&lt;&gt;"", I$5*A$5, 0) + SUMPRODUCT(--(I$6:I16&lt;&gt;""), I$6:I16, (A$6:A16-A$5:A15)))/1000), ""))</f>
        <v/>
      </c>
      <c r="M16" s="1">
        <f>M15+10</f>
        <v/>
      </c>
      <c r="N16" s="1">
        <f>O15</f>
        <v/>
      </c>
      <c r="Q16" t="inlineStr">
        <is>
          <t>200mL/3s/30s</t>
        </is>
      </c>
      <c r="U16" s="1">
        <f>IF(O16="", "", (N16-O16)*1000/(M16-M15))</f>
        <v/>
      </c>
      <c r="V16" s="1">
        <f>IF(U16="","",U16/R$2/3)</f>
        <v/>
      </c>
      <c r="W16" s="1">
        <f>IF(U16="","", 100*_xlfn.STDEV.P(U15:U16)/AVERAGE(U15:U16))</f>
        <v/>
      </c>
      <c r="X16" s="8">
        <f t="array" ref="X16">IF(U16="","", IFERROR(((IF(U$5&lt;&gt;"", U$5*M$5, 0) + SUMPRODUCT(--(U$6:U16&lt;&gt;""), U$6:U16, (M$6:M16-M$5:M15)))/1000), ""))</f>
        <v/>
      </c>
    </row>
    <row r="17">
      <c r="A17" s="1">
        <f>A16+10</f>
        <v/>
      </c>
      <c r="B17" s="1">
        <f>C16</f>
        <v/>
      </c>
      <c r="E17" t="inlineStr">
        <is>
          <t>200mL/3s/30s</t>
        </is>
      </c>
      <c r="I17" s="1">
        <f>IF(C17="", "", (B17-C17)*1000/(A17-A16))</f>
        <v/>
      </c>
      <c r="J17" s="1">
        <f>IF(I17="","",I17/F$2/3)</f>
        <v/>
      </c>
      <c r="K17" s="1">
        <f>IF(I17="","", 100*_xlfn.STDEV.P(I16:I17)/AVERAGE(I16:I17))</f>
        <v/>
      </c>
      <c r="L17" s="8">
        <f t="array" ref="L17">IF(I17="","", IFERROR(((IF(I$5&lt;&gt;"", I$5*A$5, 0) + SUMPRODUCT(--(I$6:I17&lt;&gt;""), I$6:I17, (A$6:A17-A$5:A16)))/1000), ""))</f>
        <v/>
      </c>
      <c r="M17" s="1">
        <f>M16+10</f>
        <v/>
      </c>
      <c r="N17" s="1">
        <f>O16</f>
        <v/>
      </c>
      <c r="Q17" t="inlineStr">
        <is>
          <t>200mL/3s/30s</t>
        </is>
      </c>
      <c r="U17" s="1">
        <f>IF(O17="", "", (N17-O17)*1000/(M17-M16))</f>
        <v/>
      </c>
      <c r="V17" s="1">
        <f>IF(U17="","",U17/R$2/3)</f>
        <v/>
      </c>
      <c r="W17" s="1">
        <f>IF(U17="","", 100*_xlfn.STDEV.P(U16:U17)/AVERAGE(U16:U17))</f>
        <v/>
      </c>
      <c r="X17" s="8">
        <f t="array" ref="X17">IF(U17="","", IFERROR(((IF(U$5&lt;&gt;"", U$5*M$5, 0) + SUMPRODUCT(--(U$6:U17&lt;&gt;""), U$6:U17, (M$6:M17-M$5:M16)))/1000), ""))</f>
        <v/>
      </c>
    </row>
    <row r="18">
      <c r="A18" s="1">
        <f>A17+10</f>
        <v/>
      </c>
      <c r="B18" s="1">
        <f>C17</f>
        <v/>
      </c>
      <c r="E18" t="inlineStr">
        <is>
          <t>200mL/3s/30s</t>
        </is>
      </c>
      <c r="I18" s="1">
        <f>IF(C18="", "", (B18-C18)*1000/(A18-A17))</f>
        <v/>
      </c>
      <c r="J18" s="1">
        <f>IF(I18="","",I18/F$2/3)</f>
        <v/>
      </c>
      <c r="K18" s="1">
        <f>IF(I18="","", 100*_xlfn.STDEV.P(I17:I18)/AVERAGE(I17:I18))</f>
        <v/>
      </c>
      <c r="L18" s="8">
        <f t="array" ref="L18">IF(I18="","", IFERROR(((IF(I$5&lt;&gt;"", I$5*A$5, 0) + SUMPRODUCT(--(I$6:I18&lt;&gt;""), I$6:I18, (A$6:A18-A$5:A17)))/1000), ""))</f>
        <v/>
      </c>
      <c r="M18" s="1">
        <f>M17+10</f>
        <v/>
      </c>
      <c r="N18" s="1">
        <f>O17</f>
        <v/>
      </c>
      <c r="Q18" t="inlineStr">
        <is>
          <t>200mL/3s/30s</t>
        </is>
      </c>
      <c r="U18" s="1">
        <f>IF(O18="", "", (N18-O18)*1000/(M18-M17))</f>
        <v/>
      </c>
      <c r="V18" s="1">
        <f>IF(U18="","",U18/R$2/3)</f>
        <v/>
      </c>
      <c r="W18" s="1">
        <f>IF(U18="","", 100*_xlfn.STDEV.P(U17:U18)/AVERAGE(U17:U18))</f>
        <v/>
      </c>
      <c r="X18" s="8">
        <f t="array" ref="X18">IF(U18="","", IFERROR(((IF(U$5&lt;&gt;"", U$5*M$5, 0) + SUMPRODUCT(--(U$6:U18&lt;&gt;""), U$6:U18, (M$6:M18-M$5:M17)))/1000), ""))</f>
        <v/>
      </c>
    </row>
    <row r="19">
      <c r="A19" s="1">
        <f>A18+10</f>
        <v/>
      </c>
      <c r="B19" s="1">
        <f>C18</f>
        <v/>
      </c>
      <c r="E19" t="inlineStr">
        <is>
          <t>200mL/3s/30s</t>
        </is>
      </c>
      <c r="I19" s="1">
        <f>IF(C19="", "", (B19-C19)*1000/(A19-A18))</f>
        <v/>
      </c>
      <c r="J19" s="1">
        <f>IF(I19="","",I19/F$2/3)</f>
        <v/>
      </c>
      <c r="K19" s="1">
        <f>IF(I19="","", 100*_xlfn.STDEV.P(I18:I19)/AVERAGE(I18:I19))</f>
        <v/>
      </c>
      <c r="L19" s="8">
        <f t="array" ref="L19">IF(I19="","", IFERROR(((IF(I$5&lt;&gt;"", I$5*A$5, 0) + SUMPRODUCT(--(I$6:I19&lt;&gt;""), I$6:I19, (A$6:A19-A$5:A18)))/1000), ""))</f>
        <v/>
      </c>
      <c r="M19" s="1">
        <f>M18+10</f>
        <v/>
      </c>
      <c r="N19" s="1">
        <f>O18</f>
        <v/>
      </c>
      <c r="Q19" t="inlineStr">
        <is>
          <t>200mL/3s/30s</t>
        </is>
      </c>
      <c r="U19" s="1">
        <f>IF(O19="", "", (N19-O19)*1000/(M19-M18))</f>
        <v/>
      </c>
      <c r="V19" s="1">
        <f>IF(U19="","",U19/R$2/3)</f>
        <v/>
      </c>
      <c r="W19" s="1">
        <f>IF(U19="","", 100*_xlfn.STDEV.P(U18:U19)/AVERAGE(U18:U19))</f>
        <v/>
      </c>
      <c r="X19" s="8">
        <f t="array" ref="X19">IF(U19="","", IFERROR(((IF(U$5&lt;&gt;"", U$5*M$5, 0) + SUMPRODUCT(--(U$6:U19&lt;&gt;""), U$6:U19, (M$6:M19-M$5:M18)))/1000), ""))</f>
        <v/>
      </c>
    </row>
    <row r="20">
      <c r="A20" s="1">
        <f>A19+10</f>
        <v/>
      </c>
      <c r="B20" s="1">
        <f>C19</f>
        <v/>
      </c>
      <c r="E20" t="inlineStr">
        <is>
          <t>200mL/3s/30s</t>
        </is>
      </c>
      <c r="I20" s="1">
        <f>IF(C20="", "", (B20-C20)*1000/(A20-A19))</f>
        <v/>
      </c>
      <c r="J20" s="1">
        <f>IF(I20="","",I20/F$2/3)</f>
        <v/>
      </c>
      <c r="K20" s="1">
        <f>IF(I20="","", 100*_xlfn.STDEV.P(I19:I20)/AVERAGE(I19:I20))</f>
        <v/>
      </c>
      <c r="L20" s="8">
        <f t="array" ref="L20">IF(I20="","", IFERROR(((IF(I$5&lt;&gt;"", I$5*A$5, 0) + SUMPRODUCT(--(I$6:I20&lt;&gt;""), I$6:I20, (A$6:A20-A$5:A19)))/1000), ""))</f>
        <v/>
      </c>
      <c r="M20" s="1">
        <f>M19+10</f>
        <v/>
      </c>
      <c r="N20" s="1">
        <f>O19</f>
        <v/>
      </c>
      <c r="Q20" t="inlineStr">
        <is>
          <t>200mL/3s/30s</t>
        </is>
      </c>
      <c r="U20" s="1">
        <f>IF(O20="", "", (N20-O20)*1000/(M20-M19))</f>
        <v/>
      </c>
      <c r="V20" s="1">
        <f>IF(U20="","",U20/R$2/3)</f>
        <v/>
      </c>
      <c r="W20" s="1">
        <f>IF(U20="","", 100*_xlfn.STDEV.P(U19:U20)/AVERAGE(U19:U20))</f>
        <v/>
      </c>
      <c r="X20" s="8">
        <f t="array" ref="X20">IF(U20="","", IFERROR(((IF(U$5&lt;&gt;"", U$5*M$5, 0) + SUMPRODUCT(--(U$6:U20&lt;&gt;""), U$6:U20, (M$6:M20-M$5:M19)))/1000), ""))</f>
        <v/>
      </c>
    </row>
    <row r="21">
      <c r="A21" s="1">
        <f>A20+10</f>
        <v/>
      </c>
      <c r="B21" s="1">
        <f>C20</f>
        <v/>
      </c>
      <c r="E21" t="inlineStr">
        <is>
          <t>200mL/3s/30s</t>
        </is>
      </c>
      <c r="I21" s="1">
        <f>IF(C21="", "", (B21-C21)*1000/(A21-A20))</f>
        <v/>
      </c>
      <c r="J21" s="1">
        <f>IF(I21="","",I21/F$2/3)</f>
        <v/>
      </c>
      <c r="K21" s="1">
        <f>IF(I21="","", 100*_xlfn.STDEV.P(I20:I21)/AVERAGE(I20:I21))</f>
        <v/>
      </c>
      <c r="L21" s="8">
        <f t="array" ref="L21">IF(I21="","", IFERROR(((IF(I$5&lt;&gt;"", I$5*A$5, 0) + SUMPRODUCT(--(I$6:I21&lt;&gt;""), I$6:I21, (A$6:A21-A$5:A20)))/1000), ""))</f>
        <v/>
      </c>
      <c r="M21" s="1">
        <f>M20+10</f>
        <v/>
      </c>
      <c r="N21" s="1">
        <f>O20</f>
        <v/>
      </c>
      <c r="Q21" t="inlineStr">
        <is>
          <t>200mL/3s/30s</t>
        </is>
      </c>
      <c r="U21" s="1">
        <f>IF(O21="", "", (N21-O21)*1000/(M21-M20))</f>
        <v/>
      </c>
      <c r="V21" s="1">
        <f>IF(U21="","",U21/R$2/3)</f>
        <v/>
      </c>
      <c r="W21" s="1">
        <f>IF(U21="","", 100*_xlfn.STDEV.P(U20:U21)/AVERAGE(U20:U21))</f>
        <v/>
      </c>
      <c r="X21" s="8">
        <f t="array" ref="X21">IF(U21="","", IFERROR(((IF(U$5&lt;&gt;"", U$5*M$5, 0) + SUMPRODUCT(--(U$6:U21&lt;&gt;""), U$6:U21, (M$6:M21-M$5:M20)))/1000), ""))</f>
        <v/>
      </c>
    </row>
    <row r="22">
      <c r="A22" s="1">
        <f>A21+10</f>
        <v/>
      </c>
      <c r="B22" s="1">
        <f>C21</f>
        <v/>
      </c>
      <c r="E22" t="inlineStr">
        <is>
          <t>200mL/3s/30s</t>
        </is>
      </c>
      <c r="I22" s="1">
        <f>IF(C22="", "", (B22-C22)*1000/(A22-A21))</f>
        <v/>
      </c>
      <c r="J22" s="1">
        <f>IF(I22="","",I22/F$2/3)</f>
        <v/>
      </c>
      <c r="K22" s="1">
        <f>IF(I22="","", 100*_xlfn.STDEV.P(I21:I22)/AVERAGE(I21:I22))</f>
        <v/>
      </c>
      <c r="L22" s="8">
        <f t="array" ref="L22">IF(I22="","", IFERROR(((IF(I$5&lt;&gt;"", I$5*A$5, 0) + SUMPRODUCT(--(I$6:I22&lt;&gt;""), I$6:I22, (A$6:A22-A$5:A21)))/1000), ""))</f>
        <v/>
      </c>
      <c r="M22" s="1">
        <f>M21+10</f>
        <v/>
      </c>
      <c r="N22" s="1">
        <f>O21</f>
        <v/>
      </c>
      <c r="Q22" t="inlineStr">
        <is>
          <t>200mL/3s/30s</t>
        </is>
      </c>
      <c r="U22" s="1">
        <f>IF(O22="", "", (N22-O22)*1000/(M22-M21))</f>
        <v/>
      </c>
      <c r="V22" s="1">
        <f>IF(U22="","",U22/R$2/3)</f>
        <v/>
      </c>
      <c r="W22" s="1">
        <f>IF(U22="","", 100*_xlfn.STDEV.P(U21:U22)/AVERAGE(U21:U22))</f>
        <v/>
      </c>
      <c r="X22" s="8">
        <f t="array" ref="X22">IF(U22="","", IFERROR(((IF(U$5&lt;&gt;"", U$5*M$5, 0) + SUMPRODUCT(--(U$6:U22&lt;&gt;""), U$6:U22, (M$6:M22-M$5:M21)))/1000), ""))</f>
        <v/>
      </c>
    </row>
    <row r="23">
      <c r="A23" s="1">
        <f>A22+10</f>
        <v/>
      </c>
      <c r="B23" s="1">
        <f>C22</f>
        <v/>
      </c>
      <c r="E23" t="inlineStr">
        <is>
          <t>200mL/3s/30s</t>
        </is>
      </c>
      <c r="I23" s="1">
        <f>IF(C23="", "", (B23-C23)*1000/(A23-A22))</f>
        <v/>
      </c>
      <c r="J23" s="1">
        <f>IF(I23="","",I23/F$2/3)</f>
        <v/>
      </c>
      <c r="K23" s="1">
        <f>IF(I23="","", 100*_xlfn.STDEV.P(I22:I23)/AVERAGE(I22:I23))</f>
        <v/>
      </c>
      <c r="L23" s="8">
        <f t="array" ref="L23">IF(I23="","", IFERROR(((IF(I$5&lt;&gt;"", I$5*A$5, 0) + SUMPRODUCT(--(I$6:I23&lt;&gt;""), I$6:I23, (A$6:A23-A$5:A22)))/1000), ""))</f>
        <v/>
      </c>
      <c r="M23" s="1">
        <f>M22+10</f>
        <v/>
      </c>
      <c r="N23" s="1">
        <f>O22</f>
        <v/>
      </c>
      <c r="Q23" t="inlineStr">
        <is>
          <t>200mL/3s/30s</t>
        </is>
      </c>
      <c r="U23" s="1">
        <f>IF(O23="", "", (N23-O23)*1000/(M23-M22))</f>
        <v/>
      </c>
      <c r="V23" s="1">
        <f>IF(U23="","",U23/R$2/3)</f>
        <v/>
      </c>
      <c r="W23" s="1">
        <f>IF(U23="","", 100*_xlfn.STDEV.P(U22:U23)/AVERAGE(U22:U23))</f>
        <v/>
      </c>
      <c r="X23" s="8">
        <f t="array" ref="X23">IF(U23="","", IFERROR(((IF(U$5&lt;&gt;"", U$5*M$5, 0) + SUMPRODUCT(--(U$6:U23&lt;&gt;""), U$6:U23, (M$6:M23-M$5:M22)))/1000), ""))</f>
        <v/>
      </c>
    </row>
    <row r="24">
      <c r="A24" s="1">
        <f>A23+10</f>
        <v/>
      </c>
      <c r="B24" s="1">
        <f>C23</f>
        <v/>
      </c>
      <c r="E24" t="inlineStr">
        <is>
          <t>200mL/3s/30s</t>
        </is>
      </c>
      <c r="I24" s="1">
        <f>IF(C24="", "", (B24-C24)*1000/(A24-A23))</f>
        <v/>
      </c>
      <c r="J24" s="1">
        <f>IF(I24="","",I24/F$2/3)</f>
        <v/>
      </c>
      <c r="K24" s="1">
        <f>IF(I24="","", 100*_xlfn.STDEV.P(I23:I24)/AVERAGE(I23:I24))</f>
        <v/>
      </c>
      <c r="L24" s="8">
        <f t="array" ref="L24">IF(I24="","", IFERROR(((IF(I$5&lt;&gt;"", I$5*A$5, 0) + SUMPRODUCT(--(I$6:I24&lt;&gt;""), I$6:I24, (A$6:A24-A$5:A23)))/1000), ""))</f>
        <v/>
      </c>
      <c r="M24" s="1">
        <f>M23+10</f>
        <v/>
      </c>
      <c r="N24" s="1">
        <f>O23</f>
        <v/>
      </c>
      <c r="Q24" t="inlineStr">
        <is>
          <t>200mL/3s/30s</t>
        </is>
      </c>
      <c r="U24" s="1">
        <f>IF(O24="", "", (N24-O24)*1000/(M24-M23))</f>
        <v/>
      </c>
      <c r="V24" s="1">
        <f>IF(U24="","",U24/R$2/3)</f>
        <v/>
      </c>
      <c r="W24" s="1">
        <f>IF(U24="","", 100*_xlfn.STDEV.P(U23:U24)/AVERAGE(U23:U24))</f>
        <v/>
      </c>
      <c r="X24" s="8">
        <f t="array" ref="X24">IF(U24="","", IFERROR(((IF(U$5&lt;&gt;"", U$5*M$5, 0) + SUMPRODUCT(--(U$6:U24&lt;&gt;""), U$6:U24, (M$6:M24-M$5:M23)))/1000), ""))</f>
        <v/>
      </c>
    </row>
    <row r="25">
      <c r="A25" s="1">
        <f>A24+10</f>
        <v/>
      </c>
      <c r="B25" s="1">
        <f>C24</f>
        <v/>
      </c>
      <c r="E25" t="inlineStr">
        <is>
          <t>200mL/3s/30s</t>
        </is>
      </c>
      <c r="I25" s="1">
        <f>IF(C25="", "", (B25-C25)*1000/(A25-A24))</f>
        <v/>
      </c>
      <c r="J25" s="1">
        <f>IF(I25="","",I25/F$2/3)</f>
        <v/>
      </c>
      <c r="K25" s="1">
        <f>IF(I25="","", 100*_xlfn.STDEV.P(I24:I25)/AVERAGE(I24:I25))</f>
        <v/>
      </c>
      <c r="L25" s="8">
        <f t="array" ref="L25">IF(I25="","", IFERROR(((IF(I$5&lt;&gt;"", I$5*A$5, 0) + SUMPRODUCT(--(I$6:I25&lt;&gt;""), I$6:I25, (A$6:A25-A$5:A24)))/1000), ""))</f>
        <v/>
      </c>
      <c r="M25" s="1">
        <f>M24+10</f>
        <v/>
      </c>
      <c r="N25" s="1">
        <f>O24</f>
        <v/>
      </c>
      <c r="Q25" t="inlineStr">
        <is>
          <t>200mL/3s/30s</t>
        </is>
      </c>
      <c r="U25" s="1">
        <f>IF(O25="", "", (N25-O25)*1000/(M25-M24))</f>
        <v/>
      </c>
      <c r="V25" s="1">
        <f>IF(U25="","",U25/R$2/3)</f>
        <v/>
      </c>
      <c r="W25" s="1">
        <f>IF(U25="","", 100*_xlfn.STDEV.P(U24:U25)/AVERAGE(U24:U25))</f>
        <v/>
      </c>
      <c r="X25" s="8">
        <f t="array" ref="X25">IF(U25="","", IFERROR(((IF(U$5&lt;&gt;"", U$5*M$5, 0) + SUMPRODUCT(--(U$6:U25&lt;&gt;""), U$6:U25, (M$6:M25-M$5:M24)))/1000), ""))</f>
        <v/>
      </c>
    </row>
    <row r="26">
      <c r="A26" s="1">
        <f>A25+10</f>
        <v/>
      </c>
      <c r="B26" s="1">
        <f>C25</f>
        <v/>
      </c>
      <c r="E26" t="inlineStr">
        <is>
          <t>200mL/3s/30s</t>
        </is>
      </c>
      <c r="I26" s="1">
        <f>IF(C26="", "", (B26-C26)*1000/(A26-A25))</f>
        <v/>
      </c>
      <c r="J26" s="1">
        <f>IF(I26="","",I26/F$2/3)</f>
        <v/>
      </c>
      <c r="K26" s="1">
        <f>IF(I26="","", 100*_xlfn.STDEV.P(I25:I26)/AVERAGE(I25:I26))</f>
        <v/>
      </c>
      <c r="L26" s="8">
        <f t="array" ref="L26">IF(I26="","", IFERROR(((IF(I$5&lt;&gt;"", I$5*A$5, 0) + SUMPRODUCT(--(I$6:I26&lt;&gt;""), I$6:I26, (A$6:A26-A$5:A25)))/1000), ""))</f>
        <v/>
      </c>
      <c r="M26" s="1">
        <f>M25+10</f>
        <v/>
      </c>
      <c r="N26" s="1">
        <f>O25</f>
        <v/>
      </c>
      <c r="Q26" t="inlineStr">
        <is>
          <t>200mL/3s/30s</t>
        </is>
      </c>
      <c r="U26" s="1">
        <f>IF(O26="", "", (N26-O26)*1000/(M26-M25))</f>
        <v/>
      </c>
      <c r="V26" s="1">
        <f>IF(U26="","",U26/R$2/3)</f>
        <v/>
      </c>
      <c r="W26" s="1">
        <f>IF(U26="","", 100*_xlfn.STDEV.P(U25:U26)/AVERAGE(U25:U26))</f>
        <v/>
      </c>
      <c r="X26" s="8">
        <f t="array" ref="X26">IF(U26="","", IFERROR(((IF(U$5&lt;&gt;"", U$5*M$5, 0) + SUMPRODUCT(--(U$6:U26&lt;&gt;""), U$6:U26, (M$6:M26-M$5:M25)))/1000), ""))</f>
        <v/>
      </c>
    </row>
    <row r="27">
      <c r="A27" s="1">
        <f>A26+10</f>
        <v/>
      </c>
      <c r="B27" s="1">
        <f>C26</f>
        <v/>
      </c>
      <c r="E27" t="inlineStr">
        <is>
          <t>200mL/3s/30s</t>
        </is>
      </c>
      <c r="I27" s="1">
        <f>IF(C27="", "", (B27-C27)*1000/(A27-A26))</f>
        <v/>
      </c>
      <c r="J27" s="1">
        <f>IF(I27="","",I27/F$2/3)</f>
        <v/>
      </c>
      <c r="K27" s="1">
        <f>IF(I27="","", 100*_xlfn.STDEV.P(I26:I27)/AVERAGE(I26:I27))</f>
        <v/>
      </c>
      <c r="L27" s="8">
        <f t="array" ref="L27">IF(I27="","", IFERROR(((IF(I$5&lt;&gt;"", I$5*A$5, 0) + SUMPRODUCT(--(I$6:I27&lt;&gt;""), I$6:I27, (A$6:A27-A$5:A26)))/1000), ""))</f>
        <v/>
      </c>
      <c r="M27" s="1">
        <f>M26+10</f>
        <v/>
      </c>
      <c r="N27" s="1">
        <f>O26</f>
        <v/>
      </c>
      <c r="Q27" t="inlineStr">
        <is>
          <t>200mL/3s/30s</t>
        </is>
      </c>
      <c r="U27" s="1">
        <f>IF(O27="", "", (N27-O27)*1000/(M27-M26))</f>
        <v/>
      </c>
      <c r="V27" s="1">
        <f>IF(U27="","",U27/R$2/3)</f>
        <v/>
      </c>
      <c r="W27" s="1">
        <f>IF(U27="","", 100*_xlfn.STDEV.P(U26:U27)/AVERAGE(U26:U27))</f>
        <v/>
      </c>
      <c r="X27" s="8">
        <f t="array" ref="X27">IF(U27="","", IFERROR(((IF(U$5&lt;&gt;"", U$5*M$5, 0) + SUMPRODUCT(--(U$6:U27&lt;&gt;""), U$6:U27, (M$6:M27-M$5:M26)))/1000), ""))</f>
        <v/>
      </c>
    </row>
    <row r="28">
      <c r="A28" s="1">
        <f>A27+10</f>
        <v/>
      </c>
      <c r="B28" s="1">
        <f>C27</f>
        <v/>
      </c>
      <c r="E28" t="inlineStr">
        <is>
          <t>200mL/3s/30s</t>
        </is>
      </c>
      <c r="I28" s="1">
        <f>IF(C28="", "", (B28-C28)*1000/(A28-A27))</f>
        <v/>
      </c>
      <c r="J28" s="1">
        <f>IF(I28="","",I28/F$2/3)</f>
        <v/>
      </c>
      <c r="K28" s="1">
        <f>IF(I28="","", 100*_xlfn.STDEV.P(I27:I28)/AVERAGE(I27:I28))</f>
        <v/>
      </c>
      <c r="L28" s="8">
        <f t="array" ref="L28">IF(I28="","", IFERROR(((IF(I$5&lt;&gt;"", I$5*A$5, 0) + SUMPRODUCT(--(I$6:I28&lt;&gt;""), I$6:I28, (A$6:A28-A$5:A27)))/1000), ""))</f>
        <v/>
      </c>
      <c r="M28" s="1">
        <f>M27+10</f>
        <v/>
      </c>
      <c r="N28" s="1">
        <f>O27</f>
        <v/>
      </c>
      <c r="Q28" t="inlineStr">
        <is>
          <t>200mL/3s/30s</t>
        </is>
      </c>
      <c r="U28" s="1">
        <f>IF(O28="", "", (N28-O28)*1000/(M28-M27))</f>
        <v/>
      </c>
      <c r="V28" s="1">
        <f>IF(U28="","",U28/R$2/3)</f>
        <v/>
      </c>
      <c r="W28" s="1">
        <f>IF(U28="","", 100*_xlfn.STDEV.P(U27:U28)/AVERAGE(U27:U28))</f>
        <v/>
      </c>
      <c r="X28" s="8">
        <f t="array" ref="X28">IF(U28="","", IFERROR(((IF(U$5&lt;&gt;"", U$5*M$5, 0) + SUMPRODUCT(--(U$6:U28&lt;&gt;""), U$6:U28, (M$6:M28-M$5:M27)))/1000), ""))</f>
        <v/>
      </c>
    </row>
    <row r="29">
      <c r="A29" s="1">
        <f>A28+10</f>
        <v/>
      </c>
      <c r="B29" s="1">
        <f>C28</f>
        <v/>
      </c>
      <c r="E29" t="inlineStr">
        <is>
          <t>200mL/3s/30s</t>
        </is>
      </c>
      <c r="F29" s="9" t="n"/>
      <c r="G29" s="9" t="n"/>
      <c r="H29" s="9" t="n"/>
      <c r="I29" s="1">
        <f>IF(C29="", "", (B29-C29)*1000/(A29-A28))</f>
        <v/>
      </c>
      <c r="J29" s="1">
        <f>IF(I29="","",I29/F$2/3)</f>
        <v/>
      </c>
      <c r="K29" s="1">
        <f>IF(I29="","", 100*_xlfn.STDEV.P(I28:I29)/AVERAGE(I28:I29))</f>
        <v/>
      </c>
      <c r="L29" s="8">
        <f t="array" ref="L29">IF(I29="","", IFERROR(((IF(I$5&lt;&gt;"", I$5*A$5, 0) + SUMPRODUCT(--(I$6:I29&lt;&gt;""), I$6:I29, (A$6:A29-A$5:A28)))/1000), ""))</f>
        <v/>
      </c>
      <c r="M29" s="1">
        <f>M28+10</f>
        <v/>
      </c>
      <c r="N29" s="1">
        <f>O28</f>
        <v/>
      </c>
      <c r="Q29" t="inlineStr">
        <is>
          <t>200mL/3s/30s</t>
        </is>
      </c>
      <c r="R29" s="9" t="n"/>
      <c r="S29" s="9" t="n"/>
      <c r="T29" s="9" t="n"/>
      <c r="U29" s="1">
        <f>IF(O29="", "", (N29-O29)*1000/(M29-M28))</f>
        <v/>
      </c>
      <c r="V29" s="1">
        <f>IF(U29="","",U29/R$2/3)</f>
        <v/>
      </c>
      <c r="W29" s="1">
        <f>IF(U29="","", 100*_xlfn.STDEV.P(U28:U29)/AVERAGE(U28:U29))</f>
        <v/>
      </c>
      <c r="X29" s="8">
        <f t="array" ref="X29">IF(U29="","", IFERROR(((IF(U$5&lt;&gt;"", U$5*M$5, 0) + SUMPRODUCT(--(U$6:U29&lt;&gt;""), U$6:U29, (M$6:M29-M$5:M28)))/1000), ""))</f>
        <v/>
      </c>
    </row>
    <row r="30">
      <c r="A30" s="1">
        <f>A29+10</f>
        <v/>
      </c>
      <c r="B30" s="1">
        <f>C29</f>
        <v/>
      </c>
      <c r="E30" t="inlineStr">
        <is>
          <t>200mL/3s/30s</t>
        </is>
      </c>
      <c r="I30" s="1">
        <f>IF(C30="", "", (B30-C30)*1000/(A30-A29))</f>
        <v/>
      </c>
      <c r="J30" s="1">
        <f>IF(I30="","",I30/F$2/3)</f>
        <v/>
      </c>
      <c r="K30" s="1">
        <f>IF(I30="","", 100*_xlfn.STDEV.P(I29:I30)/AVERAGE(I29:I30))</f>
        <v/>
      </c>
      <c r="L30" s="8">
        <f t="array" ref="L30">IF(I30="","", IFERROR(((IF(I$5&lt;&gt;"", I$5*A$5, 0) + SUMPRODUCT(--(I$6:I30&lt;&gt;""), I$6:I30, (A$6:A30-A$5:A29)))/1000), ""))</f>
        <v/>
      </c>
      <c r="M30" s="1">
        <f>M29+10</f>
        <v/>
      </c>
      <c r="N30" s="1">
        <f>O29</f>
        <v/>
      </c>
      <c r="Q30" t="inlineStr">
        <is>
          <t>200mL/3s/30s</t>
        </is>
      </c>
      <c r="U30" s="1">
        <f>IF(O30="", "", (N30-O30)*1000/(M30-M29))</f>
        <v/>
      </c>
      <c r="V30" s="1">
        <f>IF(U30="","",U30/R$2/3)</f>
        <v/>
      </c>
      <c r="W30" s="1">
        <f>IF(U30="","", 100*_xlfn.STDEV.P(U29:U30)/AVERAGE(U29:U30))</f>
        <v/>
      </c>
      <c r="X30" s="8">
        <f t="array" ref="X30">IF(U30="","", IFERROR(((IF(U$5&lt;&gt;"", U$5*M$5, 0) + SUMPRODUCT(--(U$6:U30&lt;&gt;""), U$6:U30, (M$6:M30-M$5:M29)))/1000), ""))</f>
        <v/>
      </c>
    </row>
    <row r="31">
      <c r="A31" s="1">
        <f>A30+10</f>
        <v/>
      </c>
      <c r="B31" s="1">
        <f>C30</f>
        <v/>
      </c>
      <c r="E31" t="inlineStr">
        <is>
          <t>200mL/3s/30s</t>
        </is>
      </c>
      <c r="I31" s="1">
        <f>IF(C31="", "", (B31-C31)*1000/(A31-A30))</f>
        <v/>
      </c>
      <c r="J31" s="1">
        <f>IF(I31="","",I31/F$2/3)</f>
        <v/>
      </c>
      <c r="K31" s="1">
        <f>IF(I31="","", 100*_xlfn.STDEV.P(I30:I31)/AVERAGE(I30:I31))</f>
        <v/>
      </c>
      <c r="L31" s="8">
        <f t="array" ref="L31">IF(I31="","", IFERROR(((IF(I$5&lt;&gt;"", I$5*A$5, 0) + SUMPRODUCT(--(I$6:I31&lt;&gt;""), I$6:I31, (A$6:A31-A$5:A30)))/1000), ""))</f>
        <v/>
      </c>
      <c r="M31" s="1">
        <f>M30+10</f>
        <v/>
      </c>
      <c r="N31" s="1">
        <f>O30</f>
        <v/>
      </c>
      <c r="Q31" t="inlineStr">
        <is>
          <t>200mL/3s/30s</t>
        </is>
      </c>
      <c r="U31" s="1">
        <f>IF(O31="", "", (N31-O31)*1000/(M31-M30))</f>
        <v/>
      </c>
      <c r="V31" s="1">
        <f>IF(U31="","",U31/R$2/3)</f>
        <v/>
      </c>
      <c r="W31" s="1">
        <f>IF(U31="","", 100*_xlfn.STDEV.P(U30:U31)/AVERAGE(U30:U31))</f>
        <v/>
      </c>
      <c r="X31" s="8">
        <f t="array" ref="X31">IF(U31="","", IFERROR(((IF(U$5&lt;&gt;"", U$5*M$5, 0) + SUMPRODUCT(--(U$6:U31&lt;&gt;""), U$6:U31, (M$6:M31-M$5:M30)))/1000), ""))</f>
        <v/>
      </c>
    </row>
    <row r="32">
      <c r="A32" s="1">
        <f>A31+10</f>
        <v/>
      </c>
      <c r="B32" s="1">
        <f>C31</f>
        <v/>
      </c>
      <c r="E32" t="inlineStr">
        <is>
          <t>200mL/3s/30s</t>
        </is>
      </c>
      <c r="I32" s="1">
        <f>IF(C32="", "", (B32-C32)*1000/(A32-A31))</f>
        <v/>
      </c>
      <c r="J32" s="1">
        <f>IF(I32="","",I32/F$2/3)</f>
        <v/>
      </c>
      <c r="K32" s="1">
        <f>IF(I32="","", 100*_xlfn.STDEV.P(I31:I32)/AVERAGE(I31:I32))</f>
        <v/>
      </c>
      <c r="L32" s="8">
        <f t="array" ref="L32">IF(I32="","", IFERROR(((IF(I$5&lt;&gt;"", I$5*A$5, 0) + SUMPRODUCT(--(I$6:I32&lt;&gt;""), I$6:I32, (A$6:A32-A$5:A31)))/1000), ""))</f>
        <v/>
      </c>
      <c r="M32" s="1">
        <f>M31+10</f>
        <v/>
      </c>
      <c r="N32" s="1">
        <f>O31</f>
        <v/>
      </c>
      <c r="Q32" t="inlineStr">
        <is>
          <t>200mL/3s/30s</t>
        </is>
      </c>
      <c r="U32" s="1">
        <f>IF(O32="", "", (N32-O32)*1000/(M32-M31))</f>
        <v/>
      </c>
      <c r="V32" s="1">
        <f>IF(U32="","",U32/R$2/3)</f>
        <v/>
      </c>
      <c r="W32" s="1">
        <f>IF(U32="","", 100*_xlfn.STDEV.P(U31:U32)/AVERAGE(U31:U32))</f>
        <v/>
      </c>
      <c r="X32" s="8">
        <f t="array" ref="X32">IF(U32="","", IFERROR(((IF(U$5&lt;&gt;"", U$5*M$5, 0) + SUMPRODUCT(--(U$6:U32&lt;&gt;""), U$6:U32, (M$6:M32-M$5:M31)))/1000), ""))</f>
        <v/>
      </c>
    </row>
    <row r="33">
      <c r="A33" s="1">
        <f>A32+10</f>
        <v/>
      </c>
      <c r="B33" s="1">
        <f>C32</f>
        <v/>
      </c>
      <c r="E33" t="inlineStr">
        <is>
          <t>200mL/3s/30s</t>
        </is>
      </c>
      <c r="I33" s="1">
        <f>IF(C33="", "", (B33-C33)*1000/(A33-A32))</f>
        <v/>
      </c>
      <c r="J33" s="1">
        <f>IF(I33="","",I33/F$2/3)</f>
        <v/>
      </c>
      <c r="K33" s="1">
        <f>IF(I33="","", 100*_xlfn.STDEV.P(I32:I33)/AVERAGE(I32:I33))</f>
        <v/>
      </c>
      <c r="L33" s="8">
        <f t="array" ref="L33">IF(I33="","", IFERROR(((IF(I$5&lt;&gt;"", I$5*A$5, 0) + SUMPRODUCT(--(I$6:I33&lt;&gt;""), I$6:I33, (A$6:A33-A$5:A32)))/1000), ""))</f>
        <v/>
      </c>
      <c r="M33" s="1">
        <f>M32+10</f>
        <v/>
      </c>
      <c r="N33" s="1">
        <f>O32</f>
        <v/>
      </c>
      <c r="Q33" t="inlineStr">
        <is>
          <t>200mL/3s/30s</t>
        </is>
      </c>
      <c r="U33" s="1">
        <f>IF(O33="", "", (N33-O33)*1000/(M33-M32))</f>
        <v/>
      </c>
      <c r="V33" s="1">
        <f>IF(U33="","",U33/R$2/3)</f>
        <v/>
      </c>
      <c r="W33" s="1">
        <f>IF(U33="","", 100*_xlfn.STDEV.P(U32:U33)/AVERAGE(U32:U33))</f>
        <v/>
      </c>
      <c r="X33" s="8">
        <f t="array" ref="X33">IF(U33="","", IFERROR(((IF(U$5&lt;&gt;"", U$5*M$5, 0) + SUMPRODUCT(--(U$6:U33&lt;&gt;""), U$6:U33, (M$6:M33-M$5:M32)))/1000), ""))</f>
        <v/>
      </c>
    </row>
    <row r="34">
      <c r="A34" s="1">
        <f>A33+10</f>
        <v/>
      </c>
      <c r="B34" s="1">
        <f>C33</f>
        <v/>
      </c>
      <c r="E34" t="inlineStr">
        <is>
          <t>200mL/3s/30s</t>
        </is>
      </c>
      <c r="I34" s="1">
        <f>IF(C34="", "", (B34-C34)*1000/(A34-A33))</f>
        <v/>
      </c>
      <c r="J34" s="1">
        <f>IF(I34="","",I34/F$2/3)</f>
        <v/>
      </c>
      <c r="K34" s="1">
        <f>IF(I34="","", 100*_xlfn.STDEV.P(I33:I34)/AVERAGE(I33:I34))</f>
        <v/>
      </c>
      <c r="L34" s="8">
        <f t="array" ref="L34">IF(I34="","", IFERROR(((IF(I$5&lt;&gt;"", I$5*A$5, 0) + SUMPRODUCT(--(I$6:I34&lt;&gt;""), I$6:I34, (A$6:A34-A$5:A33)))/1000), ""))</f>
        <v/>
      </c>
      <c r="M34" s="1">
        <f>M33+10</f>
        <v/>
      </c>
      <c r="N34" s="1">
        <f>O33</f>
        <v/>
      </c>
      <c r="Q34" t="inlineStr">
        <is>
          <t>200mL/3s/30s</t>
        </is>
      </c>
      <c r="U34" s="1">
        <f>IF(O34="", "", (N34-O34)*1000/(M34-M33))</f>
        <v/>
      </c>
      <c r="V34" s="1">
        <f>IF(U34="","",U34/R$2/3)</f>
        <v/>
      </c>
      <c r="W34" s="1">
        <f>IF(U34="","", 100*_xlfn.STDEV.P(U33:U34)/AVERAGE(U33:U34))</f>
        <v/>
      </c>
      <c r="X34" s="8">
        <f t="array" ref="X34">IF(U34="","", IFERROR(((IF(U$5&lt;&gt;"", U$5*M$5, 0) + SUMPRODUCT(--(U$6:U34&lt;&gt;""), U$6:U34, (M$6:M34-M$5:M33)))/1000), ""))</f>
        <v/>
      </c>
    </row>
    <row r="35">
      <c r="A35" s="1">
        <f>A34+10</f>
        <v/>
      </c>
      <c r="B35" s="1">
        <f>C34</f>
        <v/>
      </c>
      <c r="E35" t="inlineStr">
        <is>
          <t>200mL/3s/30s</t>
        </is>
      </c>
      <c r="I35" s="1">
        <f>IF(C35="", "", (B35-C35)*1000/(A35-A34))</f>
        <v/>
      </c>
      <c r="J35" s="1">
        <f>IF(I35="","",I35/F$2/3)</f>
        <v/>
      </c>
      <c r="K35" s="1">
        <f>IF(I35="","", 100*_xlfn.STDEV.P(I34:I35)/AVERAGE(I34:I35))</f>
        <v/>
      </c>
      <c r="L35" s="8">
        <f t="array" ref="L35">IF(I35="","", IFERROR(((IF(I$5&lt;&gt;"", I$5*A$5, 0) + SUMPRODUCT(--(I$6:I35&lt;&gt;""), I$6:I35, (A$6:A35-A$5:A34)))/1000), ""))</f>
        <v/>
      </c>
      <c r="M35" s="1">
        <f>M34+10</f>
        <v/>
      </c>
      <c r="N35" s="1">
        <f>O34</f>
        <v/>
      </c>
      <c r="Q35" t="inlineStr">
        <is>
          <t>200mL/3s/30s</t>
        </is>
      </c>
      <c r="U35" s="1">
        <f>IF(O35="", "", (N35-O35)*1000/(M35-M34))</f>
        <v/>
      </c>
      <c r="V35" s="1">
        <f>IF(U35="","",U35/R$2/3)</f>
        <v/>
      </c>
      <c r="W35" s="1">
        <f>IF(U35="","", 100*_xlfn.STDEV.P(U34:U35)/AVERAGE(U34:U35))</f>
        <v/>
      </c>
      <c r="X35" s="8">
        <f t="array" ref="X35">IF(U35="","", IFERROR(((IF(U$5&lt;&gt;"", U$5*M$5, 0) + SUMPRODUCT(--(U$6:U35&lt;&gt;""), U$6:U35, (M$6:M35-M$5:M34)))/1000), ""))</f>
        <v/>
      </c>
    </row>
    <row r="36">
      <c r="A36" s="1">
        <f>A35+10</f>
        <v/>
      </c>
      <c r="B36" s="1">
        <f>C35</f>
        <v/>
      </c>
      <c r="E36" t="inlineStr">
        <is>
          <t>200mL/3s/30s</t>
        </is>
      </c>
      <c r="I36" s="1">
        <f>IF(C36="", "", (B36-C36)*1000/(A36-A35))</f>
        <v/>
      </c>
      <c r="J36" s="1">
        <f>IF(I36="","",I36/F$2/3)</f>
        <v/>
      </c>
      <c r="K36" s="1">
        <f>IF(I36="","", 100*_xlfn.STDEV.P(I35:I36)/AVERAGE(I35:I36))</f>
        <v/>
      </c>
      <c r="L36" s="8">
        <f t="array" ref="L36">IF(I36="","", IFERROR(((IF(I$5&lt;&gt;"", I$5*A$5, 0) + SUMPRODUCT(--(I$6:I36&lt;&gt;""), I$6:I36, (A$6:A36-A$5:A35)))/1000), ""))</f>
        <v/>
      </c>
      <c r="M36" s="1">
        <f>M35+10</f>
        <v/>
      </c>
      <c r="N36" s="1">
        <f>O35</f>
        <v/>
      </c>
      <c r="Q36" t="inlineStr">
        <is>
          <t>200mL/3s/30s</t>
        </is>
      </c>
      <c r="U36" s="1">
        <f>IF(O36="", "", (N36-O36)*1000/(M36-M35))</f>
        <v/>
      </c>
      <c r="V36" s="1">
        <f>IF(U36="","",U36/R$2/3)</f>
        <v/>
      </c>
      <c r="W36" s="1">
        <f>IF(U36="","", 100*_xlfn.STDEV.P(U35:U36)/AVERAGE(U35:U36))</f>
        <v/>
      </c>
      <c r="X36" s="8">
        <f t="array" ref="X36">IF(U36="","", IFERROR(((IF(U$5&lt;&gt;"", U$5*M$5, 0) + SUMPRODUCT(--(U$6:U36&lt;&gt;""), U$6:U36, (M$6:M36-M$5:M35)))/1000), ""))</f>
        <v/>
      </c>
    </row>
    <row r="37">
      <c r="A37" s="1">
        <f>A36+10</f>
        <v/>
      </c>
      <c r="B37" s="1">
        <f>C36</f>
        <v/>
      </c>
      <c r="E37" t="inlineStr">
        <is>
          <t>200mL/3s/30s</t>
        </is>
      </c>
      <c r="I37" s="1">
        <f>IF(C37="", "", (B37-C37)*1000/(A37-A36))</f>
        <v/>
      </c>
      <c r="J37" s="1">
        <f>IF(I37="","",I37/F$2/3)</f>
        <v/>
      </c>
      <c r="K37" s="1">
        <f>IF(I37="","", 100*_xlfn.STDEV.P(I36:I37)/AVERAGE(I36:I37))</f>
        <v/>
      </c>
      <c r="L37" s="8">
        <f t="array" ref="L37">IF(I37="","", IFERROR(((IF(I$5&lt;&gt;"", I$5*A$5, 0) + SUMPRODUCT(--(I$6:I37&lt;&gt;""), I$6:I37, (A$6:A37-A$5:A36)))/1000), ""))</f>
        <v/>
      </c>
      <c r="M37" s="1">
        <f>M36+10</f>
        <v/>
      </c>
      <c r="N37" s="1">
        <f>O36</f>
        <v/>
      </c>
      <c r="Q37" t="inlineStr">
        <is>
          <t>200mL/3s/30s</t>
        </is>
      </c>
      <c r="U37" s="1">
        <f>IF(O37="", "", (N37-O37)*1000/(M37-M36))</f>
        <v/>
      </c>
      <c r="V37" s="1">
        <f>IF(U37="","",U37/R$2/3)</f>
        <v/>
      </c>
      <c r="W37" s="1">
        <f>IF(U37="","", 100*_xlfn.STDEV.P(U36:U37)/AVERAGE(U36:U37))</f>
        <v/>
      </c>
      <c r="X37" s="8">
        <f t="array" ref="X37">IF(U37="","", IFERROR(((IF(U$5&lt;&gt;"", U$5*M$5, 0) + SUMPRODUCT(--(U$6:U37&lt;&gt;""), U$6:U37, (M$6:M37-M$5:M36)))/1000), ""))</f>
        <v/>
      </c>
    </row>
    <row r="38">
      <c r="A38" s="1">
        <f>A37+10</f>
        <v/>
      </c>
      <c r="B38" s="1">
        <f>C37</f>
        <v/>
      </c>
      <c r="E38" t="inlineStr">
        <is>
          <t>200mL/3s/30s</t>
        </is>
      </c>
      <c r="I38" s="1">
        <f>IF(C38="", "", (B38-C38)*1000/(A38-A37))</f>
        <v/>
      </c>
      <c r="J38" s="1">
        <f>IF(I38="","",I38/F$2/3)</f>
        <v/>
      </c>
      <c r="K38" s="1">
        <f>IF(I38="","", 100*_xlfn.STDEV.P(I37:I38)/AVERAGE(I37:I38))</f>
        <v/>
      </c>
      <c r="L38" s="8">
        <f t="array" ref="L38">IF(I38="","", IFERROR(((IF(I$5&lt;&gt;"", I$5*A$5, 0) + SUMPRODUCT(--(I$6:I38&lt;&gt;""), I$6:I38, (A$6:A38-A$5:A37)))/1000), ""))</f>
        <v/>
      </c>
      <c r="M38" s="1">
        <f>M37+10</f>
        <v/>
      </c>
      <c r="N38" s="1">
        <f>O37</f>
        <v/>
      </c>
      <c r="Q38" t="inlineStr">
        <is>
          <t>200mL/3s/30s</t>
        </is>
      </c>
      <c r="U38" s="1">
        <f>IF(O38="", "", (N38-O38)*1000/(M38-M37))</f>
        <v/>
      </c>
      <c r="V38" s="1">
        <f>IF(U38="","",U38/R$2/3)</f>
        <v/>
      </c>
      <c r="W38" s="1">
        <f>IF(U38="","", 100*_xlfn.STDEV.P(U37:U38)/AVERAGE(U37:U38))</f>
        <v/>
      </c>
      <c r="X38" s="8">
        <f t="array" ref="X38">IF(U38="","", IFERROR(((IF(U$5&lt;&gt;"", U$5*M$5, 0) + SUMPRODUCT(--(U$6:U38&lt;&gt;""), U$6:U38, (M$6:M38-M$5:M37)))/1000), ""))</f>
        <v/>
      </c>
    </row>
    <row r="39">
      <c r="A39" s="1">
        <f>A38+10</f>
        <v/>
      </c>
      <c r="B39" s="1">
        <f>C38</f>
        <v/>
      </c>
      <c r="E39" t="inlineStr">
        <is>
          <t>200mL/3s/30s</t>
        </is>
      </c>
      <c r="I39" s="1">
        <f>IF(C39="", "", (B39-C39)*1000/(A39-A38))</f>
        <v/>
      </c>
      <c r="J39" s="1">
        <f>IF(I39="","",I39/F$2/3)</f>
        <v/>
      </c>
      <c r="K39" s="1">
        <f>IF(I39="","", 100*_xlfn.STDEV.P(I38:I39)/AVERAGE(I38:I39))</f>
        <v/>
      </c>
      <c r="L39" s="8">
        <f t="array" ref="L39">IF(I39="","", IFERROR(((IF(I$5&lt;&gt;"", I$5*A$5, 0) + SUMPRODUCT(--(I$6:I39&lt;&gt;""), I$6:I39, (A$6:A39-A$5:A38)))/1000), ""))</f>
        <v/>
      </c>
      <c r="M39" s="1">
        <f>M38+10</f>
        <v/>
      </c>
      <c r="N39" s="1">
        <f>O38</f>
        <v/>
      </c>
      <c r="Q39" t="inlineStr">
        <is>
          <t>200mL/3s/30s</t>
        </is>
      </c>
      <c r="U39" s="1">
        <f>IF(O39="", "", (N39-O39)*1000/(M39-M38))</f>
        <v/>
      </c>
      <c r="V39" s="1">
        <f>IF(U39="","",U39/R$2/3)</f>
        <v/>
      </c>
      <c r="W39" s="1">
        <f>IF(U39="","", 100*_xlfn.STDEV.P(U38:U39)/AVERAGE(U38:U39))</f>
        <v/>
      </c>
      <c r="X39" s="8">
        <f t="array" ref="X39">IF(U39="","", IFERROR(((IF(U$5&lt;&gt;"", U$5*M$5, 0) + SUMPRODUCT(--(U$6:U39&lt;&gt;""), U$6:U39, (M$6:M39-M$5:M38)))/1000), ""))</f>
        <v/>
      </c>
    </row>
    <row r="40">
      <c r="A40" s="1">
        <f>A39+10</f>
        <v/>
      </c>
      <c r="B40" s="1">
        <f>C39</f>
        <v/>
      </c>
      <c r="E40" t="inlineStr">
        <is>
          <t>200mL/3s/30s</t>
        </is>
      </c>
      <c r="I40" s="1">
        <f>IF(C40="", "", (B40-C40)*1000/(A40-A39))</f>
        <v/>
      </c>
      <c r="J40" s="1">
        <f>IF(I40="","",I40/F$2/3)</f>
        <v/>
      </c>
      <c r="K40" s="1">
        <f>IF(I40="","", 100*_xlfn.STDEV.P(I39:I40)/AVERAGE(I39:I40))</f>
        <v/>
      </c>
      <c r="L40" s="8">
        <f t="array" ref="L40">IF(I40="","", IFERROR(((IF(I$5&lt;&gt;"", I$5*A$5, 0) + SUMPRODUCT(--(I$6:I40&lt;&gt;""), I$6:I40, (A$6:A40-A$5:A39)))/1000), ""))</f>
        <v/>
      </c>
      <c r="M40" s="1">
        <f>M39+10</f>
        <v/>
      </c>
      <c r="N40" s="1">
        <f>O39</f>
        <v/>
      </c>
      <c r="Q40" t="inlineStr">
        <is>
          <t>200mL/3s/30s</t>
        </is>
      </c>
      <c r="U40" s="1">
        <f>IF(O40="", "", (N40-O40)*1000/(M40-M39))</f>
        <v/>
      </c>
      <c r="V40" s="1">
        <f>IF(U40="","",U40/R$2/3)</f>
        <v/>
      </c>
      <c r="W40" s="1">
        <f>IF(U40="","", 100*_xlfn.STDEV.P(U39:U40)/AVERAGE(U39:U40))</f>
        <v/>
      </c>
      <c r="X40" s="8">
        <f t="array" ref="X40">IF(U40="","", IFERROR(((IF(U$5&lt;&gt;"", U$5*M$5, 0) + SUMPRODUCT(--(U$6:U40&lt;&gt;""), U$6:U40, (M$6:M40-M$5:M39)))/1000), ""))</f>
        <v/>
      </c>
    </row>
    <row r="41">
      <c r="A41" s="1">
        <f>A40+10</f>
        <v/>
      </c>
      <c r="B41" s="1">
        <f>C40</f>
        <v/>
      </c>
      <c r="E41" t="inlineStr">
        <is>
          <t>200mL/3s/30s</t>
        </is>
      </c>
      <c r="I41" s="1">
        <f>IF(C41="", "", (B41-C41)*1000/(A41-A40))</f>
        <v/>
      </c>
      <c r="J41" s="1">
        <f>IF(I41="","",I41/F$2/3)</f>
        <v/>
      </c>
      <c r="K41" s="1">
        <f>IF(I41="","", 100*_xlfn.STDEV.P(I40:I41)/AVERAGE(I40:I41))</f>
        <v/>
      </c>
      <c r="L41" s="8">
        <f t="array" ref="L41">IF(I41="","", IFERROR(((IF(I$5&lt;&gt;"", I$5*A$5, 0) + SUMPRODUCT(--(I$6:I41&lt;&gt;""), I$6:I41, (A$6:A41-A$5:A40)))/1000), ""))</f>
        <v/>
      </c>
      <c r="M41" s="1">
        <f>M40+10</f>
        <v/>
      </c>
      <c r="N41" s="1">
        <f>O40</f>
        <v/>
      </c>
      <c r="Q41" t="inlineStr">
        <is>
          <t>200mL/3s/30s</t>
        </is>
      </c>
      <c r="U41" s="1">
        <f>IF(O41="", "", (N41-O41)*1000/(M41-M40))</f>
        <v/>
      </c>
      <c r="V41" s="1">
        <f>IF(U41="","",U41/R$2/3)</f>
        <v/>
      </c>
      <c r="W41" s="1">
        <f>IF(U41="","", 100*_xlfn.STDEV.P(U40:U41)/AVERAGE(U40:U41))</f>
        <v/>
      </c>
      <c r="X41" s="8">
        <f t="array" ref="X41">IF(U41="","", IFERROR(((IF(U$5&lt;&gt;"", U$5*M$5, 0) + SUMPRODUCT(--(U$6:U41&lt;&gt;""), U$6:U41, (M$6:M41-M$5:M40)))/1000), ""))</f>
        <v/>
      </c>
    </row>
    <row r="42">
      <c r="A42" s="1">
        <f>A41+10</f>
        <v/>
      </c>
      <c r="B42" s="1">
        <f>C41</f>
        <v/>
      </c>
      <c r="E42" t="inlineStr">
        <is>
          <t>200mL/3s/30s</t>
        </is>
      </c>
      <c r="I42" s="1">
        <f>IF(C42="", "", (B42-C42)*1000/(A42-A41))</f>
        <v/>
      </c>
      <c r="J42" s="1">
        <f>IF(I42="","",I42/F$2/3)</f>
        <v/>
      </c>
      <c r="K42" s="1">
        <f>IF(I42="","", 100*_xlfn.STDEV.P(I41:I42)/AVERAGE(I41:I42))</f>
        <v/>
      </c>
      <c r="L42" s="8">
        <f t="array" ref="L42">IF(I42="","", IFERROR(((IF(I$5&lt;&gt;"", I$5*A$5, 0) + SUMPRODUCT(--(I$6:I42&lt;&gt;""), I$6:I42, (A$6:A42-A$5:A41)))/1000), ""))</f>
        <v/>
      </c>
      <c r="M42" s="1">
        <f>M41+10</f>
        <v/>
      </c>
      <c r="N42" s="1">
        <f>O41</f>
        <v/>
      </c>
      <c r="Q42" t="inlineStr">
        <is>
          <t>200mL/3s/30s</t>
        </is>
      </c>
      <c r="U42" s="1">
        <f>IF(O42="", "", (N42-O42)*1000/(M42-M41))</f>
        <v/>
      </c>
      <c r="V42" s="1">
        <f>IF(U42="","",U42/R$2/3)</f>
        <v/>
      </c>
      <c r="W42" s="1">
        <f>IF(U42="","", 100*_xlfn.STDEV.P(U41:U42)/AVERAGE(U41:U42))</f>
        <v/>
      </c>
      <c r="X42" s="8">
        <f t="array" ref="X42">IF(U42="","", IFERROR(((IF(U$5&lt;&gt;"", U$5*M$5, 0) + SUMPRODUCT(--(U$6:U42&lt;&gt;""), U$6:U42, (M$6:M42-M$5:M41)))/1000), ""))</f>
        <v/>
      </c>
    </row>
    <row r="43">
      <c r="A43" s="1">
        <f>A42+10</f>
        <v/>
      </c>
      <c r="B43" s="1">
        <f>C42</f>
        <v/>
      </c>
      <c r="E43" t="inlineStr">
        <is>
          <t>200mL/3s/30s</t>
        </is>
      </c>
      <c r="I43" s="1">
        <f>IF(C43="", "", (B43-C43)*1000/(A43-A42))</f>
        <v/>
      </c>
      <c r="J43" s="1">
        <f>IF(I43="","",I43/F$2/3)</f>
        <v/>
      </c>
      <c r="K43" s="1">
        <f>IF(I43="","", 100*_xlfn.STDEV.P(I42:I43)/AVERAGE(I42:I43))</f>
        <v/>
      </c>
      <c r="L43" s="8">
        <f t="array" ref="L43">IF(I43="","", IFERROR(((IF(I$5&lt;&gt;"", I$5*A$5, 0) + SUMPRODUCT(--(I$6:I43&lt;&gt;""), I$6:I43, (A$6:A43-A$5:A42)))/1000), ""))</f>
        <v/>
      </c>
      <c r="M43" s="1">
        <f>M42+10</f>
        <v/>
      </c>
      <c r="N43" s="1">
        <f>O42</f>
        <v/>
      </c>
      <c r="Q43" t="inlineStr">
        <is>
          <t>200mL/3s/30s</t>
        </is>
      </c>
      <c r="U43" s="1">
        <f>IF(O43="", "", (N43-O43)*1000/(M43-M42))</f>
        <v/>
      </c>
      <c r="V43" s="1">
        <f>IF(U43="","",U43/R$2/3)</f>
        <v/>
      </c>
      <c r="W43" s="1">
        <f>IF(U43="","", 100*_xlfn.STDEV.P(U42:U43)/AVERAGE(U42:U43))</f>
        <v/>
      </c>
      <c r="X43" s="8">
        <f t="array" ref="X43">IF(U43="","", IFERROR(((IF(U$5&lt;&gt;"", U$5*M$5, 0) + SUMPRODUCT(--(U$6:U43&lt;&gt;""), U$6:U43, (M$6:M43-M$5:M42)))/1000), ""))</f>
        <v/>
      </c>
    </row>
    <row r="44">
      <c r="A44" s="1">
        <f>A43+10</f>
        <v/>
      </c>
      <c r="B44" s="1">
        <f>C43</f>
        <v/>
      </c>
      <c r="E44" t="inlineStr">
        <is>
          <t>200mL/3s/30s</t>
        </is>
      </c>
      <c r="I44" s="1">
        <f>IF(C44="", "", (B44-C44)*1000/(A44-A43))</f>
        <v/>
      </c>
      <c r="J44" s="1">
        <f>IF(I44="","",I44/F$2/3)</f>
        <v/>
      </c>
      <c r="K44" s="1">
        <f>IF(I44="","", 100*_xlfn.STDEV.P(I43:I44)/AVERAGE(I43:I44))</f>
        <v/>
      </c>
      <c r="L44" s="8">
        <f t="array" ref="L44">IF(I44="","", IFERROR(((IF(I$5&lt;&gt;"", I$5*A$5, 0) + SUMPRODUCT(--(I$6:I44&lt;&gt;""), I$6:I44, (A$6:A44-A$5:A43)))/1000), ""))</f>
        <v/>
      </c>
      <c r="M44" s="1">
        <f>M43+10</f>
        <v/>
      </c>
      <c r="N44" s="1">
        <f>O43</f>
        <v/>
      </c>
      <c r="Q44" t="inlineStr">
        <is>
          <t>200mL/3s/30s</t>
        </is>
      </c>
      <c r="U44" s="1">
        <f>IF(O44="", "", (N44-O44)*1000/(M44-M43))</f>
        <v/>
      </c>
      <c r="V44" s="1">
        <f>IF(U44="","",U44/R$2/3)</f>
        <v/>
      </c>
      <c r="W44" s="1">
        <f>IF(U44="","", 100*_xlfn.STDEV.P(U43:U44)/AVERAGE(U43:U44))</f>
        <v/>
      </c>
      <c r="X44" s="8">
        <f t="array" ref="X44">IF(U44="","", IFERROR(((IF(U$5&lt;&gt;"", U$5*M$5, 0) + SUMPRODUCT(--(U$6:U44&lt;&gt;""), U$6:U44, (M$6:M44-M$5:M43)))/1000), ""))</f>
        <v/>
      </c>
    </row>
    <row r="45">
      <c r="A45" s="1">
        <f>A44+10</f>
        <v/>
      </c>
      <c r="B45" s="1">
        <f>C44</f>
        <v/>
      </c>
      <c r="E45" t="inlineStr">
        <is>
          <t>200mL/3s/30s</t>
        </is>
      </c>
      <c r="I45" s="1">
        <f>IF(C45="", "", (B45-C45)*1000/(A45-A44))</f>
        <v/>
      </c>
      <c r="J45" s="1">
        <f>IF(I45="","",I45/F$2/3)</f>
        <v/>
      </c>
      <c r="K45" s="1">
        <f>IF(I45="","", 100*_xlfn.STDEV.P(I44:I45)/AVERAGE(I44:I45))</f>
        <v/>
      </c>
      <c r="L45" s="8">
        <f t="array" ref="L45">IF(I45="","", IFERROR(((IF(I$5&lt;&gt;"", I$5*A$5, 0) + SUMPRODUCT(--(I$6:I45&lt;&gt;""), I$6:I45, (A$6:A45-A$5:A44)))/1000), ""))</f>
        <v/>
      </c>
      <c r="M45" s="1">
        <f>M44+10</f>
        <v/>
      </c>
      <c r="N45" s="1">
        <f>O44</f>
        <v/>
      </c>
      <c r="Q45" t="inlineStr">
        <is>
          <t>200mL/3s/30s</t>
        </is>
      </c>
      <c r="U45" s="1">
        <f>IF(O45="", "", (N45-O45)*1000/(M45-M44))</f>
        <v/>
      </c>
      <c r="V45" s="1">
        <f>IF(U45="","",U45/R$2/3)</f>
        <v/>
      </c>
      <c r="W45" s="1">
        <f>IF(U45="","", 100*_xlfn.STDEV.P(U44:U45)/AVERAGE(U44:U45))</f>
        <v/>
      </c>
      <c r="X45" s="8">
        <f t="array" ref="X45">IF(U45="","", IFERROR(((IF(U$5&lt;&gt;"", U$5*M$5, 0) + SUMPRODUCT(--(U$6:U45&lt;&gt;""), U$6:U45, (M$6:M45-M$5:M44)))/1000), ""))</f>
        <v/>
      </c>
    </row>
    <row r="46">
      <c r="A46" s="1">
        <f>A45+10</f>
        <v/>
      </c>
      <c r="B46" s="1">
        <f>C45</f>
        <v/>
      </c>
      <c r="E46" t="inlineStr">
        <is>
          <t>200mL/3s/30s</t>
        </is>
      </c>
      <c r="I46" s="1">
        <f>IF(C46="", "", (B46-C46)*1000/(A46-A45))</f>
        <v/>
      </c>
      <c r="J46" s="1">
        <f>IF(I46="","",I46/F$2/3)</f>
        <v/>
      </c>
      <c r="K46" s="1">
        <f>IF(I46="","", 100*_xlfn.STDEV.P(I45:I46)/AVERAGE(I45:I46))</f>
        <v/>
      </c>
      <c r="L46" s="8">
        <f t="array" ref="L46">IF(I46="","", IFERROR(((IF(I$5&lt;&gt;"", I$5*A$5, 0) + SUMPRODUCT(--(I$6:I46&lt;&gt;""), I$6:I46, (A$6:A46-A$5:A45)))/1000), ""))</f>
        <v/>
      </c>
      <c r="M46" s="1">
        <f>M45+10</f>
        <v/>
      </c>
      <c r="N46" s="1">
        <f>O45</f>
        <v/>
      </c>
      <c r="Q46" t="inlineStr">
        <is>
          <t>200mL/3s/30s</t>
        </is>
      </c>
      <c r="U46" s="1">
        <f>IF(O46="", "", (N46-O46)*1000/(M46-M45))</f>
        <v/>
      </c>
      <c r="V46" s="1">
        <f>IF(U46="","",U46/R$2/3)</f>
        <v/>
      </c>
      <c r="W46" s="1">
        <f>IF(U46="","", 100*_xlfn.STDEV.P(U45:U46)/AVERAGE(U45:U46))</f>
        <v/>
      </c>
      <c r="X46" s="8">
        <f t="array" ref="X46">IF(U46="","", IFERROR(((IF(U$5&lt;&gt;"", U$5*M$5, 0) + SUMPRODUCT(--(U$6:U46&lt;&gt;""), U$6:U46, (M$6:M46-M$5:M45)))/1000), ""))</f>
        <v/>
      </c>
    </row>
    <row r="47">
      <c r="A47" s="1">
        <f>A46+10</f>
        <v/>
      </c>
      <c r="B47" s="1">
        <f>C46</f>
        <v/>
      </c>
      <c r="E47" t="inlineStr">
        <is>
          <t>200mL/3s/30s</t>
        </is>
      </c>
      <c r="I47" s="1">
        <f>IF(C47="", "", (B47-C47)*1000/(A47-A46))</f>
        <v/>
      </c>
      <c r="J47" s="1">
        <f>IF(I47="","",I47/F$2/3)</f>
        <v/>
      </c>
      <c r="K47" s="1">
        <f>IF(I47="","", 100*_xlfn.STDEV.P(I46:I47)/AVERAGE(I46:I47))</f>
        <v/>
      </c>
      <c r="L47" s="8">
        <f t="array" ref="L47">IF(I47="","", IFERROR(((IF(I$5&lt;&gt;"", I$5*A$5, 0) + SUMPRODUCT(--(I$6:I47&lt;&gt;""), I$6:I47, (A$6:A47-A$5:A46)))/1000), ""))</f>
        <v/>
      </c>
      <c r="M47" s="1">
        <f>M46+10</f>
        <v/>
      </c>
      <c r="N47" s="1">
        <f>O46</f>
        <v/>
      </c>
      <c r="Q47" t="inlineStr">
        <is>
          <t>200mL/3s/30s</t>
        </is>
      </c>
      <c r="U47" s="1">
        <f>IF(O47="", "", (N47-O47)*1000/(M47-M46))</f>
        <v/>
      </c>
      <c r="V47" s="1">
        <f>IF(U47="","",U47/R$2/3)</f>
        <v/>
      </c>
      <c r="W47" s="1">
        <f>IF(U47="","", 100*_xlfn.STDEV.P(U46:U47)/AVERAGE(U46:U47))</f>
        <v/>
      </c>
      <c r="X47" s="8">
        <f t="array" ref="X47">IF(U47="","", IFERROR(((IF(U$5&lt;&gt;"", U$5*M$5, 0) + SUMPRODUCT(--(U$6:U47&lt;&gt;""), U$6:U47, (M$6:M47-M$5:M46)))/1000), ""))</f>
        <v/>
      </c>
    </row>
    <row r="48">
      <c r="A48" s="1">
        <f>A47+10</f>
        <v/>
      </c>
      <c r="B48" s="1">
        <f>C47</f>
        <v/>
      </c>
      <c r="E48" t="inlineStr">
        <is>
          <t>200mL/3s/30s</t>
        </is>
      </c>
      <c r="I48" s="1">
        <f>IF(C48="", "", (B48-C48)*1000/(A48-A47))</f>
        <v/>
      </c>
      <c r="J48" s="1">
        <f>IF(I48="","",I48/F$2/3)</f>
        <v/>
      </c>
      <c r="K48" s="1">
        <f>IF(I48="","", 100*_xlfn.STDEV.P(I47:I48)/AVERAGE(I47:I48))</f>
        <v/>
      </c>
      <c r="L48" s="8">
        <f t="array" ref="L48">IF(I48="","", IFERROR(((IF(I$5&lt;&gt;"", I$5*A$5, 0) + SUMPRODUCT(--(I$6:I48&lt;&gt;""), I$6:I48, (A$6:A48-A$5:A47)))/1000), ""))</f>
        <v/>
      </c>
      <c r="M48" s="1">
        <f>M47+10</f>
        <v/>
      </c>
      <c r="N48" s="1">
        <f>O47</f>
        <v/>
      </c>
      <c r="Q48" t="inlineStr">
        <is>
          <t>200mL/3s/30s</t>
        </is>
      </c>
      <c r="U48" s="1">
        <f>IF(O48="", "", (N48-O48)*1000/(M48-M47))</f>
        <v/>
      </c>
      <c r="V48" s="1">
        <f>IF(U48="","",U48/R$2/3)</f>
        <v/>
      </c>
      <c r="W48" s="1">
        <f>IF(U48="","", 100*_xlfn.STDEV.P(U47:U48)/AVERAGE(U47:U48))</f>
        <v/>
      </c>
      <c r="X48" s="8">
        <f t="array" ref="X48">IF(U48="","", IFERROR(((IF(U$5&lt;&gt;"", U$5*M$5, 0) + SUMPRODUCT(--(U$6:U48&lt;&gt;""), U$6:U48, (M$6:M48-M$5:M47)))/1000), ""))</f>
        <v/>
      </c>
    </row>
    <row r="49">
      <c r="A49" s="1">
        <f>A48+10</f>
        <v/>
      </c>
      <c r="B49" s="1">
        <f>C48</f>
        <v/>
      </c>
      <c r="E49" t="inlineStr">
        <is>
          <t>200mL/3s/30s</t>
        </is>
      </c>
      <c r="I49" s="1">
        <f>IF(C49="", "", (B49-C49)*1000/(A49-A48))</f>
        <v/>
      </c>
      <c r="J49" s="1">
        <f>IF(I49="","",I49/F$2/3)</f>
        <v/>
      </c>
      <c r="K49" s="1">
        <f>IF(I49="","", 100*_xlfn.STDEV.P(I48:I49)/AVERAGE(I48:I49))</f>
        <v/>
      </c>
      <c r="L49" s="8">
        <f t="array" ref="L49">IF(I49="","", IFERROR(((IF(I$5&lt;&gt;"", I$5*A$5, 0) + SUMPRODUCT(--(I$6:I49&lt;&gt;""), I$6:I49, (A$6:A49-A$5:A48)))/1000), ""))</f>
        <v/>
      </c>
      <c r="M49" s="1">
        <f>M48+10</f>
        <v/>
      </c>
      <c r="N49" s="1">
        <f>O48</f>
        <v/>
      </c>
      <c r="Q49" t="inlineStr">
        <is>
          <t>200mL/3s/30s</t>
        </is>
      </c>
      <c r="U49" s="1">
        <f>IF(O49="", "", (N49-O49)*1000/(M49-M48))</f>
        <v/>
      </c>
      <c r="V49" s="1">
        <f>IF(U49="","",U49/R$2/3)</f>
        <v/>
      </c>
      <c r="W49" s="1">
        <f>IF(U49="","", 100*_xlfn.STDEV.P(U48:U49)/AVERAGE(U48:U49))</f>
        <v/>
      </c>
      <c r="X49" s="8">
        <f t="array" ref="X49">IF(U49="","", IFERROR(((IF(U$5&lt;&gt;"", U$5*M$5, 0) + SUMPRODUCT(--(U$6:U49&lt;&gt;""), U$6:U49, (M$6:M49-M$5:M48)))/1000), ""))</f>
        <v/>
      </c>
    </row>
    <row r="50">
      <c r="A50" s="1">
        <f>A49+10</f>
        <v/>
      </c>
      <c r="B50" s="1">
        <f>C49</f>
        <v/>
      </c>
      <c r="E50" t="inlineStr">
        <is>
          <t>200mL/3s/30s</t>
        </is>
      </c>
      <c r="I50" s="1">
        <f>IF(C50="", "", (B50-C50)*1000/(A50-A49))</f>
        <v/>
      </c>
      <c r="J50" s="1">
        <f>IF(I50="","",I50/F$2/3)</f>
        <v/>
      </c>
      <c r="K50" s="1">
        <f>IF(I50="","", 100*_xlfn.STDEV.P(I49:I50)/AVERAGE(I49:I50))</f>
        <v/>
      </c>
      <c r="L50" s="8">
        <f t="array" ref="L50">IF(I50="","", IFERROR(((IF(I$5&lt;&gt;"", I$5*A$5, 0) + SUMPRODUCT(--(I$6:I50&lt;&gt;""), I$6:I50, (A$6:A50-A$5:A49)))/1000), ""))</f>
        <v/>
      </c>
      <c r="M50" s="1">
        <f>M49+10</f>
        <v/>
      </c>
      <c r="N50" s="1">
        <f>O49</f>
        <v/>
      </c>
      <c r="Q50" t="inlineStr">
        <is>
          <t>200mL/3s/30s</t>
        </is>
      </c>
      <c r="U50" s="1">
        <f>IF(O50="", "", (N50-O50)*1000/(M50-M49))</f>
        <v/>
      </c>
      <c r="V50" s="1">
        <f>IF(U50="","",U50/R$2/3)</f>
        <v/>
      </c>
      <c r="W50" s="1">
        <f>IF(U50="","", 100*_xlfn.STDEV.P(U49:U50)/AVERAGE(U49:U50))</f>
        <v/>
      </c>
      <c r="X50" s="8">
        <f t="array" ref="X50">IF(U50="","", IFERROR(((IF(U$5&lt;&gt;"", U$5*M$5, 0) + SUMPRODUCT(--(U$6:U50&lt;&gt;""), U$6:U50, (M$6:M50-M$5:M49)))/1000), ""))</f>
        <v/>
      </c>
    </row>
    <row r="51">
      <c r="A51" s="1">
        <f>A50+10</f>
        <v/>
      </c>
      <c r="B51" s="1">
        <f>C50</f>
        <v/>
      </c>
      <c r="E51" t="inlineStr">
        <is>
          <t>200mL/3s/30s</t>
        </is>
      </c>
      <c r="I51" s="1">
        <f>IF(C51="", "", (B51-C51)*1000/(A51-A50))</f>
        <v/>
      </c>
      <c r="J51" s="1">
        <f>IF(I51="","",I51/F$2/3)</f>
        <v/>
      </c>
      <c r="K51" s="1">
        <f>IF(I51="","", 100*_xlfn.STDEV.P(I50:I51)/AVERAGE(I50:I51))</f>
        <v/>
      </c>
      <c r="L51" s="8">
        <f t="array" ref="L51">IF(I51="","", IFERROR(((IF(I$5&lt;&gt;"", I$5*A$5, 0) + SUMPRODUCT(--(I$6:I51&lt;&gt;""), I$6:I51, (A$6:A51-A$5:A50)))/1000), ""))</f>
        <v/>
      </c>
      <c r="M51" s="1">
        <f>M50+10</f>
        <v/>
      </c>
      <c r="N51" s="1">
        <f>O50</f>
        <v/>
      </c>
      <c r="Q51" t="inlineStr">
        <is>
          <t>200mL/3s/30s</t>
        </is>
      </c>
      <c r="U51" s="1">
        <f>IF(O51="", "", (N51-O51)*1000/(M51-M50))</f>
        <v/>
      </c>
      <c r="V51" s="1">
        <f>IF(U51="","",U51/R$2/3)</f>
        <v/>
      </c>
      <c r="W51" s="1">
        <f>IF(U51="","", 100*_xlfn.STDEV.P(U50:U51)/AVERAGE(U50:U51))</f>
        <v/>
      </c>
      <c r="X51" s="8">
        <f t="array" ref="X51">IF(U51="","", IFERROR(((IF(U$5&lt;&gt;"", U$5*M$5, 0) + SUMPRODUCT(--(U$6:U51&lt;&gt;""), U$6:U51, (M$6:M51-M$5:M50)))/1000), ""))</f>
        <v/>
      </c>
    </row>
    <row r="52">
      <c r="A52" s="1">
        <f>A51+10</f>
        <v/>
      </c>
      <c r="B52" s="1">
        <f>C51</f>
        <v/>
      </c>
      <c r="E52" t="inlineStr">
        <is>
          <t>200mL/3s/30s</t>
        </is>
      </c>
      <c r="I52" s="1">
        <f>IF(C52="", "", (B52-C52)*1000/(A52-A51))</f>
        <v/>
      </c>
      <c r="J52" s="1">
        <f>IF(I52="","",I52/F$2/3)</f>
        <v/>
      </c>
      <c r="K52" s="1">
        <f>IF(I52="","", 100*_xlfn.STDEV.P(I51:I52)/AVERAGE(I51:I52))</f>
        <v/>
      </c>
      <c r="L52" s="8">
        <f t="array" ref="L52">IF(I52="","", IFERROR(((IF(I$5&lt;&gt;"", I$5*A$5, 0) + SUMPRODUCT(--(I$6:I52&lt;&gt;""), I$6:I52, (A$6:A52-A$5:A51)))/1000), ""))</f>
        <v/>
      </c>
      <c r="M52" s="1">
        <f>M51+10</f>
        <v/>
      </c>
      <c r="N52" s="1">
        <f>O51</f>
        <v/>
      </c>
      <c r="Q52" t="inlineStr">
        <is>
          <t>200mL/3s/30s</t>
        </is>
      </c>
      <c r="U52" s="1">
        <f>IF(O52="", "", (N52-O52)*1000/(M52-M51))</f>
        <v/>
      </c>
      <c r="V52" s="1">
        <f>IF(U52="","",U52/R$2/3)</f>
        <v/>
      </c>
      <c r="W52" s="1">
        <f>IF(U52="","", 100*_xlfn.STDEV.P(U51:U52)/AVERAGE(U51:U52))</f>
        <v/>
      </c>
      <c r="X52" s="8">
        <f t="array" ref="X52">IF(U52="","", IFERROR(((IF(U$5&lt;&gt;"", U$5*M$5, 0) + SUMPRODUCT(--(U$6:U52&lt;&gt;""), U$6:U52, (M$6:M52-M$5:M51)))/1000), ""))</f>
        <v/>
      </c>
    </row>
    <row r="53">
      <c r="A53" s="1">
        <f>A52+10</f>
        <v/>
      </c>
      <c r="B53" s="1">
        <f>C52</f>
        <v/>
      </c>
      <c r="E53" t="inlineStr">
        <is>
          <t>200mL/3s/30s</t>
        </is>
      </c>
      <c r="I53" s="1">
        <f>IF(C53="", "", (B53-C53)*1000/(A53-A52))</f>
        <v/>
      </c>
      <c r="J53" s="1">
        <f>IF(I53="","",I53/F$2/3)</f>
        <v/>
      </c>
      <c r="K53" s="1">
        <f>IF(I53="","", 100*_xlfn.STDEV.P(I52:I53)/AVERAGE(I52:I53))</f>
        <v/>
      </c>
      <c r="L53" s="8">
        <f t="array" ref="L53">IF(I53="","", IFERROR(((IF(I$5&lt;&gt;"", I$5*A$5, 0) + SUMPRODUCT(--(I$6:I53&lt;&gt;""), I$6:I53, (A$6:A53-A$5:A52)))/1000), ""))</f>
        <v/>
      </c>
      <c r="M53" s="1">
        <f>M52+10</f>
        <v/>
      </c>
      <c r="N53" s="1">
        <f>O52</f>
        <v/>
      </c>
      <c r="Q53" t="inlineStr">
        <is>
          <t>200mL/3s/30s</t>
        </is>
      </c>
      <c r="U53" s="1">
        <f>IF(O53="", "", (N53-O53)*1000/(M53-M52))</f>
        <v/>
      </c>
      <c r="V53" s="1">
        <f>IF(U53="","",U53/R$2/3)</f>
        <v/>
      </c>
      <c r="W53" s="1">
        <f>IF(U53="","", 100*_xlfn.STDEV.P(U52:U53)/AVERAGE(U52:U53))</f>
        <v/>
      </c>
      <c r="X53" s="8">
        <f t="array" ref="X53">IF(U53="","", IFERROR(((IF(U$5&lt;&gt;"", U$5*M$5, 0) + SUMPRODUCT(--(U$6:U53&lt;&gt;""), U$6:U53, (M$6:M53-M$5:M52)))/1000), ""))</f>
        <v/>
      </c>
    </row>
    <row r="54">
      <c r="A54" s="1">
        <f>A53+10</f>
        <v/>
      </c>
      <c r="B54" s="1">
        <f>C53</f>
        <v/>
      </c>
      <c r="E54" t="inlineStr">
        <is>
          <t>200mL/3s/30s</t>
        </is>
      </c>
      <c r="I54" s="1">
        <f>IF(C54="", "", (B54-C54)*1000/(A54-A53))</f>
        <v/>
      </c>
      <c r="J54" s="1">
        <f>IF(I54="","",I54/F$2/3)</f>
        <v/>
      </c>
      <c r="K54" s="1">
        <f>IF(I54="","", 100*_xlfn.STDEV.P(I53:I54)/AVERAGE(I53:I54))</f>
        <v/>
      </c>
      <c r="L54" s="8">
        <f t="array" ref="L54">IF(I54="","", IFERROR(((IF(I$5&lt;&gt;"", I$5*A$5, 0) + SUMPRODUCT(--(I$6:I54&lt;&gt;""), I$6:I54, (A$6:A54-A$5:A53)))/1000), ""))</f>
        <v/>
      </c>
      <c r="M54" s="1">
        <f>M53+10</f>
        <v/>
      </c>
      <c r="N54" s="1">
        <f>O53</f>
        <v/>
      </c>
      <c r="Q54" t="inlineStr">
        <is>
          <t>200mL/3s/30s</t>
        </is>
      </c>
      <c r="U54" s="1">
        <f>IF(O54="", "", (N54-O54)*1000/(M54-M53))</f>
        <v/>
      </c>
      <c r="V54" s="1">
        <f>IF(U54="","",U54/R$2/3)</f>
        <v/>
      </c>
      <c r="W54" s="1">
        <f>IF(U54="","", 100*_xlfn.STDEV.P(U53:U54)/AVERAGE(U53:U54))</f>
        <v/>
      </c>
      <c r="X54" s="8">
        <f t="array" ref="X54">IF(U54="","", IFERROR(((IF(U$5&lt;&gt;"", U$5*M$5, 0) + SUMPRODUCT(--(U$6:U54&lt;&gt;""), U$6:U54, (M$6:M54-M$5:M53)))/1000), ""))</f>
        <v/>
      </c>
    </row>
    <row r="55">
      <c r="A55" s="1">
        <f>A54+10</f>
        <v/>
      </c>
      <c r="B55" s="1">
        <f>C54</f>
        <v/>
      </c>
      <c r="E55" t="inlineStr">
        <is>
          <t>200mL/3s/30s</t>
        </is>
      </c>
      <c r="I55" s="1">
        <f>IF(C55="", "", (B55-C55)*1000/(A55-A54))</f>
        <v/>
      </c>
      <c r="J55" s="1">
        <f>IF(I55="","",I55/F$2/3)</f>
        <v/>
      </c>
      <c r="K55" s="1">
        <f>IF(I55="","", 100*_xlfn.STDEV.P(I54:I55)/AVERAGE(I54:I55))</f>
        <v/>
      </c>
      <c r="L55" s="8">
        <f t="array" ref="L55">IF(I55="","", IFERROR(((IF(I$5&lt;&gt;"", I$5*A$5, 0) + SUMPRODUCT(--(I$6:I55&lt;&gt;""), I$6:I55, (A$6:A55-A$5:A54)))/1000), ""))</f>
        <v/>
      </c>
      <c r="M55" s="1">
        <f>M54+10</f>
        <v/>
      </c>
      <c r="N55" s="1">
        <f>O54</f>
        <v/>
      </c>
      <c r="Q55" t="inlineStr">
        <is>
          <t>200mL/3s/30s</t>
        </is>
      </c>
      <c r="U55" s="1">
        <f>IF(O55="", "", (N55-O55)*1000/(M55-M54))</f>
        <v/>
      </c>
      <c r="V55" s="1">
        <f>IF(U55="","",U55/R$2/3)</f>
        <v/>
      </c>
      <c r="W55" s="1">
        <f>IF(U55="","", 100*_xlfn.STDEV.P(U54:U55)/AVERAGE(U54:U55))</f>
        <v/>
      </c>
      <c r="X55" s="8">
        <f t="array" ref="X55">IF(U55="","", IFERROR(((IF(U$5&lt;&gt;"", U$5*M$5, 0) + SUMPRODUCT(--(U$6:U55&lt;&gt;""), U$6:U55, (M$6:M55-M$5:M54)))/1000), ""))</f>
        <v/>
      </c>
    </row>
    <row r="56">
      <c r="A56" s="1">
        <f>A55+10</f>
        <v/>
      </c>
      <c r="B56" s="1">
        <f>C55</f>
        <v/>
      </c>
      <c r="E56" t="inlineStr">
        <is>
          <t>200mL/3s/30s</t>
        </is>
      </c>
      <c r="I56" s="1">
        <f>IF(C56="", "", (B56-C56)*1000/(A56-A55))</f>
        <v/>
      </c>
      <c r="J56" s="1">
        <f>IF(I56="","",I56/F$2/3)</f>
        <v/>
      </c>
      <c r="K56" s="1">
        <f>IF(I56="","", 100*_xlfn.STDEV.P(I55:I56)/AVERAGE(I55:I56))</f>
        <v/>
      </c>
      <c r="L56" s="8">
        <f t="array" ref="L56">IF(I56="","", IFERROR(((IF(I$5&lt;&gt;"", I$5*A$5, 0) + SUMPRODUCT(--(I$6:I56&lt;&gt;""), I$6:I56, (A$6:A56-A$5:A55)))/1000), ""))</f>
        <v/>
      </c>
      <c r="M56" s="1">
        <f>M55+10</f>
        <v/>
      </c>
      <c r="N56" s="1">
        <f>O55</f>
        <v/>
      </c>
      <c r="Q56" t="inlineStr">
        <is>
          <t>200mL/3s/30s</t>
        </is>
      </c>
      <c r="U56" s="1">
        <f>IF(O56="", "", (N56-O56)*1000/(M56-M55))</f>
        <v/>
      </c>
      <c r="V56" s="1">
        <f>IF(U56="","",U56/R$2/3)</f>
        <v/>
      </c>
      <c r="W56" s="1">
        <f>IF(U56="","", 100*_xlfn.STDEV.P(U55:U56)/AVERAGE(U55:U56))</f>
        <v/>
      </c>
      <c r="X56" s="8">
        <f t="array" ref="X56">IF(U56="","", IFERROR(((IF(U$5&lt;&gt;"", U$5*M$5, 0) + SUMPRODUCT(--(U$6:U56&lt;&gt;""), U$6:U56, (M$6:M56-M$5:M55)))/1000), ""))</f>
        <v/>
      </c>
    </row>
    <row r="57">
      <c r="A57" s="1">
        <f>A56+10</f>
        <v/>
      </c>
      <c r="B57" s="1">
        <f>C56</f>
        <v/>
      </c>
      <c r="E57" t="inlineStr">
        <is>
          <t>200mL/3s/30s</t>
        </is>
      </c>
      <c r="I57" s="1">
        <f>IF(C57="", "", (B57-C57)*1000/(A57-A56))</f>
        <v/>
      </c>
      <c r="J57" s="1">
        <f>IF(I57="","",I57/F$2/3)</f>
        <v/>
      </c>
      <c r="K57" s="1">
        <f>IF(I57="","", 100*_xlfn.STDEV.P(I56:I57)/AVERAGE(I56:I57))</f>
        <v/>
      </c>
      <c r="L57" s="8">
        <f t="array" ref="L57">IF(I57="","", IFERROR(((IF(I$5&lt;&gt;"", I$5*A$5, 0) + SUMPRODUCT(--(I$6:I57&lt;&gt;""), I$6:I57, (A$6:A57-A$5:A56)))/1000), ""))</f>
        <v/>
      </c>
      <c r="M57" s="1">
        <f>M56+10</f>
        <v/>
      </c>
      <c r="N57" s="1">
        <f>O56</f>
        <v/>
      </c>
      <c r="Q57" t="inlineStr">
        <is>
          <t>200mL/3s/30s</t>
        </is>
      </c>
      <c r="U57" s="1">
        <f>IF(O57="", "", (N57-O57)*1000/(M57-M56))</f>
        <v/>
      </c>
      <c r="V57" s="1">
        <f>IF(U57="","",U57/R$2/3)</f>
        <v/>
      </c>
      <c r="W57" s="1">
        <f>IF(U57="","", 100*_xlfn.STDEV.P(U56:U57)/AVERAGE(U56:U57))</f>
        <v/>
      </c>
      <c r="X57" s="8">
        <f t="array" ref="X57">IF(U57="","", IFERROR(((IF(U$5&lt;&gt;"", U$5*M$5, 0) + SUMPRODUCT(--(U$6:U57&lt;&gt;""), U$6:U57, (M$6:M57-M$5:M56)))/1000), ""))</f>
        <v/>
      </c>
    </row>
    <row r="58">
      <c r="A58" s="1">
        <f>A57+10</f>
        <v/>
      </c>
      <c r="B58" s="1">
        <f>C57</f>
        <v/>
      </c>
      <c r="E58" t="inlineStr">
        <is>
          <t>200mL/3s/30s</t>
        </is>
      </c>
      <c r="I58" s="1">
        <f>IF(C58="", "", (B58-C58)*1000/(A58-A57))</f>
        <v/>
      </c>
      <c r="J58" s="1">
        <f>IF(I58="","",I58/F$2/3)</f>
        <v/>
      </c>
      <c r="K58" s="1">
        <f>IF(I58="","", 100*_xlfn.STDEV.P(I57:I58)/AVERAGE(I57:I58))</f>
        <v/>
      </c>
      <c r="L58" s="8">
        <f t="array" ref="L58">IF(I58="","", IFERROR(((IF(I$5&lt;&gt;"", I$5*A$5, 0) + SUMPRODUCT(--(I$6:I58&lt;&gt;""), I$6:I58, (A$6:A58-A$5:A57)))/1000), ""))</f>
        <v/>
      </c>
      <c r="M58" s="1">
        <f>M57+10</f>
        <v/>
      </c>
      <c r="N58" s="1">
        <f>O57</f>
        <v/>
      </c>
      <c r="Q58" t="inlineStr">
        <is>
          <t>200mL/3s/30s</t>
        </is>
      </c>
      <c r="U58" s="1">
        <f>IF(O58="", "", (N58-O58)*1000/(M58-M57))</f>
        <v/>
      </c>
      <c r="V58" s="1">
        <f>IF(U58="","",U58/R$2/3)</f>
        <v/>
      </c>
      <c r="W58" s="1">
        <f>IF(U58="","", 100*_xlfn.STDEV.P(U57:U58)/AVERAGE(U57:U58))</f>
        <v/>
      </c>
      <c r="X58" s="8">
        <f t="array" ref="X58">IF(U58="","", IFERROR(((IF(U$5&lt;&gt;"", U$5*M$5, 0) + SUMPRODUCT(--(U$6:U58&lt;&gt;""), U$6:U58, (M$6:M58-M$5:M57)))/1000), ""))</f>
        <v/>
      </c>
    </row>
    <row r="59">
      <c r="A59" s="1">
        <f>A58+10</f>
        <v/>
      </c>
      <c r="B59" s="1">
        <f>C58</f>
        <v/>
      </c>
      <c r="E59" t="inlineStr">
        <is>
          <t>200mL/3s/30s</t>
        </is>
      </c>
      <c r="I59" s="1">
        <f>IF(C59="", "", (B59-C59)*1000/(A59-A58))</f>
        <v/>
      </c>
      <c r="J59" s="1">
        <f>IF(I59="","",I59/F$2/3)</f>
        <v/>
      </c>
      <c r="K59" s="1">
        <f>IF(I59="","", 100*_xlfn.STDEV.P(I58:I59)/AVERAGE(I58:I59))</f>
        <v/>
      </c>
      <c r="L59" s="8">
        <f t="array" ref="L59">IF(I59="","", IFERROR(((IF(I$5&lt;&gt;"", I$5*A$5, 0) + SUMPRODUCT(--(I$6:I59&lt;&gt;""), I$6:I59, (A$6:A59-A$5:A58)))/1000), ""))</f>
        <v/>
      </c>
      <c r="M59" s="1">
        <f>M58+10</f>
        <v/>
      </c>
      <c r="N59" s="1">
        <f>O58</f>
        <v/>
      </c>
      <c r="Q59" t="inlineStr">
        <is>
          <t>200mL/3s/30s</t>
        </is>
      </c>
      <c r="U59" s="1">
        <f>IF(O59="", "", (N59-O59)*1000/(M59-M58))</f>
        <v/>
      </c>
      <c r="V59" s="1">
        <f>IF(U59="","",U59/R$2/3)</f>
        <v/>
      </c>
      <c r="W59" s="1">
        <f>IF(U59="","", 100*_xlfn.STDEV.P(U58:U59)/AVERAGE(U58:U59))</f>
        <v/>
      </c>
      <c r="X59" s="8">
        <f t="array" ref="X59">IF(U59="","", IFERROR(((IF(U$5&lt;&gt;"", U$5*M$5, 0) + SUMPRODUCT(--(U$6:U59&lt;&gt;""), U$6:U59, (M$6:M59-M$5:M58)))/1000), ""))</f>
        <v/>
      </c>
    </row>
    <row r="60">
      <c r="A60" s="1">
        <f>A59+10</f>
        <v/>
      </c>
      <c r="B60" s="1">
        <f>C59</f>
        <v/>
      </c>
      <c r="E60" t="inlineStr">
        <is>
          <t>200mL/3s/30s</t>
        </is>
      </c>
      <c r="I60" s="1">
        <f>IF(C60="", "", (B60-C60)*1000/(A60-A59))</f>
        <v/>
      </c>
      <c r="J60" s="1">
        <f>IF(I60="","",I60/F$2/3)</f>
        <v/>
      </c>
      <c r="K60" s="1">
        <f>IF(I60="","", 100*_xlfn.STDEV.P(I59:I60)/AVERAGE(I59:I60))</f>
        <v/>
      </c>
      <c r="L60" s="8">
        <f t="array" ref="L60">IF(I60="","", IFERROR(((IF(I$5&lt;&gt;"", I$5*A$5, 0) + SUMPRODUCT(--(I$6:I60&lt;&gt;""), I$6:I60, (A$6:A60-A$5:A59)))/1000), ""))</f>
        <v/>
      </c>
      <c r="M60" s="1">
        <f>M59+10</f>
        <v/>
      </c>
      <c r="N60" s="1">
        <f>O59</f>
        <v/>
      </c>
      <c r="Q60" t="inlineStr">
        <is>
          <t>200mL/3s/30s</t>
        </is>
      </c>
      <c r="U60" s="1">
        <f>IF(O60="", "", (N60-O60)*1000/(M60-M59))</f>
        <v/>
      </c>
      <c r="V60" s="1">
        <f>IF(U60="","",U60/R$2/3)</f>
        <v/>
      </c>
      <c r="W60" s="1">
        <f>IF(U60="","", 100*_xlfn.STDEV.P(U59:U60)/AVERAGE(U59:U60))</f>
        <v/>
      </c>
      <c r="X60" s="8">
        <f t="array" ref="X60">IF(U60="","", IFERROR(((IF(U$5&lt;&gt;"", U$5*M$5, 0) + SUMPRODUCT(--(U$6:U60&lt;&gt;""), U$6:U60, (M$6:M60-M$5:M59)))/1000), ""))</f>
        <v/>
      </c>
    </row>
    <row r="61">
      <c r="A61" s="1">
        <f>A60+10</f>
        <v/>
      </c>
      <c r="B61" s="1">
        <f>C60</f>
        <v/>
      </c>
      <c r="E61" t="inlineStr">
        <is>
          <t>200mL/3s/30s</t>
        </is>
      </c>
      <c r="I61" s="1">
        <f>IF(C61="", "", (B61-C61)*1000/(A61-A60))</f>
        <v/>
      </c>
      <c r="J61" s="1">
        <f>IF(I61="","",I61/F$2/3)</f>
        <v/>
      </c>
      <c r="K61" s="1">
        <f>IF(I61="","", 100*_xlfn.STDEV.P(I60:I61)/AVERAGE(I60:I61))</f>
        <v/>
      </c>
      <c r="L61" s="8">
        <f t="array" ref="L61">IF(I61="","", IFERROR(((IF(I$5&lt;&gt;"", I$5*A$5, 0) + SUMPRODUCT(--(I$6:I61&lt;&gt;""), I$6:I61, (A$6:A61-A$5:A60)))/1000), ""))</f>
        <v/>
      </c>
      <c r="M61" s="1">
        <f>M60+10</f>
        <v/>
      </c>
      <c r="N61" s="1">
        <f>O60</f>
        <v/>
      </c>
      <c r="Q61" t="inlineStr">
        <is>
          <t>200mL/3s/30s</t>
        </is>
      </c>
      <c r="U61" s="1">
        <f>IF(O61="", "", (N61-O61)*1000/(M61-M60))</f>
        <v/>
      </c>
      <c r="V61" s="1">
        <f>IF(U61="","",U61/R$2/3)</f>
        <v/>
      </c>
      <c r="W61" s="1">
        <f>IF(U61="","", 100*_xlfn.STDEV.P(U60:U61)/AVERAGE(U60:U61))</f>
        <v/>
      </c>
      <c r="X61" s="8">
        <f t="array" ref="X61">IF(U61="","", IFERROR(((IF(U$5&lt;&gt;"", U$5*M$5, 0) + SUMPRODUCT(--(U$6:U61&lt;&gt;""), U$6:U61, (M$6:M61-M$5:M60)))/1000), ""))</f>
        <v/>
      </c>
    </row>
    <row r="62">
      <c r="A62" s="1">
        <f>A61+10</f>
        <v/>
      </c>
      <c r="B62" s="1">
        <f>C61</f>
        <v/>
      </c>
      <c r="E62" t="inlineStr">
        <is>
          <t>200mL/3s/30s</t>
        </is>
      </c>
      <c r="I62" s="1">
        <f>IF(C62="", "", (B62-C62)*1000/(A62-A61))</f>
        <v/>
      </c>
      <c r="J62" s="1">
        <f>IF(I62="","",I62/F$2/3)</f>
        <v/>
      </c>
      <c r="K62" s="1">
        <f>IF(I62="","", 100*_xlfn.STDEV.P(I61:I62)/AVERAGE(I61:I62))</f>
        <v/>
      </c>
      <c r="L62" s="8">
        <f t="array" ref="L62">IF(I62="","", IFERROR(((IF(I$5&lt;&gt;"", I$5*A$5, 0) + SUMPRODUCT(--(I$6:I62&lt;&gt;""), I$6:I62, (A$6:A62-A$5:A61)))/1000), ""))</f>
        <v/>
      </c>
      <c r="M62" s="1">
        <f>M61+10</f>
        <v/>
      </c>
      <c r="N62" s="1">
        <f>O61</f>
        <v/>
      </c>
      <c r="Q62" t="inlineStr">
        <is>
          <t>200mL/3s/30s</t>
        </is>
      </c>
      <c r="U62" s="1">
        <f>IF(O62="", "", (N62-O62)*1000/(M62-M61))</f>
        <v/>
      </c>
      <c r="V62" s="1">
        <f>IF(U62="","",U62/R$2/3)</f>
        <v/>
      </c>
      <c r="W62" s="1">
        <f>IF(U62="","", 100*_xlfn.STDEV.P(U61:U62)/AVERAGE(U61:U62))</f>
        <v/>
      </c>
      <c r="X62" s="8">
        <f t="array" ref="X62">IF(U62="","", IFERROR(((IF(U$5&lt;&gt;"", U$5*M$5, 0) + SUMPRODUCT(--(U$6:U62&lt;&gt;""), U$6:U62, (M$6:M62-M$5:M61)))/1000), ""))</f>
        <v/>
      </c>
    </row>
    <row r="63">
      <c r="A63" s="1">
        <f>A62+10</f>
        <v/>
      </c>
      <c r="B63" s="1">
        <f>C62</f>
        <v/>
      </c>
      <c r="E63" t="inlineStr">
        <is>
          <t>200mL/3s/30s</t>
        </is>
      </c>
      <c r="I63" s="1">
        <f>IF(C63="", "", (B63-C63)*1000/(A63-A62))</f>
        <v/>
      </c>
      <c r="J63" s="1">
        <f>IF(I63="","",I63/F$2/3)</f>
        <v/>
      </c>
      <c r="K63" s="1">
        <f>IF(I63="","", 100*_xlfn.STDEV.P(I62:I63)/AVERAGE(I62:I63))</f>
        <v/>
      </c>
      <c r="L63" s="8">
        <f t="array" ref="L63">IF(I63="","", IFERROR(((IF(I$5&lt;&gt;"", I$5*A$5, 0) + SUMPRODUCT(--(I$6:I63&lt;&gt;""), I$6:I63, (A$6:A63-A$5:A62)))/1000), ""))</f>
        <v/>
      </c>
      <c r="M63" s="1">
        <f>M62+10</f>
        <v/>
      </c>
      <c r="N63" s="1">
        <f>O62</f>
        <v/>
      </c>
      <c r="Q63" t="inlineStr">
        <is>
          <t>200mL/3s/30s</t>
        </is>
      </c>
      <c r="U63" s="1">
        <f>IF(O63="", "", (N63-O63)*1000/(M63-M62))</f>
        <v/>
      </c>
      <c r="V63" s="1">
        <f>IF(U63="","",U63/R$2/3)</f>
        <v/>
      </c>
      <c r="W63" s="1">
        <f>IF(U63="","", 100*_xlfn.STDEV.P(U62:U63)/AVERAGE(U62:U63))</f>
        <v/>
      </c>
      <c r="X63" s="8">
        <f t="array" ref="X63">IF(U63="","", IFERROR(((IF(U$5&lt;&gt;"", U$5*M$5, 0) + SUMPRODUCT(--(U$6:U63&lt;&gt;""), U$6:U63, (M$6:M63-M$5:M62)))/1000), ""))</f>
        <v/>
      </c>
    </row>
    <row r="64">
      <c r="A64" s="1">
        <f>A63+10</f>
        <v/>
      </c>
      <c r="B64" s="1">
        <f>C63</f>
        <v/>
      </c>
      <c r="E64" t="inlineStr">
        <is>
          <t>200mL/3s/30s</t>
        </is>
      </c>
      <c r="I64" s="1">
        <f>IF(C64="", "", (B64-C64)*1000/(A64-A63))</f>
        <v/>
      </c>
      <c r="J64" s="1">
        <f>IF(I64="","",I64/F$2/3)</f>
        <v/>
      </c>
      <c r="K64" s="1">
        <f>IF(I64="","", 100*_xlfn.STDEV.P(I63:I64)/AVERAGE(I63:I64))</f>
        <v/>
      </c>
      <c r="L64" s="8">
        <f t="array" ref="L64">IF(I64="","", IFERROR(((IF(I$5&lt;&gt;"", I$5*A$5, 0) + SUMPRODUCT(--(I$6:I64&lt;&gt;""), I$6:I64, (A$6:A64-A$5:A63)))/1000), ""))</f>
        <v/>
      </c>
      <c r="M64" s="1">
        <f>M63+10</f>
        <v/>
      </c>
      <c r="N64" s="1">
        <f>O63</f>
        <v/>
      </c>
      <c r="Q64" t="inlineStr">
        <is>
          <t>200mL/3s/30s</t>
        </is>
      </c>
      <c r="U64" s="1">
        <f>IF(O64="", "", (N64-O64)*1000/(M64-M63))</f>
        <v/>
      </c>
      <c r="V64" s="1">
        <f>IF(U64="","",U64/R$2/3)</f>
        <v/>
      </c>
      <c r="W64" s="1">
        <f>IF(U64="","", 100*_xlfn.STDEV.P(U63:U64)/AVERAGE(U63:U64))</f>
        <v/>
      </c>
      <c r="X64" s="8">
        <f t="array" ref="X64">IF(U64="","", IFERROR(((IF(U$5&lt;&gt;"", U$5*M$5, 0) + SUMPRODUCT(--(U$6:U64&lt;&gt;""), U$6:U64, (M$6:M64-M$5:M63)))/1000), ""))</f>
        <v/>
      </c>
    </row>
    <row r="65">
      <c r="A65" s="1">
        <f>A64+10</f>
        <v/>
      </c>
      <c r="B65" s="1">
        <f>C64</f>
        <v/>
      </c>
      <c r="E65" t="inlineStr">
        <is>
          <t>200mL/3s/30s</t>
        </is>
      </c>
      <c r="I65" s="1">
        <f>IF(C65="", "", (B65-C65)*1000/(A65-A64))</f>
        <v/>
      </c>
      <c r="J65" s="1">
        <f>IF(I65="","",I65/F$2/3)</f>
        <v/>
      </c>
      <c r="K65" s="1">
        <f>IF(I65="","", 100*_xlfn.STDEV.P(I64:I65)/AVERAGE(I64:I65))</f>
        <v/>
      </c>
      <c r="L65" s="8">
        <f t="array" ref="L65">IF(I65="","", IFERROR(((IF(I$5&lt;&gt;"", I$5*A$5, 0) + SUMPRODUCT(--(I$6:I65&lt;&gt;""), I$6:I65, (A$6:A65-A$5:A64)))/1000), ""))</f>
        <v/>
      </c>
      <c r="M65" s="1">
        <f>M64+10</f>
        <v/>
      </c>
      <c r="N65" s="1">
        <f>O64</f>
        <v/>
      </c>
      <c r="Q65" t="inlineStr">
        <is>
          <t>200mL/3s/30s</t>
        </is>
      </c>
      <c r="U65" s="1">
        <f>IF(O65="", "", (N65-O65)*1000/(M65-M64))</f>
        <v/>
      </c>
      <c r="V65" s="1">
        <f>IF(U65="","",U65/R$2/3)</f>
        <v/>
      </c>
      <c r="W65" s="1">
        <f>IF(U65="","", 100*_xlfn.STDEV.P(U64:U65)/AVERAGE(U64:U65))</f>
        <v/>
      </c>
      <c r="X65" s="8">
        <f t="array" ref="X65">IF(U65="","", IFERROR(((IF(U$5&lt;&gt;"", U$5*M$5, 0) + SUMPRODUCT(--(U$6:U65&lt;&gt;""), U$6:U65, (M$6:M65-M$5:M64)))/1000), ""))</f>
        <v/>
      </c>
    </row>
    <row r="66">
      <c r="A66" s="1">
        <f>A65+10</f>
        <v/>
      </c>
      <c r="B66" s="1">
        <f>C65</f>
        <v/>
      </c>
      <c r="E66" t="inlineStr">
        <is>
          <t>200mL/3s/30s</t>
        </is>
      </c>
      <c r="I66" s="1">
        <f>IF(C66="", "", (B66-C66)*1000/(A66-A65))</f>
        <v/>
      </c>
      <c r="J66" s="1">
        <f>IF(I66="","",I66/F$2/3)</f>
        <v/>
      </c>
      <c r="K66" s="1">
        <f>IF(I66="","", 100*_xlfn.STDEV.P(I65:I66)/AVERAGE(I65:I66))</f>
        <v/>
      </c>
      <c r="L66" s="8">
        <f t="array" ref="L66">IF(I66="","", IFERROR(((IF(I$5&lt;&gt;"", I$5*A$5, 0) + SUMPRODUCT(--(I$6:I66&lt;&gt;""), I$6:I66, (A$6:A66-A$5:A65)))/1000), ""))</f>
        <v/>
      </c>
      <c r="M66" s="1">
        <f>M65+10</f>
        <v/>
      </c>
      <c r="N66" s="1">
        <f>O65</f>
        <v/>
      </c>
      <c r="Q66" t="inlineStr">
        <is>
          <t>200mL/3s/30s</t>
        </is>
      </c>
      <c r="U66" s="1">
        <f>IF(O66="", "", (N66-O66)*1000/(M66-M65))</f>
        <v/>
      </c>
      <c r="V66" s="1">
        <f>IF(U66="","",U66/R$2/3)</f>
        <v/>
      </c>
      <c r="W66" s="1">
        <f>IF(U66="","", 100*_xlfn.STDEV.P(U65:U66)/AVERAGE(U65:U66))</f>
        <v/>
      </c>
      <c r="X66" s="8">
        <f t="array" ref="X66">IF(U66="","", IFERROR(((IF(U$5&lt;&gt;"", U$5*M$5, 0) + SUMPRODUCT(--(U$6:U66&lt;&gt;""), U$6:U66, (M$6:M66-M$5:M65)))/1000), ""))</f>
        <v/>
      </c>
    </row>
    <row r="67">
      <c r="A67" s="1">
        <f>A66+10</f>
        <v/>
      </c>
      <c r="B67" s="1">
        <f>C66</f>
        <v/>
      </c>
      <c r="E67" t="inlineStr">
        <is>
          <t>200mL/3s/30s</t>
        </is>
      </c>
      <c r="I67" s="1">
        <f>IF(C67="", "", (B67-C67)*1000/(A67-A66))</f>
        <v/>
      </c>
      <c r="J67" s="1">
        <f>IF(I67="","",I67/F$2/3)</f>
        <v/>
      </c>
      <c r="K67" s="1">
        <f>IF(I67="","", 100*_xlfn.STDEV.P(I66:I67)/AVERAGE(I66:I67))</f>
        <v/>
      </c>
      <c r="L67" s="8">
        <f t="array" ref="L67">IF(I67="","", IFERROR(((IF(I$5&lt;&gt;"", I$5*A$5, 0) + SUMPRODUCT(--(I$6:I67&lt;&gt;""), I$6:I67, (A$6:A67-A$5:A66)))/1000), ""))</f>
        <v/>
      </c>
      <c r="M67" s="1">
        <f>M66+10</f>
        <v/>
      </c>
      <c r="N67" s="1">
        <f>O66</f>
        <v/>
      </c>
      <c r="Q67" t="inlineStr">
        <is>
          <t>200mL/3s/30s</t>
        </is>
      </c>
      <c r="U67" s="1">
        <f>IF(O67="", "", (N67-O67)*1000/(M67-M66))</f>
        <v/>
      </c>
      <c r="V67" s="1">
        <f>IF(U67="","",U67/R$2/3)</f>
        <v/>
      </c>
      <c r="W67" s="1">
        <f>IF(U67="","", 100*_xlfn.STDEV.P(U66:U67)/AVERAGE(U66:U67))</f>
        <v/>
      </c>
      <c r="X67" s="8">
        <f t="array" ref="X67">IF(U67="","", IFERROR(((IF(U$5&lt;&gt;"", U$5*M$5, 0) + SUMPRODUCT(--(U$6:U67&lt;&gt;""), U$6:U67, (M$6:M67-M$5:M66)))/1000), ""))</f>
        <v/>
      </c>
    </row>
    <row r="68">
      <c r="A68" s="1">
        <f>A67+10</f>
        <v/>
      </c>
      <c r="B68" s="1">
        <f>C67</f>
        <v/>
      </c>
      <c r="E68" t="inlineStr">
        <is>
          <t>200mL/3s/30s</t>
        </is>
      </c>
      <c r="I68" s="1">
        <f>IF(C68="", "", (B68-C68)*1000/(A68-A67))</f>
        <v/>
      </c>
      <c r="J68" s="1">
        <f>IF(I68="","",I68/F$2/3)</f>
        <v/>
      </c>
      <c r="K68" s="1">
        <f>IF(I68="","", 100*_xlfn.STDEV.P(I67:I68)/AVERAGE(I67:I68))</f>
        <v/>
      </c>
      <c r="L68" s="8">
        <f t="array" ref="L68">IF(I68="","", IFERROR(((IF(I$5&lt;&gt;"", I$5*A$5, 0) + SUMPRODUCT(--(I$6:I68&lt;&gt;""), I$6:I68, (A$6:A68-A$5:A67)))/1000), ""))</f>
        <v/>
      </c>
      <c r="M68" s="1">
        <f>M67+10</f>
        <v/>
      </c>
      <c r="N68" s="1">
        <f>O67</f>
        <v/>
      </c>
      <c r="Q68" t="inlineStr">
        <is>
          <t>200mL/3s/30s</t>
        </is>
      </c>
      <c r="U68" s="1">
        <f>IF(O68="", "", (N68-O68)*1000/(M68-M67))</f>
        <v/>
      </c>
      <c r="V68" s="1">
        <f>IF(U68="","",U68/R$2/3)</f>
        <v/>
      </c>
      <c r="W68" s="1">
        <f>IF(U68="","", 100*_xlfn.STDEV.P(U67:U68)/AVERAGE(U67:U68))</f>
        <v/>
      </c>
      <c r="X68" s="8">
        <f t="array" ref="X68">IF(U68="","", IFERROR(((IF(U$5&lt;&gt;"", U$5*M$5, 0) + SUMPRODUCT(--(U$6:U68&lt;&gt;""), U$6:U68, (M$6:M68-M$5:M67)))/1000), ""))</f>
        <v/>
      </c>
    </row>
    <row r="69">
      <c r="A69" s="1">
        <f>A68+10</f>
        <v/>
      </c>
      <c r="B69" s="1">
        <f>C68</f>
        <v/>
      </c>
      <c r="E69" t="inlineStr">
        <is>
          <t>200mL/3s/30s</t>
        </is>
      </c>
      <c r="I69" s="1">
        <f>IF(C69="", "", (B69-C69)*1000/(A69-A68))</f>
        <v/>
      </c>
      <c r="J69" s="1">
        <f>IF(I69="","",I69/F$2/3)</f>
        <v/>
      </c>
      <c r="K69" s="1">
        <f>IF(I69="","", 100*_xlfn.STDEV.P(I68:I69)/AVERAGE(I68:I69))</f>
        <v/>
      </c>
      <c r="L69" s="8">
        <f t="array" ref="L69">IF(I69="","", IFERROR(((IF(I$5&lt;&gt;"", I$5*A$5, 0) + SUMPRODUCT(--(I$6:I69&lt;&gt;""), I$6:I69, (A$6:A69-A$5:A68)))/1000), ""))</f>
        <v/>
      </c>
      <c r="M69" s="1">
        <f>M68+10</f>
        <v/>
      </c>
      <c r="N69" s="1">
        <f>O68</f>
        <v/>
      </c>
      <c r="Q69" t="inlineStr">
        <is>
          <t>200mL/3s/30s</t>
        </is>
      </c>
      <c r="U69" s="1">
        <f>IF(O69="", "", (N69-O69)*1000/(M69-M68))</f>
        <v/>
      </c>
      <c r="V69" s="1">
        <f>IF(U69="","",U69/R$2/3)</f>
        <v/>
      </c>
      <c r="W69" s="1">
        <f>IF(U69="","", 100*_xlfn.STDEV.P(U68:U69)/AVERAGE(U68:U69))</f>
        <v/>
      </c>
      <c r="X69" s="8">
        <f t="array" ref="X69">IF(U69="","", IFERROR(((IF(U$5&lt;&gt;"", U$5*M$5, 0) + SUMPRODUCT(--(U$6:U69&lt;&gt;""), U$6:U69, (M$6:M69-M$5:M68)))/1000), ""))</f>
        <v/>
      </c>
    </row>
    <row r="70">
      <c r="A70" s="1">
        <f>A69+10</f>
        <v/>
      </c>
      <c r="B70" s="1">
        <f>C69</f>
        <v/>
      </c>
      <c r="E70" t="inlineStr">
        <is>
          <t>200mL/3s/30s</t>
        </is>
      </c>
      <c r="I70" s="1">
        <f>IF(C70="", "", (B70-C70)*1000/(A70-A69))</f>
        <v/>
      </c>
      <c r="J70" s="1">
        <f>IF(I70="","",I70/F$2/3)</f>
        <v/>
      </c>
      <c r="K70" s="1">
        <f>IF(I70="","", 100*_xlfn.STDEV.P(I69:I70)/AVERAGE(I69:I70))</f>
        <v/>
      </c>
      <c r="L70" s="8">
        <f t="array" ref="L70">IF(I70="","", IFERROR(((IF(I$5&lt;&gt;"", I$5*A$5, 0) + SUMPRODUCT(--(I$6:I70&lt;&gt;""), I$6:I70, (A$6:A70-A$5:A69)))/1000), ""))</f>
        <v/>
      </c>
      <c r="M70" s="1">
        <f>M69+10</f>
        <v/>
      </c>
      <c r="N70" s="1">
        <f>O69</f>
        <v/>
      </c>
      <c r="Q70" t="inlineStr">
        <is>
          <t>200mL/3s/30s</t>
        </is>
      </c>
      <c r="U70" s="1">
        <f>IF(O70="", "", (N70-O70)*1000/(M70-M69))</f>
        <v/>
      </c>
      <c r="V70" s="1">
        <f>IF(U70="","",U70/R$2/3)</f>
        <v/>
      </c>
      <c r="W70" s="1">
        <f>IF(U70="","", 100*_xlfn.STDEV.P(U69:U70)/AVERAGE(U69:U70))</f>
        <v/>
      </c>
      <c r="X70" s="8">
        <f t="array" ref="X70">IF(U70="","", IFERROR(((IF(U$5&lt;&gt;"", U$5*M$5, 0) + SUMPRODUCT(--(U$6:U70&lt;&gt;""), U$6:U70, (M$6:M70-M$5:M69)))/1000), ""))</f>
        <v/>
      </c>
    </row>
    <row r="71">
      <c r="A71" s="1">
        <f>A70+10</f>
        <v/>
      </c>
      <c r="B71" s="1">
        <f>C70</f>
        <v/>
      </c>
      <c r="E71" t="inlineStr">
        <is>
          <t>200mL/3s/30s</t>
        </is>
      </c>
      <c r="I71" s="1">
        <f>IF(C71="", "", (B71-C71)*1000/(A71-A70))</f>
        <v/>
      </c>
      <c r="J71" s="1">
        <f>IF(I71="","",I71/F$2/3)</f>
        <v/>
      </c>
      <c r="K71" s="1">
        <f>IF(I71="","", 100*_xlfn.STDEV.P(I70:I71)/AVERAGE(I70:I71))</f>
        <v/>
      </c>
      <c r="L71" s="8">
        <f t="array" ref="L71">IF(I71="","", IFERROR(((IF(I$5&lt;&gt;"", I$5*A$5, 0) + SUMPRODUCT(--(I$6:I71&lt;&gt;""), I$6:I71, (A$6:A71-A$5:A70)))/1000), ""))</f>
        <v/>
      </c>
      <c r="M71" s="1">
        <f>M70+10</f>
        <v/>
      </c>
      <c r="N71" s="1">
        <f>O70</f>
        <v/>
      </c>
      <c r="Q71" t="inlineStr">
        <is>
          <t>200mL/3s/30s</t>
        </is>
      </c>
      <c r="U71" s="1">
        <f>IF(O71="", "", (N71-O71)*1000/(M71-M70))</f>
        <v/>
      </c>
      <c r="V71" s="1">
        <f>IF(U71="","",U71/R$2/3)</f>
        <v/>
      </c>
      <c r="W71" s="1">
        <f>IF(U71="","", 100*_xlfn.STDEV.P(U70:U71)/AVERAGE(U70:U71))</f>
        <v/>
      </c>
      <c r="X71" s="8">
        <f t="array" ref="X71">IF(U71="","", IFERROR(((IF(U$5&lt;&gt;"", U$5*M$5, 0) + SUMPRODUCT(--(U$6:U71&lt;&gt;""), U$6:U71, (M$6:M71-M$5:M70)))/1000), ""))</f>
        <v/>
      </c>
    </row>
    <row r="72">
      <c r="A72" s="1">
        <f>A71+10</f>
        <v/>
      </c>
      <c r="B72" s="1">
        <f>C71</f>
        <v/>
      </c>
      <c r="E72" t="inlineStr">
        <is>
          <t>200mL/3s/30s</t>
        </is>
      </c>
      <c r="I72" s="1">
        <f>IF(C72="", "", (B72-C72)*1000/(A72-A71))</f>
        <v/>
      </c>
      <c r="J72" s="1">
        <f>IF(I72="","",I72/F$2/3)</f>
        <v/>
      </c>
      <c r="K72" s="1">
        <f>IF(I72="","", 100*_xlfn.STDEV.P(I71:I72)/AVERAGE(I71:I72))</f>
        <v/>
      </c>
      <c r="L72" s="8">
        <f t="array" ref="L72">IF(I72="","", IFERROR(((IF(I$5&lt;&gt;"", I$5*A$5, 0) + SUMPRODUCT(--(I$6:I72&lt;&gt;""), I$6:I72, (A$6:A72-A$5:A71)))/1000), ""))</f>
        <v/>
      </c>
      <c r="M72" s="1">
        <f>M71+10</f>
        <v/>
      </c>
      <c r="N72" s="1">
        <f>O71</f>
        <v/>
      </c>
      <c r="Q72" t="inlineStr">
        <is>
          <t>200mL/3s/30s</t>
        </is>
      </c>
      <c r="U72" s="1">
        <f>IF(O72="", "", (N72-O72)*1000/(M72-M71))</f>
        <v/>
      </c>
      <c r="V72" s="1">
        <f>IF(U72="","",U72/R$2/3)</f>
        <v/>
      </c>
      <c r="W72" s="1">
        <f>IF(U72="","", 100*_xlfn.STDEV.P(U71:U72)/AVERAGE(U71:U72))</f>
        <v/>
      </c>
      <c r="X72" s="8">
        <f t="array" ref="X72">IF(U72="","", IFERROR(((IF(U$5&lt;&gt;"", U$5*M$5, 0) + SUMPRODUCT(--(U$6:U72&lt;&gt;""), U$6:U72, (M$6:M72-M$5:M71)))/1000), ""))</f>
        <v/>
      </c>
    </row>
    <row r="73">
      <c r="A73" s="1">
        <f>A72+10</f>
        <v/>
      </c>
      <c r="B73" s="1">
        <f>C72</f>
        <v/>
      </c>
      <c r="E73" t="inlineStr">
        <is>
          <t>200mL/3s/30s</t>
        </is>
      </c>
      <c r="I73" s="1">
        <f>IF(C73="", "", (B73-C73)*1000/(A73-A72))</f>
        <v/>
      </c>
      <c r="J73" s="1">
        <f>IF(I73="","",I73/F$2/3)</f>
        <v/>
      </c>
      <c r="K73" s="1">
        <f>IF(I73="","", 100*_xlfn.STDEV.P(I72:I73)/AVERAGE(I72:I73))</f>
        <v/>
      </c>
      <c r="L73" s="8">
        <f t="array" ref="L73">IF(I73="","", IFERROR(((IF(I$5&lt;&gt;"", I$5*A$5, 0) + SUMPRODUCT(--(I$6:I73&lt;&gt;""), I$6:I73, (A$6:A73-A$5:A72)))/1000), ""))</f>
        <v/>
      </c>
      <c r="M73" s="1">
        <f>M72+10</f>
        <v/>
      </c>
      <c r="N73" s="1">
        <f>O72</f>
        <v/>
      </c>
      <c r="Q73" t="inlineStr">
        <is>
          <t>200mL/3s/30s</t>
        </is>
      </c>
      <c r="U73" s="1">
        <f>IF(O73="", "", (N73-O73)*1000/(M73-M72))</f>
        <v/>
      </c>
      <c r="V73" s="1">
        <f>IF(U73="","",U73/R$2/3)</f>
        <v/>
      </c>
      <c r="W73" s="1">
        <f>IF(U73="","", 100*_xlfn.STDEV.P(U72:U73)/AVERAGE(U72:U73))</f>
        <v/>
      </c>
      <c r="X73" s="8">
        <f t="array" ref="X73">IF(U73="","", IFERROR(((IF(U$5&lt;&gt;"", U$5*M$5, 0) + SUMPRODUCT(--(U$6:U73&lt;&gt;""), U$6:U73, (M$6:M73-M$5:M72)))/1000), ""))</f>
        <v/>
      </c>
    </row>
    <row r="74">
      <c r="A74" s="1">
        <f>A73+10</f>
        <v/>
      </c>
      <c r="B74" s="1">
        <f>C73</f>
        <v/>
      </c>
      <c r="E74" t="inlineStr">
        <is>
          <t>200mL/3s/30s</t>
        </is>
      </c>
      <c r="I74" s="1">
        <f>IF(C74="", "", (B74-C74)*1000/(A74-A73))</f>
        <v/>
      </c>
      <c r="J74" s="1">
        <f>IF(I74="","",I74/F$2/3)</f>
        <v/>
      </c>
      <c r="K74" s="1">
        <f>IF(I74="","", 100*_xlfn.STDEV.P(I73:I74)/AVERAGE(I73:I74))</f>
        <v/>
      </c>
      <c r="L74" s="8">
        <f t="array" ref="L74">IF(I74="","", IFERROR(((IF(I$5&lt;&gt;"", I$5*A$5, 0) + SUMPRODUCT(--(I$6:I74&lt;&gt;""), I$6:I74, (A$6:A74-A$5:A73)))/1000), ""))</f>
        <v/>
      </c>
      <c r="M74" s="1">
        <f>M73+10</f>
        <v/>
      </c>
      <c r="N74" s="1">
        <f>O73</f>
        <v/>
      </c>
      <c r="Q74" t="inlineStr">
        <is>
          <t>200mL/3s/30s</t>
        </is>
      </c>
      <c r="U74" s="1">
        <f>IF(O74="", "", (N74-O74)*1000/(M74-M73))</f>
        <v/>
      </c>
      <c r="V74" s="1">
        <f>IF(U74="","",U74/R$2/3)</f>
        <v/>
      </c>
      <c r="W74" s="1">
        <f>IF(U74="","", 100*_xlfn.STDEV.P(U73:U74)/AVERAGE(U73:U74))</f>
        <v/>
      </c>
      <c r="X74" s="8">
        <f t="array" ref="X74">IF(U74="","", IFERROR(((IF(U$5&lt;&gt;"", U$5*M$5, 0) + SUMPRODUCT(--(U$6:U74&lt;&gt;""), U$6:U74, (M$6:M74-M$5:M73)))/1000), ""))</f>
        <v/>
      </c>
    </row>
    <row r="75">
      <c r="A75" s="1">
        <f>A74+10</f>
        <v/>
      </c>
      <c r="B75" s="1">
        <f>C74</f>
        <v/>
      </c>
      <c r="E75" t="inlineStr">
        <is>
          <t>200mL/3s/30s</t>
        </is>
      </c>
      <c r="I75" s="1">
        <f>IF(C75="", "", (B75-C75)*1000/(A75-A74))</f>
        <v/>
      </c>
      <c r="J75" s="1">
        <f>IF(I75="","",I75/F$2/3)</f>
        <v/>
      </c>
      <c r="K75" s="1">
        <f>IF(I75="","", 100*_xlfn.STDEV.P(I74:I75)/AVERAGE(I74:I75))</f>
        <v/>
      </c>
      <c r="L75" s="8">
        <f t="array" ref="L75">IF(I75="","", IFERROR(((IF(I$5&lt;&gt;"", I$5*A$5, 0) + SUMPRODUCT(--(I$6:I75&lt;&gt;""), I$6:I75, (A$6:A75-A$5:A74)))/1000), ""))</f>
        <v/>
      </c>
      <c r="M75" s="1">
        <f>M74+10</f>
        <v/>
      </c>
      <c r="N75" s="1">
        <f>O74</f>
        <v/>
      </c>
      <c r="Q75" t="inlineStr">
        <is>
          <t>200mL/3s/30s</t>
        </is>
      </c>
      <c r="U75" s="1">
        <f>IF(O75="", "", (N75-O75)*1000/(M75-M74))</f>
        <v/>
      </c>
      <c r="V75" s="1">
        <f>IF(U75="","",U75/R$2/3)</f>
        <v/>
      </c>
      <c r="W75" s="1">
        <f>IF(U75="","", 100*_xlfn.STDEV.P(U74:U75)/AVERAGE(U74:U75))</f>
        <v/>
      </c>
      <c r="X75" s="8">
        <f t="array" ref="X75">IF(U75="","", IFERROR(((IF(U$5&lt;&gt;"", U$5*M$5, 0) + SUMPRODUCT(--(U$6:U75&lt;&gt;""), U$6:U75, (M$6:M75-M$5:M74)))/1000), ""))</f>
        <v/>
      </c>
    </row>
    <row r="76">
      <c r="A76" s="1">
        <f>A75+10</f>
        <v/>
      </c>
      <c r="B76" s="1">
        <f>C75</f>
        <v/>
      </c>
      <c r="E76" t="inlineStr">
        <is>
          <t>200mL/3s/30s</t>
        </is>
      </c>
      <c r="I76" s="1">
        <f>IF(C76="", "", (B76-C76)*1000/(A76-A75))</f>
        <v/>
      </c>
      <c r="J76" s="1">
        <f>IF(I76="","",I76/F$2/3)</f>
        <v/>
      </c>
      <c r="K76" s="1">
        <f>IF(I76="","", 100*_xlfn.STDEV.P(I75:I76)/AVERAGE(I75:I76))</f>
        <v/>
      </c>
      <c r="L76" s="8">
        <f t="array" ref="L76">IF(I76="","", IFERROR(((IF(I$5&lt;&gt;"", I$5*A$5, 0) + SUMPRODUCT(--(I$6:I76&lt;&gt;""), I$6:I76, (A$6:A76-A$5:A75)))/1000), ""))</f>
        <v/>
      </c>
      <c r="M76" s="1">
        <f>M75+10</f>
        <v/>
      </c>
      <c r="N76" s="1">
        <f>O75</f>
        <v/>
      </c>
      <c r="Q76" t="inlineStr">
        <is>
          <t>200mL/3s/30s</t>
        </is>
      </c>
      <c r="U76" s="1">
        <f>IF(O76="", "", (N76-O76)*1000/(M76-M75))</f>
        <v/>
      </c>
      <c r="V76" s="1">
        <f>IF(U76="","",U76/R$2/3)</f>
        <v/>
      </c>
      <c r="W76" s="1">
        <f>IF(U76="","", 100*_xlfn.STDEV.P(U75:U76)/AVERAGE(U75:U76))</f>
        <v/>
      </c>
      <c r="X76" s="8">
        <f t="array" ref="X76">IF(U76="","", IFERROR(((IF(U$5&lt;&gt;"", U$5*M$5, 0) + SUMPRODUCT(--(U$6:U76&lt;&gt;""), U$6:U76, (M$6:M76-M$5:M75)))/1000), ""))</f>
        <v/>
      </c>
    </row>
    <row r="77">
      <c r="A77" s="1">
        <f>A76+10</f>
        <v/>
      </c>
      <c r="B77" s="1">
        <f>C76</f>
        <v/>
      </c>
      <c r="E77" t="inlineStr">
        <is>
          <t>200mL/3s/30s</t>
        </is>
      </c>
      <c r="I77" s="1">
        <f>IF(C77="", "", (B77-C77)*1000/(A77-A76))</f>
        <v/>
      </c>
      <c r="J77" s="1">
        <f>IF(I77="","",I77/F$2/3)</f>
        <v/>
      </c>
      <c r="K77" s="1">
        <f>IF(I77="","", 100*_xlfn.STDEV.P(I76:I77)/AVERAGE(I76:I77))</f>
        <v/>
      </c>
      <c r="L77" s="8">
        <f t="array" ref="L77">IF(I77="","", IFERROR(((IF(I$5&lt;&gt;"", I$5*A$5, 0) + SUMPRODUCT(--(I$6:I77&lt;&gt;""), I$6:I77, (A$6:A77-A$5:A76)))/1000), ""))</f>
        <v/>
      </c>
      <c r="M77" s="1">
        <f>M76+10</f>
        <v/>
      </c>
      <c r="N77" s="1">
        <f>O76</f>
        <v/>
      </c>
      <c r="Q77" t="inlineStr">
        <is>
          <t>200mL/3s/30s</t>
        </is>
      </c>
      <c r="U77" s="1">
        <f>IF(O77="", "", (N77-O77)*1000/(M77-M76))</f>
        <v/>
      </c>
      <c r="V77" s="1">
        <f>IF(U77="","",U77/R$2/3)</f>
        <v/>
      </c>
      <c r="W77" s="1">
        <f>IF(U77="","", 100*_xlfn.STDEV.P(U76:U77)/AVERAGE(U76:U77))</f>
        <v/>
      </c>
      <c r="X77" s="8">
        <f t="array" ref="X77">IF(U77="","", IFERROR(((IF(U$5&lt;&gt;"", U$5*M$5, 0) + SUMPRODUCT(--(U$6:U77&lt;&gt;""), U$6:U77, (M$6:M77-M$5:M76)))/1000), ""))</f>
        <v/>
      </c>
    </row>
    <row r="78">
      <c r="A78" s="1">
        <f>A77+10</f>
        <v/>
      </c>
      <c r="B78" s="1">
        <f>C77</f>
        <v/>
      </c>
      <c r="E78" t="inlineStr">
        <is>
          <t>200mL/3s/30s</t>
        </is>
      </c>
      <c r="I78" s="1">
        <f>IF(C78="", "", (B78-C78)*1000/(A78-A77))</f>
        <v/>
      </c>
      <c r="J78" s="1">
        <f>IF(I78="","",I78/F$2/3)</f>
        <v/>
      </c>
      <c r="K78" s="1">
        <f>IF(I78="","", 100*_xlfn.STDEV.P(I77:I78)/AVERAGE(I77:I78))</f>
        <v/>
      </c>
      <c r="L78" s="8">
        <f t="array" ref="L78">IF(I78="","", IFERROR(((IF(I$5&lt;&gt;"", I$5*A$5, 0) + SUMPRODUCT(--(I$6:I78&lt;&gt;""), I$6:I78, (A$6:A78-A$5:A77)))/1000), ""))</f>
        <v/>
      </c>
      <c r="M78" s="1">
        <f>M77+10</f>
        <v/>
      </c>
      <c r="N78" s="1">
        <f>O77</f>
        <v/>
      </c>
      <c r="Q78" t="inlineStr">
        <is>
          <t>200mL/3s/30s</t>
        </is>
      </c>
      <c r="U78" s="1">
        <f>IF(O78="", "", (N78-O78)*1000/(M78-M77))</f>
        <v/>
      </c>
      <c r="V78" s="1">
        <f>IF(U78="","",U78/R$2/3)</f>
        <v/>
      </c>
      <c r="W78" s="1">
        <f>IF(U78="","", 100*_xlfn.STDEV.P(U77:U78)/AVERAGE(U77:U78))</f>
        <v/>
      </c>
      <c r="X78" s="8">
        <f t="array" ref="X78">IF(U78="","", IFERROR(((IF(U$5&lt;&gt;"", U$5*M$5, 0) + SUMPRODUCT(--(U$6:U78&lt;&gt;""), U$6:U78, (M$6:M78-M$5:M77)))/1000), ""))</f>
        <v/>
      </c>
    </row>
    <row r="79">
      <c r="A79" s="1">
        <f>A78+10</f>
        <v/>
      </c>
      <c r="B79" s="1">
        <f>C78</f>
        <v/>
      </c>
      <c r="E79" t="inlineStr">
        <is>
          <t>200mL/3s/30s</t>
        </is>
      </c>
      <c r="I79" s="1">
        <f>IF(C79="", "", (B79-C79)*1000/(A79-A78))</f>
        <v/>
      </c>
      <c r="J79" s="1">
        <f>IF(I79="","",I79/F$2/3)</f>
        <v/>
      </c>
      <c r="K79" s="1">
        <f>IF(I79="","", 100*_xlfn.STDEV.P(I78:I79)/AVERAGE(I78:I79))</f>
        <v/>
      </c>
      <c r="L79" s="8">
        <f t="array" ref="L79">IF(I79="","", IFERROR(((IF(I$5&lt;&gt;"", I$5*A$5, 0) + SUMPRODUCT(--(I$6:I79&lt;&gt;""), I$6:I79, (A$6:A79-A$5:A78)))/1000), ""))</f>
        <v/>
      </c>
      <c r="M79" s="1">
        <f>M78+10</f>
        <v/>
      </c>
      <c r="N79" s="1">
        <f>O78</f>
        <v/>
      </c>
      <c r="Q79" t="inlineStr">
        <is>
          <t>200mL/3s/30s</t>
        </is>
      </c>
      <c r="U79" s="1">
        <f>IF(O79="", "", (N79-O79)*1000/(M79-M78))</f>
        <v/>
      </c>
      <c r="V79" s="1">
        <f>IF(U79="","",U79/R$2/3)</f>
        <v/>
      </c>
      <c r="W79" s="1">
        <f>IF(U79="","", 100*_xlfn.STDEV.P(U78:U79)/AVERAGE(U78:U79))</f>
        <v/>
      </c>
      <c r="X79" s="8">
        <f t="array" ref="X79">IF(U79="","", IFERROR(((IF(U$5&lt;&gt;"", U$5*M$5, 0) + SUMPRODUCT(--(U$6:U79&lt;&gt;""), U$6:U79, (M$6:M79-M$5:M78)))/1000), ""))</f>
        <v/>
      </c>
    </row>
    <row r="80">
      <c r="A80" s="1">
        <f>A79+10</f>
        <v/>
      </c>
      <c r="B80" s="1">
        <f>C79</f>
        <v/>
      </c>
      <c r="E80" t="inlineStr">
        <is>
          <t>200mL/3s/30s</t>
        </is>
      </c>
      <c r="I80" s="1">
        <f>IF(C80="", "", (B80-C80)*1000/(A80-A79))</f>
        <v/>
      </c>
      <c r="J80" s="1">
        <f>IF(I80="","",I80/F$2/3)</f>
        <v/>
      </c>
      <c r="K80" s="1">
        <f>IF(I80="","", 100*_xlfn.STDEV.P(I79:I80)/AVERAGE(I79:I80))</f>
        <v/>
      </c>
      <c r="L80" s="8">
        <f t="array" ref="L80">IF(I80="","", IFERROR(((IF(I$5&lt;&gt;"", I$5*A$5, 0) + SUMPRODUCT(--(I$6:I80&lt;&gt;""), I$6:I80, (A$6:A80-A$5:A79)))/1000), ""))</f>
        <v/>
      </c>
      <c r="M80" s="1">
        <f>M79+10</f>
        <v/>
      </c>
      <c r="N80" s="1">
        <f>O79</f>
        <v/>
      </c>
      <c r="Q80" t="inlineStr">
        <is>
          <t>200mL/3s/30s</t>
        </is>
      </c>
      <c r="U80" s="1">
        <f>IF(O80="", "", (N80-O80)*1000/(M80-M79))</f>
        <v/>
      </c>
      <c r="V80" s="1">
        <f>IF(U80="","",U80/R$2/3)</f>
        <v/>
      </c>
      <c r="W80" s="1">
        <f>IF(U80="","", 100*_xlfn.STDEV.P(U79:U80)/AVERAGE(U79:U80))</f>
        <v/>
      </c>
      <c r="X80" s="8">
        <f t="array" ref="X80">IF(U80="","", IFERROR(((IF(U$5&lt;&gt;"", U$5*M$5, 0) + SUMPRODUCT(--(U$6:U80&lt;&gt;""), U$6:U80, (M$6:M80-M$5:M79)))/1000), ""))</f>
        <v/>
      </c>
    </row>
    <row r="81">
      <c r="A81" s="1">
        <f>A80+10</f>
        <v/>
      </c>
      <c r="B81" s="1">
        <f>C80</f>
        <v/>
      </c>
      <c r="E81" t="inlineStr">
        <is>
          <t>200mL/3s/30s</t>
        </is>
      </c>
      <c r="I81" s="1">
        <f>IF(C81="", "", (B81-C81)*1000/(A81-A80))</f>
        <v/>
      </c>
      <c r="J81" s="1">
        <f>IF(I81="","",I81/F$2/3)</f>
        <v/>
      </c>
      <c r="K81" s="1">
        <f>IF(I81="","", 100*_xlfn.STDEV.P(I80:I81)/AVERAGE(I80:I81))</f>
        <v/>
      </c>
      <c r="L81" s="8">
        <f t="array" ref="L81">IF(I81="","", IFERROR(((IF(I$5&lt;&gt;"", I$5*A$5, 0) + SUMPRODUCT(--(I$6:I81&lt;&gt;""), I$6:I81, (A$6:A81-A$5:A80)))/1000), ""))</f>
        <v/>
      </c>
      <c r="M81" s="1">
        <f>M80+10</f>
        <v/>
      </c>
      <c r="N81" s="1">
        <f>O80</f>
        <v/>
      </c>
      <c r="Q81" t="inlineStr">
        <is>
          <t>200mL/3s/30s</t>
        </is>
      </c>
      <c r="U81" s="1">
        <f>IF(O81="", "", (N81-O81)*1000/(M81-M80))</f>
        <v/>
      </c>
      <c r="V81" s="1">
        <f>IF(U81="","",U81/R$2/3)</f>
        <v/>
      </c>
      <c r="W81" s="1">
        <f>IF(U81="","", 100*_xlfn.STDEV.P(U80:U81)/AVERAGE(U80:U81))</f>
        <v/>
      </c>
      <c r="X81" s="8">
        <f t="array" ref="X81">IF(U81="","", IFERROR(((IF(U$5&lt;&gt;"", U$5*M$5, 0) + SUMPRODUCT(--(U$6:U81&lt;&gt;""), U$6:U81, (M$6:M81-M$5:M80)))/1000), ""))</f>
        <v/>
      </c>
    </row>
    <row r="82">
      <c r="A82" s="1">
        <f>A81+10</f>
        <v/>
      </c>
      <c r="B82" s="1">
        <f>C81</f>
        <v/>
      </c>
      <c r="E82" t="inlineStr">
        <is>
          <t>200mL/3s/30s</t>
        </is>
      </c>
      <c r="I82" s="1">
        <f>IF(C82="", "", (B82-C82)*1000/(A82-A81))</f>
        <v/>
      </c>
      <c r="J82" s="1">
        <f>IF(I82="","",I82/F$2/3)</f>
        <v/>
      </c>
      <c r="K82" s="1">
        <f>IF(I82="","", 100*_xlfn.STDEV.P(I81:I82)/AVERAGE(I81:I82))</f>
        <v/>
      </c>
      <c r="L82" s="8">
        <f t="array" ref="L82">IF(I82="","", IFERROR(((IF(I$5&lt;&gt;"", I$5*A$5, 0) + SUMPRODUCT(--(I$6:I82&lt;&gt;""), I$6:I82, (A$6:A82-A$5:A81)))/1000), ""))</f>
        <v/>
      </c>
      <c r="M82" s="1">
        <f>M81+10</f>
        <v/>
      </c>
      <c r="N82" s="1">
        <f>O81</f>
        <v/>
      </c>
      <c r="Q82" t="inlineStr">
        <is>
          <t>200mL/3s/30s</t>
        </is>
      </c>
      <c r="U82" s="1">
        <f>IF(O82="", "", (N82-O82)*1000/(M82-M81))</f>
        <v/>
      </c>
      <c r="V82" s="1">
        <f>IF(U82="","",U82/R$2/3)</f>
        <v/>
      </c>
      <c r="W82" s="1">
        <f>IF(U82="","", 100*_xlfn.STDEV.P(U81:U82)/AVERAGE(U81:U82))</f>
        <v/>
      </c>
      <c r="X82" s="8">
        <f t="array" ref="X82">IF(U82="","", IFERROR(((IF(U$5&lt;&gt;"", U$5*M$5, 0) + SUMPRODUCT(--(U$6:U82&lt;&gt;""), U$6:U82, (M$6:M82-M$5:M81)))/1000), ""))</f>
        <v/>
      </c>
    </row>
    <row r="83">
      <c r="A83" s="1">
        <f>A82+10</f>
        <v/>
      </c>
      <c r="B83" s="1">
        <f>C82</f>
        <v/>
      </c>
      <c r="E83" t="inlineStr">
        <is>
          <t>200mL/3s/30s</t>
        </is>
      </c>
      <c r="I83" s="1">
        <f>IF(C83="", "", (B83-C83)*1000/(A83-A82))</f>
        <v/>
      </c>
      <c r="J83" s="1">
        <f>IF(I83="","",I83/F$2/3)</f>
        <v/>
      </c>
      <c r="K83" s="1">
        <f>IF(I83="","", 100*_xlfn.STDEV.P(I82:I83)/AVERAGE(I82:I83))</f>
        <v/>
      </c>
      <c r="L83" s="8">
        <f t="array" ref="L83">IF(I83="","", IFERROR(((IF(I$5&lt;&gt;"", I$5*A$5, 0) + SUMPRODUCT(--(I$6:I83&lt;&gt;""), I$6:I83, (A$6:A83-A$5:A82)))/1000), ""))</f>
        <v/>
      </c>
      <c r="M83" s="1">
        <f>M82+10</f>
        <v/>
      </c>
      <c r="N83" s="1">
        <f>O82</f>
        <v/>
      </c>
      <c r="Q83" t="inlineStr">
        <is>
          <t>200mL/3s/30s</t>
        </is>
      </c>
      <c r="U83" s="1">
        <f>IF(O83="", "", (N83-O83)*1000/(M83-M82))</f>
        <v/>
      </c>
      <c r="V83" s="1">
        <f>IF(U83="","",U83/R$2/3)</f>
        <v/>
      </c>
      <c r="W83" s="1">
        <f>IF(U83="","", 100*_xlfn.STDEV.P(U82:U83)/AVERAGE(U82:U83))</f>
        <v/>
      </c>
      <c r="X83" s="8">
        <f t="array" ref="X83">IF(U83="","", IFERROR(((IF(U$5&lt;&gt;"", U$5*M$5, 0) + SUMPRODUCT(--(U$6:U83&lt;&gt;""), U$6:U83, (M$6:M83-M$5:M82)))/1000), ""))</f>
        <v/>
      </c>
    </row>
    <row r="84">
      <c r="A84" s="1">
        <f>A83+10</f>
        <v/>
      </c>
      <c r="B84" s="1">
        <f>C83</f>
        <v/>
      </c>
      <c r="E84" t="inlineStr">
        <is>
          <t>200mL/3s/30s</t>
        </is>
      </c>
      <c r="I84" s="1">
        <f>IF(C84="", "", (B84-C84)*1000/(A84-A83))</f>
        <v/>
      </c>
      <c r="J84" s="1">
        <f>IF(I84="","",I84/F$2/3)</f>
        <v/>
      </c>
      <c r="K84" s="1">
        <f>IF(I84="","", 100*_xlfn.STDEV.P(I83:I84)/AVERAGE(I83:I84))</f>
        <v/>
      </c>
      <c r="L84" s="8">
        <f t="array" ref="L84">IF(I84="","", IFERROR(((IF(I$5&lt;&gt;"", I$5*A$5, 0) + SUMPRODUCT(--(I$6:I84&lt;&gt;""), I$6:I84, (A$6:A84-A$5:A83)))/1000), ""))</f>
        <v/>
      </c>
      <c r="M84" s="1">
        <f>M83+10</f>
        <v/>
      </c>
      <c r="N84" s="1">
        <f>O83</f>
        <v/>
      </c>
      <c r="Q84" t="inlineStr">
        <is>
          <t>200mL/3s/30s</t>
        </is>
      </c>
      <c r="U84" s="1">
        <f>IF(O84="", "", (N84-O84)*1000/(M84-M83))</f>
        <v/>
      </c>
      <c r="V84" s="1">
        <f>IF(U84="","",U84/R$2/3)</f>
        <v/>
      </c>
      <c r="W84" s="1">
        <f>IF(U84="","", 100*_xlfn.STDEV.P(U83:U84)/AVERAGE(U83:U84))</f>
        <v/>
      </c>
      <c r="X84" s="8">
        <f t="array" ref="X84">IF(U84="","", IFERROR(((IF(U$5&lt;&gt;"", U$5*M$5, 0) + SUMPRODUCT(--(U$6:U84&lt;&gt;""), U$6:U84, (M$6:M84-M$5:M83)))/1000), ""))</f>
        <v/>
      </c>
    </row>
    <row r="85">
      <c r="A85" s="1">
        <f>A84+10</f>
        <v/>
      </c>
      <c r="B85" s="1">
        <f>C84</f>
        <v/>
      </c>
      <c r="E85" t="inlineStr">
        <is>
          <t>200mL/3s/30s</t>
        </is>
      </c>
      <c r="I85" s="1">
        <f>IF(C85="", "", (B85-C85)*1000/(A85-A84))</f>
        <v/>
      </c>
      <c r="J85" s="1">
        <f>IF(I85="","",I85/F$2/3)</f>
        <v/>
      </c>
      <c r="K85" s="1">
        <f>IF(I85="","", 100*_xlfn.STDEV.P(I84:I85)/AVERAGE(I84:I85))</f>
        <v/>
      </c>
      <c r="L85" s="8">
        <f t="array" ref="L85">IF(I85="","", IFERROR(((IF(I$5&lt;&gt;"", I$5*A$5, 0) + SUMPRODUCT(--(I$6:I85&lt;&gt;""), I$6:I85, (A$6:A85-A$5:A84)))/1000), ""))</f>
        <v/>
      </c>
      <c r="M85" s="1">
        <f>M84+10</f>
        <v/>
      </c>
      <c r="N85" s="1">
        <f>O84</f>
        <v/>
      </c>
      <c r="Q85" t="inlineStr">
        <is>
          <t>200mL/3s/30s</t>
        </is>
      </c>
      <c r="U85" s="1">
        <f>IF(O85="", "", (N85-O85)*1000/(M85-M84))</f>
        <v/>
      </c>
      <c r="V85" s="1">
        <f>IF(U85="","",U85/R$2/3)</f>
        <v/>
      </c>
      <c r="W85" s="1">
        <f>IF(U85="","", 100*_xlfn.STDEV.P(U84:U85)/AVERAGE(U84:U85))</f>
        <v/>
      </c>
      <c r="X85" s="8">
        <f t="array" ref="X85">IF(U85="","", IFERROR(((IF(U$5&lt;&gt;"", U$5*M$5, 0) + SUMPRODUCT(--(U$6:U85&lt;&gt;""), U$6:U85, (M$6:M85-M$5:M84)))/1000), ""))</f>
        <v/>
      </c>
    </row>
    <row r="86">
      <c r="A86" s="1">
        <f>A85+10</f>
        <v/>
      </c>
      <c r="B86" s="1">
        <f>C85</f>
        <v/>
      </c>
      <c r="E86" t="inlineStr">
        <is>
          <t>200mL/3s/30s</t>
        </is>
      </c>
      <c r="I86" s="1">
        <f>IF(C86="", "", (B86-C86)*1000/(A86-A85))</f>
        <v/>
      </c>
      <c r="J86" s="1">
        <f>IF(I86="","",I86/F$2/3)</f>
        <v/>
      </c>
      <c r="K86" s="1">
        <f>IF(I86="","", 100*_xlfn.STDEV.P(I85:I86)/AVERAGE(I85:I86))</f>
        <v/>
      </c>
      <c r="L86" s="8">
        <f t="array" ref="L86">IF(I86="","", IFERROR(((IF(I$5&lt;&gt;"", I$5*A$5, 0) + SUMPRODUCT(--(I$6:I86&lt;&gt;""), I$6:I86, (A$6:A86-A$5:A85)))/1000), ""))</f>
        <v/>
      </c>
      <c r="M86" s="1">
        <f>M85+10</f>
        <v/>
      </c>
      <c r="N86" s="1">
        <f>O85</f>
        <v/>
      </c>
      <c r="Q86" t="inlineStr">
        <is>
          <t>200mL/3s/30s</t>
        </is>
      </c>
      <c r="U86" s="1">
        <f>IF(O86="", "", (N86-O86)*1000/(M86-M85))</f>
        <v/>
      </c>
      <c r="V86" s="1">
        <f>IF(U86="","",U86/R$2/3)</f>
        <v/>
      </c>
      <c r="W86" s="1">
        <f>IF(U86="","", 100*_xlfn.STDEV.P(U85:U86)/AVERAGE(U85:U86))</f>
        <v/>
      </c>
      <c r="X86" s="8">
        <f t="array" ref="X86">IF(U86="","", IFERROR(((IF(U$5&lt;&gt;"", U$5*M$5, 0) + SUMPRODUCT(--(U$6:U86&lt;&gt;""), U$6:U86, (M$6:M86-M$5:M85)))/1000), ""))</f>
        <v/>
      </c>
    </row>
    <row r="87">
      <c r="A87" s="1">
        <f>A86+10</f>
        <v/>
      </c>
      <c r="B87" s="1">
        <f>C86</f>
        <v/>
      </c>
      <c r="E87" t="inlineStr">
        <is>
          <t>200mL/3s/30s</t>
        </is>
      </c>
      <c r="I87" s="1">
        <f>IF(C87="", "", (B87-C87)*1000/(A87-A86))</f>
        <v/>
      </c>
      <c r="J87" s="1">
        <f>IF(I87="","",I87/F$2/3)</f>
        <v/>
      </c>
      <c r="K87" s="1">
        <f>IF(I87="","", 100*_xlfn.STDEV.P(I86:I87)/AVERAGE(I86:I87))</f>
        <v/>
      </c>
      <c r="L87" s="8">
        <f t="array" ref="L87">IF(I87="","", IFERROR(((IF(I$5&lt;&gt;"", I$5*A$5, 0) + SUMPRODUCT(--(I$6:I87&lt;&gt;""), I$6:I87, (A$6:A87-A$5:A86)))/1000), ""))</f>
        <v/>
      </c>
      <c r="M87" s="1">
        <f>M86+10</f>
        <v/>
      </c>
      <c r="N87" s="1">
        <f>O86</f>
        <v/>
      </c>
      <c r="Q87" t="inlineStr">
        <is>
          <t>200mL/3s/30s</t>
        </is>
      </c>
      <c r="U87" s="1">
        <f>IF(O87="", "", (N87-O87)*1000/(M87-M86))</f>
        <v/>
      </c>
      <c r="V87" s="1">
        <f>IF(U87="","",U87/R$2/3)</f>
        <v/>
      </c>
      <c r="W87" s="1">
        <f>IF(U87="","", 100*_xlfn.STDEV.P(U86:U87)/AVERAGE(U86:U87))</f>
        <v/>
      </c>
      <c r="X87" s="8">
        <f t="array" ref="X87">IF(U87="","", IFERROR(((IF(U$5&lt;&gt;"", U$5*M$5, 0) + SUMPRODUCT(--(U$6:U87&lt;&gt;""), U$6:U87, (M$6:M87-M$5:M86)))/1000), ""))</f>
        <v/>
      </c>
    </row>
    <row r="88">
      <c r="A88" s="1">
        <f>A87+10</f>
        <v/>
      </c>
      <c r="B88" s="1">
        <f>C87</f>
        <v/>
      </c>
      <c r="E88" t="inlineStr">
        <is>
          <t>200mL/3s/30s</t>
        </is>
      </c>
      <c r="I88" s="1">
        <f>IF(C88="", "", (B88-C88)*1000/(A88-A87))</f>
        <v/>
      </c>
      <c r="J88" s="1">
        <f>IF(I88="","",I88/F$2/3)</f>
        <v/>
      </c>
      <c r="K88" s="1">
        <f>IF(I88="","", 100*_xlfn.STDEV.P(I87:I88)/AVERAGE(I87:I88))</f>
        <v/>
      </c>
      <c r="L88" s="8">
        <f t="array" ref="L88">IF(I88="","", IFERROR(((IF(I$5&lt;&gt;"", I$5*A$5, 0) + SUMPRODUCT(--(I$6:I88&lt;&gt;""), I$6:I88, (A$6:A88-A$5:A87)))/1000), ""))</f>
        <v/>
      </c>
      <c r="M88" s="1">
        <f>M87+10</f>
        <v/>
      </c>
      <c r="N88" s="1">
        <f>O87</f>
        <v/>
      </c>
      <c r="Q88" t="inlineStr">
        <is>
          <t>200mL/3s/30s</t>
        </is>
      </c>
      <c r="U88" s="1">
        <f>IF(O88="", "", (N88-O88)*1000/(M88-M87))</f>
        <v/>
      </c>
      <c r="V88" s="1">
        <f>IF(U88="","",U88/R$2/3)</f>
        <v/>
      </c>
      <c r="W88" s="1">
        <f>IF(U88="","", 100*_xlfn.STDEV.P(U87:U88)/AVERAGE(U87:U88))</f>
        <v/>
      </c>
      <c r="X88" s="8">
        <f t="array" ref="X88">IF(U88="","", IFERROR(((IF(U$5&lt;&gt;"", U$5*M$5, 0) + SUMPRODUCT(--(U$6:U88&lt;&gt;""), U$6:U88, (M$6:M88-M$5:M87)))/1000), ""))</f>
        <v/>
      </c>
    </row>
    <row r="89">
      <c r="A89" s="1">
        <f>A88+10</f>
        <v/>
      </c>
      <c r="B89" s="1">
        <f>C88</f>
        <v/>
      </c>
      <c r="E89" t="inlineStr">
        <is>
          <t>200mL/3s/30s</t>
        </is>
      </c>
      <c r="I89" s="1">
        <f>IF(C89="", "", (B89-C89)*1000/(A89-A88))</f>
        <v/>
      </c>
      <c r="J89" s="1">
        <f>IF(I89="","",I89/F$2/3)</f>
        <v/>
      </c>
      <c r="K89" s="1">
        <f>IF(I89="","", 100*_xlfn.STDEV.P(I88:I89)/AVERAGE(I88:I89))</f>
        <v/>
      </c>
      <c r="L89" s="8">
        <f t="array" ref="L89">IF(I89="","", IFERROR(((IF(I$5&lt;&gt;"", I$5*A$5, 0) + SUMPRODUCT(--(I$6:I89&lt;&gt;""), I$6:I89, (A$6:A89-A$5:A88)))/1000), ""))</f>
        <v/>
      </c>
      <c r="M89" s="1">
        <f>M88+10</f>
        <v/>
      </c>
      <c r="N89" s="1">
        <f>O88</f>
        <v/>
      </c>
      <c r="Q89" t="inlineStr">
        <is>
          <t>200mL/3s/30s</t>
        </is>
      </c>
      <c r="U89" s="1">
        <f>IF(O89="", "", (N89-O89)*1000/(M89-M88))</f>
        <v/>
      </c>
      <c r="V89" s="1">
        <f>IF(U89="","",U89/R$2/3)</f>
        <v/>
      </c>
      <c r="W89" s="1">
        <f>IF(U89="","", 100*_xlfn.STDEV.P(U88:U89)/AVERAGE(U88:U89))</f>
        <v/>
      </c>
      <c r="X89" s="8">
        <f t="array" ref="X89">IF(U89="","", IFERROR(((IF(U$5&lt;&gt;"", U$5*M$5, 0) + SUMPRODUCT(--(U$6:U89&lt;&gt;""), U$6:U89, (M$6:M89-M$5:M88)))/1000), ""))</f>
        <v/>
      </c>
    </row>
    <row r="90">
      <c r="A90" s="1">
        <f>A89+10</f>
        <v/>
      </c>
      <c r="B90" s="1">
        <f>C89</f>
        <v/>
      </c>
      <c r="E90" t="inlineStr">
        <is>
          <t>200mL/3s/30s</t>
        </is>
      </c>
      <c r="I90" s="1">
        <f>IF(C90="", "", (B90-C90)*1000/(A90-A89))</f>
        <v/>
      </c>
      <c r="J90" s="1">
        <f>IF(I90="","",I90/F$2/3)</f>
        <v/>
      </c>
      <c r="K90" s="1">
        <f>IF(I90="","", 100*_xlfn.STDEV.P(I89:I90)/AVERAGE(I89:I90))</f>
        <v/>
      </c>
      <c r="L90" s="8">
        <f t="array" ref="L90">IF(I90="","", IFERROR(((IF(I$5&lt;&gt;"", I$5*A$5, 0) + SUMPRODUCT(--(I$6:I90&lt;&gt;""), I$6:I90, (A$6:A90-A$5:A89)))/1000), ""))</f>
        <v/>
      </c>
      <c r="M90" s="1">
        <f>M89+10</f>
        <v/>
      </c>
      <c r="N90" s="1">
        <f>O89</f>
        <v/>
      </c>
      <c r="Q90" t="inlineStr">
        <is>
          <t>200mL/3s/30s</t>
        </is>
      </c>
      <c r="U90" s="1">
        <f>IF(O90="", "", (N90-O90)*1000/(M90-M89))</f>
        <v/>
      </c>
      <c r="V90" s="1">
        <f>IF(U90="","",U90/R$2/3)</f>
        <v/>
      </c>
      <c r="W90" s="1">
        <f>IF(U90="","", 100*_xlfn.STDEV.P(U89:U90)/AVERAGE(U89:U90))</f>
        <v/>
      </c>
      <c r="X90" s="8">
        <f t="array" ref="X90">IF(U90="","", IFERROR(((IF(U$5&lt;&gt;"", U$5*M$5, 0) + SUMPRODUCT(--(U$6:U90&lt;&gt;""), U$6:U90, (M$6:M90-M$5:M89)))/1000), ""))</f>
        <v/>
      </c>
    </row>
    <row r="91">
      <c r="A91" s="1">
        <f>A90+10</f>
        <v/>
      </c>
      <c r="B91" s="1">
        <f>C90</f>
        <v/>
      </c>
      <c r="E91" t="inlineStr">
        <is>
          <t>200mL/3s/30s</t>
        </is>
      </c>
      <c r="I91" s="1">
        <f>IF(C91="", "", (B91-C91)*1000/(A91-A90))</f>
        <v/>
      </c>
      <c r="J91" s="1">
        <f>IF(I91="","",I91/F$2/3)</f>
        <v/>
      </c>
      <c r="K91" s="1">
        <f>IF(I91="","", 100*_xlfn.STDEV.P(I90:I91)/AVERAGE(I90:I91))</f>
        <v/>
      </c>
      <c r="L91" s="8">
        <f t="array" ref="L91">IF(I91="","", IFERROR(((IF(I$5&lt;&gt;"", I$5*A$5, 0) + SUMPRODUCT(--(I$6:I91&lt;&gt;""), I$6:I91, (A$6:A91-A$5:A90)))/1000), ""))</f>
        <v/>
      </c>
      <c r="M91" s="1">
        <f>M90+10</f>
        <v/>
      </c>
      <c r="N91" s="1">
        <f>O90</f>
        <v/>
      </c>
      <c r="Q91" t="inlineStr">
        <is>
          <t>200mL/3s/30s</t>
        </is>
      </c>
      <c r="U91" s="1">
        <f>IF(O91="", "", (N91-O91)*1000/(M91-M90))</f>
        <v/>
      </c>
      <c r="V91" s="1">
        <f>IF(U91="","",U91/R$2/3)</f>
        <v/>
      </c>
      <c r="W91" s="1">
        <f>IF(U91="","", 100*_xlfn.STDEV.P(U90:U91)/AVERAGE(U90:U91))</f>
        <v/>
      </c>
      <c r="X91" s="8">
        <f t="array" ref="X91">IF(U91="","", IFERROR(((IF(U$5&lt;&gt;"", U$5*M$5, 0) + SUMPRODUCT(--(U$6:U91&lt;&gt;""), U$6:U91, (M$6:M91-M$5:M90)))/1000), ""))</f>
        <v/>
      </c>
    </row>
    <row r="92">
      <c r="A92" s="1">
        <f>A91+10</f>
        <v/>
      </c>
      <c r="B92" s="1">
        <f>C91</f>
        <v/>
      </c>
      <c r="E92" t="inlineStr">
        <is>
          <t>200mL/3s/30s</t>
        </is>
      </c>
      <c r="I92" s="1">
        <f>IF(C92="", "", (B92-C92)*1000/(A92-A91))</f>
        <v/>
      </c>
      <c r="J92" s="1">
        <f>IF(I92="","",I92/F$2/3)</f>
        <v/>
      </c>
      <c r="K92" s="1">
        <f>IF(I92="","", 100*_xlfn.STDEV.P(I91:I92)/AVERAGE(I91:I92))</f>
        <v/>
      </c>
      <c r="L92" s="8">
        <f t="array" ref="L92">IF(I92="","", IFERROR(((IF(I$5&lt;&gt;"", I$5*A$5, 0) + SUMPRODUCT(--(I$6:I92&lt;&gt;""), I$6:I92, (A$6:A92-A$5:A91)))/1000), ""))</f>
        <v/>
      </c>
      <c r="M92" s="1">
        <f>M91+10</f>
        <v/>
      </c>
      <c r="N92" s="1">
        <f>O91</f>
        <v/>
      </c>
      <c r="Q92" t="inlineStr">
        <is>
          <t>200mL/3s/30s</t>
        </is>
      </c>
      <c r="U92" s="1">
        <f>IF(O92="", "", (N92-O92)*1000/(M92-M91))</f>
        <v/>
      </c>
      <c r="V92" s="1">
        <f>IF(U92="","",U92/R$2/3)</f>
        <v/>
      </c>
      <c r="W92" s="1">
        <f>IF(U92="","", 100*_xlfn.STDEV.P(U91:U92)/AVERAGE(U91:U92))</f>
        <v/>
      </c>
      <c r="X92" s="8">
        <f t="array" ref="X92">IF(U92="","", IFERROR(((IF(U$5&lt;&gt;"", U$5*M$5, 0) + SUMPRODUCT(--(U$6:U92&lt;&gt;""), U$6:U92, (M$6:M92-M$5:M91)))/1000), ""))</f>
        <v/>
      </c>
    </row>
    <row r="93">
      <c r="A93" s="1">
        <f>A92+10</f>
        <v/>
      </c>
      <c r="B93" s="1">
        <f>C92</f>
        <v/>
      </c>
      <c r="E93" t="inlineStr">
        <is>
          <t>200mL/3s/30s</t>
        </is>
      </c>
      <c r="I93" s="1">
        <f>IF(C93="", "", (B93-C93)*1000/(A93-A92))</f>
        <v/>
      </c>
      <c r="J93" s="1">
        <f>IF(I93="","",I93/F$2/3)</f>
        <v/>
      </c>
      <c r="K93" s="1">
        <f>IF(I93="","", 100*_xlfn.STDEV.P(I92:I93)/AVERAGE(I92:I93))</f>
        <v/>
      </c>
      <c r="L93" s="8">
        <f t="array" ref="L93">IF(I93="","", IFERROR(((IF(I$5&lt;&gt;"", I$5*A$5, 0) + SUMPRODUCT(--(I$6:I93&lt;&gt;""), I$6:I93, (A$6:A93-A$5:A92)))/1000), ""))</f>
        <v/>
      </c>
      <c r="M93" s="1">
        <f>M92+10</f>
        <v/>
      </c>
      <c r="N93" s="1">
        <f>O92</f>
        <v/>
      </c>
      <c r="Q93" t="inlineStr">
        <is>
          <t>200mL/3s/30s</t>
        </is>
      </c>
      <c r="U93" s="1">
        <f>IF(O93="", "", (N93-O93)*1000/(M93-M92))</f>
        <v/>
      </c>
      <c r="V93" s="1">
        <f>IF(U93="","",U93/R$2/3)</f>
        <v/>
      </c>
      <c r="W93" s="1">
        <f>IF(U93="","", 100*_xlfn.STDEV.P(U92:U93)/AVERAGE(U92:U93))</f>
        <v/>
      </c>
      <c r="X93" s="8">
        <f t="array" ref="X93">IF(U93="","", IFERROR(((IF(U$5&lt;&gt;"", U$5*M$5, 0) + SUMPRODUCT(--(U$6:U93&lt;&gt;""), U$6:U93, (M$6:M93-M$5:M92)))/1000), ""))</f>
        <v/>
      </c>
    </row>
    <row r="94">
      <c r="A94" s="1">
        <f>A93+10</f>
        <v/>
      </c>
      <c r="B94" s="1">
        <f>C93</f>
        <v/>
      </c>
      <c r="E94" t="inlineStr">
        <is>
          <t>200mL/3s/30s</t>
        </is>
      </c>
      <c r="I94" s="1">
        <f>IF(C94="", "", (B94-C94)*1000/(A94-A93))</f>
        <v/>
      </c>
      <c r="J94" s="1">
        <f>IF(I94="","",I94/F$2/3)</f>
        <v/>
      </c>
      <c r="K94" s="1">
        <f>IF(I94="","", 100*_xlfn.STDEV.P(I93:I94)/AVERAGE(I93:I94))</f>
        <v/>
      </c>
      <c r="L94" s="8">
        <f t="array" ref="L94">IF(I94="","", IFERROR(((IF(I$5&lt;&gt;"", I$5*A$5, 0) + SUMPRODUCT(--(I$6:I94&lt;&gt;""), I$6:I94, (A$6:A94-A$5:A93)))/1000), ""))</f>
        <v/>
      </c>
      <c r="M94" s="1">
        <f>M93+10</f>
        <v/>
      </c>
      <c r="N94" s="1">
        <f>O93</f>
        <v/>
      </c>
      <c r="Q94" t="inlineStr">
        <is>
          <t>200mL/3s/30s</t>
        </is>
      </c>
      <c r="U94" s="1">
        <f>IF(O94="", "", (N94-O94)*1000/(M94-M93))</f>
        <v/>
      </c>
      <c r="V94" s="1">
        <f>IF(U94="","",U94/R$2/3)</f>
        <v/>
      </c>
      <c r="W94" s="1">
        <f>IF(U94="","", 100*_xlfn.STDEV.P(U93:U94)/AVERAGE(U93:U94))</f>
        <v/>
      </c>
      <c r="X94" s="8">
        <f t="array" ref="X94">IF(U94="","", IFERROR(((IF(U$5&lt;&gt;"", U$5*M$5, 0) + SUMPRODUCT(--(U$6:U94&lt;&gt;""), U$6:U94, (M$6:M94-M$5:M93)))/1000), ""))</f>
        <v/>
      </c>
    </row>
    <row r="95">
      <c r="A95" s="1">
        <f>A94+10</f>
        <v/>
      </c>
      <c r="B95" s="1">
        <f>C94</f>
        <v/>
      </c>
      <c r="E95" t="inlineStr">
        <is>
          <t>200mL/3s/30s</t>
        </is>
      </c>
      <c r="I95" s="1">
        <f>IF(C95="", "", (B95-C95)*1000/(A95-A94))</f>
        <v/>
      </c>
      <c r="J95" s="1">
        <f>IF(I95="","",I95/F$2/3)</f>
        <v/>
      </c>
      <c r="K95" s="1">
        <f>IF(I95="","", 100*_xlfn.STDEV.P(I94:I95)/AVERAGE(I94:I95))</f>
        <v/>
      </c>
      <c r="L95" s="8">
        <f t="array" ref="L95">IF(I95="","", IFERROR(((IF(I$5&lt;&gt;"", I$5*A$5, 0) + SUMPRODUCT(--(I$6:I95&lt;&gt;""), I$6:I95, (A$6:A95-A$5:A94)))/1000), ""))</f>
        <v/>
      </c>
      <c r="M95" s="1">
        <f>M94+10</f>
        <v/>
      </c>
      <c r="N95" s="1">
        <f>O94</f>
        <v/>
      </c>
      <c r="Q95" t="inlineStr">
        <is>
          <t>200mL/3s/30s</t>
        </is>
      </c>
      <c r="U95" s="1">
        <f>IF(O95="", "", (N95-O95)*1000/(M95-M94))</f>
        <v/>
      </c>
      <c r="V95" s="1">
        <f>IF(U95="","",U95/R$2/3)</f>
        <v/>
      </c>
      <c r="W95" s="1">
        <f>IF(U95="","", 100*_xlfn.STDEV.P(U94:U95)/AVERAGE(U94:U95))</f>
        <v/>
      </c>
      <c r="X95" s="8">
        <f t="array" ref="X95">IF(U95="","", IFERROR(((IF(U$5&lt;&gt;"", U$5*M$5, 0) + SUMPRODUCT(--(U$6:U95&lt;&gt;""), U$6:U95, (M$6:M95-M$5:M94)))/1000), ""))</f>
        <v/>
      </c>
    </row>
    <row r="96">
      <c r="A96" s="1">
        <f>A95+10</f>
        <v/>
      </c>
      <c r="B96" s="1">
        <f>C95</f>
        <v/>
      </c>
      <c r="E96" t="inlineStr">
        <is>
          <t>200mL/3s/30s</t>
        </is>
      </c>
      <c r="I96" s="1">
        <f>IF(C96="", "", (B96-C96)*1000/(A96-A95))</f>
        <v/>
      </c>
      <c r="J96" s="1">
        <f>IF(I96="","",I96/F$2/3)</f>
        <v/>
      </c>
      <c r="K96" s="1">
        <f>IF(I96="","", 100*_xlfn.STDEV.P(I95:I96)/AVERAGE(I95:I96))</f>
        <v/>
      </c>
      <c r="L96" s="8">
        <f t="array" ref="L96">IF(I96="","", IFERROR(((IF(I$5&lt;&gt;"", I$5*A$5, 0) + SUMPRODUCT(--(I$6:I96&lt;&gt;""), I$6:I96, (A$6:A96-A$5:A95)))/1000), ""))</f>
        <v/>
      </c>
      <c r="M96" s="1">
        <f>M95+10</f>
        <v/>
      </c>
      <c r="N96" s="1">
        <f>O95</f>
        <v/>
      </c>
      <c r="Q96" t="inlineStr">
        <is>
          <t>200mL/3s/30s</t>
        </is>
      </c>
      <c r="U96" s="1">
        <f>IF(O96="", "", (N96-O96)*1000/(M96-M95))</f>
        <v/>
      </c>
      <c r="V96" s="1">
        <f>IF(U96="","",U96/R$2/3)</f>
        <v/>
      </c>
      <c r="W96" s="1">
        <f>IF(U96="","", 100*_xlfn.STDEV.P(U95:U96)/AVERAGE(U95:U96))</f>
        <v/>
      </c>
      <c r="X96" s="8">
        <f t="array" ref="X96">IF(U96="","", IFERROR(((IF(U$5&lt;&gt;"", U$5*M$5, 0) + SUMPRODUCT(--(U$6:U96&lt;&gt;""), U$6:U96, (M$6:M96-M$5:M95)))/1000), ""))</f>
        <v/>
      </c>
    </row>
    <row r="97">
      <c r="A97" s="1">
        <f>A96+10</f>
        <v/>
      </c>
      <c r="B97" s="1">
        <f>C96</f>
        <v/>
      </c>
      <c r="E97" t="inlineStr">
        <is>
          <t>200mL/3s/30s</t>
        </is>
      </c>
      <c r="I97" s="1">
        <f>IF(C97="", "", (B97-C97)*1000/(A97-A96))</f>
        <v/>
      </c>
      <c r="J97" s="1">
        <f>IF(I97="","",I97/F$2/3)</f>
        <v/>
      </c>
      <c r="K97" s="1">
        <f>IF(I97="","", 100*_xlfn.STDEV.P(I96:I97)/AVERAGE(I96:I97))</f>
        <v/>
      </c>
      <c r="L97" s="8">
        <f t="array" ref="L97">IF(I97="","", IFERROR(((IF(I$5&lt;&gt;"", I$5*A$5, 0) + SUMPRODUCT(--(I$6:I97&lt;&gt;""), I$6:I97, (A$6:A97-A$5:A96)))/1000), ""))</f>
        <v/>
      </c>
      <c r="M97" s="1">
        <f>M96+10</f>
        <v/>
      </c>
      <c r="N97" s="1">
        <f>O96</f>
        <v/>
      </c>
      <c r="Q97" t="inlineStr">
        <is>
          <t>200mL/3s/30s</t>
        </is>
      </c>
      <c r="U97" s="1">
        <f>IF(O97="", "", (N97-O97)*1000/(M97-M96))</f>
        <v/>
      </c>
      <c r="V97" s="1">
        <f>IF(U97="","",U97/R$2/3)</f>
        <v/>
      </c>
      <c r="W97" s="1">
        <f>IF(U97="","", 100*_xlfn.STDEV.P(U96:U97)/AVERAGE(U96:U97))</f>
        <v/>
      </c>
      <c r="X97" s="8">
        <f t="array" ref="X97">IF(U97="","", IFERROR(((IF(U$5&lt;&gt;"", U$5*M$5, 0) + SUMPRODUCT(--(U$6:U97&lt;&gt;""), U$6:U97, (M$6:M97-M$5:M96)))/1000), ""))</f>
        <v/>
      </c>
    </row>
    <row r="98">
      <c r="A98" s="1">
        <f>A97+10</f>
        <v/>
      </c>
      <c r="B98" s="1">
        <f>C97</f>
        <v/>
      </c>
      <c r="E98" t="inlineStr">
        <is>
          <t>200mL/3s/30s</t>
        </is>
      </c>
      <c r="I98" s="1">
        <f>IF(C98="", "", (B98-C98)*1000/(A98-A97))</f>
        <v/>
      </c>
      <c r="J98" s="1">
        <f>IF(I98="","",I98/F$2/3)</f>
        <v/>
      </c>
      <c r="K98" s="1">
        <f>IF(I98="","", 100*_xlfn.STDEV.P(I97:I98)/AVERAGE(I97:I98))</f>
        <v/>
      </c>
      <c r="L98" s="8">
        <f t="array" ref="L98">IF(I98="","", IFERROR(((IF(I$5&lt;&gt;"", I$5*A$5, 0) + SUMPRODUCT(--(I$6:I98&lt;&gt;""), I$6:I98, (A$6:A98-A$5:A97)))/1000), ""))</f>
        <v/>
      </c>
      <c r="M98" s="1">
        <f>M97+10</f>
        <v/>
      </c>
      <c r="N98" s="1">
        <f>O97</f>
        <v/>
      </c>
      <c r="Q98" t="inlineStr">
        <is>
          <t>200mL/3s/30s</t>
        </is>
      </c>
      <c r="U98" s="1">
        <f>IF(O98="", "", (N98-O98)*1000/(M98-M97))</f>
        <v/>
      </c>
      <c r="V98" s="1">
        <f>IF(U98="","",U98/R$2/3)</f>
        <v/>
      </c>
      <c r="W98" s="1">
        <f>IF(U98="","", 100*_xlfn.STDEV.P(U97:U98)/AVERAGE(U97:U98))</f>
        <v/>
      </c>
      <c r="X98" s="8">
        <f t="array" ref="X98">IF(U98="","", IFERROR(((IF(U$5&lt;&gt;"", U$5*M$5, 0) + SUMPRODUCT(--(U$6:U98&lt;&gt;""), U$6:U98, (M$6:M98-M$5:M97)))/1000), ""))</f>
        <v/>
      </c>
    </row>
    <row r="99">
      <c r="A99" s="1">
        <f>A98+10</f>
        <v/>
      </c>
      <c r="B99" s="1">
        <f>C98</f>
        <v/>
      </c>
      <c r="E99" t="inlineStr">
        <is>
          <t>200mL/3s/30s</t>
        </is>
      </c>
      <c r="I99" s="1">
        <f>IF(C99="", "", (B99-C99)*1000/(A99-A98))</f>
        <v/>
      </c>
      <c r="J99" s="1">
        <f>IF(I99="","",I99/F$2/3)</f>
        <v/>
      </c>
      <c r="K99" s="1">
        <f>IF(I99="","", 100*_xlfn.STDEV.P(I98:I99)/AVERAGE(I98:I99))</f>
        <v/>
      </c>
      <c r="L99" s="8">
        <f t="array" ref="L99">IF(I99="","", IFERROR(((IF(I$5&lt;&gt;"", I$5*A$5, 0) + SUMPRODUCT(--(I$6:I99&lt;&gt;""), I$6:I99, (A$6:A99-A$5:A98)))/1000), ""))</f>
        <v/>
      </c>
      <c r="M99" s="1">
        <f>M98+10</f>
        <v/>
      </c>
      <c r="N99" s="1">
        <f>O98</f>
        <v/>
      </c>
      <c r="Q99" t="inlineStr">
        <is>
          <t>200mL/3s/30s</t>
        </is>
      </c>
      <c r="U99" s="1">
        <f>IF(O99="", "", (N99-O99)*1000/(M99-M98))</f>
        <v/>
      </c>
      <c r="V99" s="1">
        <f>IF(U99="","",U99/R$2/3)</f>
        <v/>
      </c>
      <c r="W99" s="1">
        <f>IF(U99="","", 100*_xlfn.STDEV.P(U98:U99)/AVERAGE(U98:U99))</f>
        <v/>
      </c>
      <c r="X99" s="8">
        <f t="array" ref="X99">IF(U99="","", IFERROR(((IF(U$5&lt;&gt;"", U$5*M$5, 0) + SUMPRODUCT(--(U$6:U99&lt;&gt;""), U$6:U99, (M$6:M99-M$5:M98)))/1000), ""))</f>
        <v/>
      </c>
    </row>
    <row r="100">
      <c r="A100" s="1">
        <f>A99+10</f>
        <v/>
      </c>
      <c r="B100" s="1">
        <f>C99</f>
        <v/>
      </c>
      <c r="E100" t="inlineStr">
        <is>
          <t>200mL/3s/30s</t>
        </is>
      </c>
      <c r="I100" s="1">
        <f>IF(C100="", "", (B100-C100)*1000/(A100-A99))</f>
        <v/>
      </c>
      <c r="J100" s="1">
        <f>IF(I100="","",I100/F$2/3)</f>
        <v/>
      </c>
      <c r="K100" s="1">
        <f>IF(I100="","", 100*_xlfn.STDEV.P(I99:I100)/AVERAGE(I99:I100))</f>
        <v/>
      </c>
      <c r="L100" s="8">
        <f t="array" ref="L100">IF(I100="","", IFERROR(((IF(I$5&lt;&gt;"", I$5*A$5, 0) + SUMPRODUCT(--(I$6:I100&lt;&gt;""), I$6:I100, (A$6:A100-A$5:A99)))/1000), ""))</f>
        <v/>
      </c>
      <c r="M100" s="1">
        <f>M99+10</f>
        <v/>
      </c>
      <c r="N100" s="1">
        <f>O99</f>
        <v/>
      </c>
      <c r="Q100" t="inlineStr">
        <is>
          <t>200mL/3s/30s</t>
        </is>
      </c>
      <c r="U100" s="1">
        <f>IF(O100="", "", (N100-O100)*1000/(M100-M99))</f>
        <v/>
      </c>
      <c r="V100" s="1">
        <f>IF(U100="","",U100/R$2/3)</f>
        <v/>
      </c>
      <c r="W100" s="1">
        <f>IF(U100="","", 100*_xlfn.STDEV.P(U99:U100)/AVERAGE(U99:U100))</f>
        <v/>
      </c>
      <c r="X100" s="8">
        <f t="array" ref="X100">IF(U100="","", IFERROR(((IF(U$5&lt;&gt;"", U$5*M$5, 0) + SUMPRODUCT(--(U$6:U100&lt;&gt;""), U$6:U100, (M$6:M100-M$5:M99)))/1000), ""))</f>
        <v/>
      </c>
    </row>
    <row r="101">
      <c r="A101" s="1">
        <f>A100+10</f>
        <v/>
      </c>
      <c r="B101" s="1">
        <f>C100</f>
        <v/>
      </c>
      <c r="E101" t="inlineStr">
        <is>
          <t>200mL/3s/30s</t>
        </is>
      </c>
      <c r="I101" s="1">
        <f>IF(C101="", "", (B101-C101)*1000/(A101-A100))</f>
        <v/>
      </c>
      <c r="J101" s="1">
        <f>IF(I101="","",I101/F$2/3)</f>
        <v/>
      </c>
      <c r="K101" s="1">
        <f>IF(I101="","", 100*_xlfn.STDEV.P(I100:I101)/AVERAGE(I100:I101))</f>
        <v/>
      </c>
      <c r="L101" s="8">
        <f t="array" ref="L101">IF(I101="","", IFERROR(((IF(I$5&lt;&gt;"", I$5*A$5, 0) + SUMPRODUCT(--(I$6:I101&lt;&gt;""), I$6:I101, (A$6:A101-A$5:A100)))/1000), ""))</f>
        <v/>
      </c>
      <c r="M101" s="1">
        <f>M100+10</f>
        <v/>
      </c>
      <c r="N101" s="1">
        <f>O100</f>
        <v/>
      </c>
      <c r="Q101" t="inlineStr">
        <is>
          <t>200mL/3s/30s</t>
        </is>
      </c>
      <c r="U101" s="1">
        <f>IF(O101="", "", (N101-O101)*1000/(M101-M100))</f>
        <v/>
      </c>
      <c r="V101" s="1">
        <f>IF(U101="","",U101/R$2/3)</f>
        <v/>
      </c>
      <c r="W101" s="1">
        <f>IF(U101="","", 100*_xlfn.STDEV.P(U100:U101)/AVERAGE(U100:U101))</f>
        <v/>
      </c>
      <c r="X101" s="8">
        <f t="array" ref="X101">IF(U101="","", IFERROR(((IF(U$5&lt;&gt;"", U$5*M$5, 0) + SUMPRODUCT(--(U$6:U101&lt;&gt;""), U$6:U101, (M$6:M101-M$5:M100)))/1000), ""))</f>
        <v/>
      </c>
    </row>
    <row r="102">
      <c r="A102" s="1">
        <f>A101+10</f>
        <v/>
      </c>
      <c r="B102" s="1">
        <f>C101</f>
        <v/>
      </c>
      <c r="E102" t="inlineStr">
        <is>
          <t>200mL/3s/30s</t>
        </is>
      </c>
      <c r="I102" s="1">
        <f>IF(C102="", "", (B102-C102)*1000/(A102-A101))</f>
        <v/>
      </c>
      <c r="J102" s="1">
        <f>IF(I102="","",I102/F$2/3)</f>
        <v/>
      </c>
      <c r="K102" s="1">
        <f>IF(I102="","", 100*_xlfn.STDEV.P(I101:I102)/AVERAGE(I101:I102))</f>
        <v/>
      </c>
      <c r="L102" s="8">
        <f t="array" ref="L102">IF(I102="","", IFERROR(((IF(I$5&lt;&gt;"", I$5*A$5, 0) + SUMPRODUCT(--(I$6:I102&lt;&gt;""), I$6:I102, (A$6:A102-A$5:A101)))/1000), ""))</f>
        <v/>
      </c>
      <c r="M102" s="1">
        <f>M101+10</f>
        <v/>
      </c>
      <c r="N102" s="1">
        <f>O101</f>
        <v/>
      </c>
      <c r="Q102" t="inlineStr">
        <is>
          <t>200mL/3s/30s</t>
        </is>
      </c>
      <c r="U102" s="1">
        <f>IF(O102="", "", (N102-O102)*1000/(M102-M101))</f>
        <v/>
      </c>
      <c r="V102" s="1">
        <f>IF(U102="","",U102/R$2/3)</f>
        <v/>
      </c>
      <c r="W102" s="1">
        <f>IF(U102="","", 100*_xlfn.STDEV.P(U101:U102)/AVERAGE(U101:U102))</f>
        <v/>
      </c>
      <c r="X102" s="8">
        <f t="array" ref="X102">IF(U102="","", IFERROR(((IF(U$5&lt;&gt;"", U$5*M$5, 0) + SUMPRODUCT(--(U$6:U102&lt;&gt;""), U$6:U102, (M$6:M102-M$5:M101)))/1000), ""))</f>
        <v/>
      </c>
    </row>
    <row r="103">
      <c r="A103" s="1">
        <f>A102+10</f>
        <v/>
      </c>
      <c r="B103" s="1">
        <f>C102</f>
        <v/>
      </c>
      <c r="E103" t="inlineStr">
        <is>
          <t>200mL/3s/30s</t>
        </is>
      </c>
      <c r="I103" s="1">
        <f>IF(C103="", "", (B103-C103)*1000/(A103-A102))</f>
        <v/>
      </c>
      <c r="J103" s="1">
        <f>IF(I103="","",I103/F$2/3)</f>
        <v/>
      </c>
      <c r="K103" s="1">
        <f>IF(I103="","", 100*_xlfn.STDEV.P(I102:I103)/AVERAGE(I102:I103))</f>
        <v/>
      </c>
      <c r="L103" s="8">
        <f t="array" ref="L103">IF(I103="","", IFERROR(((IF(I$5&lt;&gt;"", I$5*A$5, 0) + SUMPRODUCT(--(I$6:I103&lt;&gt;""), I$6:I103, (A$6:A103-A$5:A102)))/1000), ""))</f>
        <v/>
      </c>
      <c r="M103" s="1">
        <f>M102+10</f>
        <v/>
      </c>
      <c r="N103" s="1">
        <f>O102</f>
        <v/>
      </c>
      <c r="Q103" t="inlineStr">
        <is>
          <t>200mL/3s/30s</t>
        </is>
      </c>
      <c r="U103" s="1">
        <f>IF(O103="", "", (N103-O103)*1000/(M103-M102))</f>
        <v/>
      </c>
      <c r="V103" s="1">
        <f>IF(U103="","",U103/R$2/3)</f>
        <v/>
      </c>
      <c r="W103" s="1">
        <f>IF(U103="","", 100*_xlfn.STDEV.P(U102:U103)/AVERAGE(U102:U103))</f>
        <v/>
      </c>
      <c r="X103" s="8">
        <f t="array" ref="X103">IF(U103="","", IFERROR(((IF(U$5&lt;&gt;"", U$5*M$5, 0) + SUMPRODUCT(--(U$6:U103&lt;&gt;""), U$6:U103, (M$6:M103-M$5:M102)))/1000), ""))</f>
        <v/>
      </c>
    </row>
    <row r="104">
      <c r="A104" s="1">
        <f>A103+10</f>
        <v/>
      </c>
      <c r="B104" s="1">
        <f>C103</f>
        <v/>
      </c>
      <c r="E104" t="inlineStr">
        <is>
          <t>200mL/3s/30s</t>
        </is>
      </c>
      <c r="I104" s="1">
        <f>IF(C104="", "", (B104-C104)*1000/(A104-A103))</f>
        <v/>
      </c>
      <c r="J104" s="1">
        <f>IF(I104="","",I104/F$2/3)</f>
        <v/>
      </c>
      <c r="K104" s="1">
        <f>IF(I104="","", 100*_xlfn.STDEV.P(I103:I104)/AVERAGE(I103:I104))</f>
        <v/>
      </c>
      <c r="L104" s="8">
        <f t="array" ref="L104">IF(I104="","", IFERROR(((IF(I$5&lt;&gt;"", I$5*A$5, 0) + SUMPRODUCT(--(I$6:I104&lt;&gt;""), I$6:I104, (A$6:A104-A$5:A103)))/1000), ""))</f>
        <v/>
      </c>
      <c r="M104" s="1">
        <f>M103+10</f>
        <v/>
      </c>
      <c r="N104" s="1">
        <f>O103</f>
        <v/>
      </c>
      <c r="Q104" t="inlineStr">
        <is>
          <t>200mL/3s/30s</t>
        </is>
      </c>
      <c r="U104" s="1">
        <f>IF(O104="", "", (N104-O104)*1000/(M104-M103))</f>
        <v/>
      </c>
      <c r="V104" s="1">
        <f>IF(U104="","",U104/R$2/3)</f>
        <v/>
      </c>
      <c r="W104" s="1">
        <f>IF(U104="","", 100*_xlfn.STDEV.P(U103:U104)/AVERAGE(U103:U104))</f>
        <v/>
      </c>
      <c r="X104" s="8">
        <f t="array" ref="X104">IF(U104="","", IFERROR(((IF(U$5&lt;&gt;"", U$5*M$5, 0) + SUMPRODUCT(--(U$6:U104&lt;&gt;""), U$6:U104, (M$6:M104-M$5:M103)))/1000), ""))</f>
        <v/>
      </c>
    </row>
    <row r="105">
      <c r="A105" s="1">
        <f>A104+10</f>
        <v/>
      </c>
      <c r="B105" s="1">
        <f>C104</f>
        <v/>
      </c>
      <c r="E105" t="inlineStr">
        <is>
          <t>200mL/3s/30s</t>
        </is>
      </c>
      <c r="I105" s="1">
        <f>IF(C105="", "", (B105-C105)*1000/(A105-A104))</f>
        <v/>
      </c>
      <c r="J105" s="1">
        <f>IF(I105="","",I105/F$2/3)</f>
        <v/>
      </c>
      <c r="K105" s="1">
        <f>IF(I105="","", 100*_xlfn.STDEV.P(I104:I105)/AVERAGE(I104:I105))</f>
        <v/>
      </c>
      <c r="L105" s="8">
        <f t="array" ref="L105">IF(I105="","", IFERROR(((IF(I$5&lt;&gt;"", I$5*A$5, 0) + SUMPRODUCT(--(I$6:I105&lt;&gt;""), I$6:I105, (A$6:A105-A$5:A104)))/1000), ""))</f>
        <v/>
      </c>
      <c r="M105" s="1">
        <f>M104+10</f>
        <v/>
      </c>
      <c r="N105" s="1">
        <f>O104</f>
        <v/>
      </c>
      <c r="Q105" t="inlineStr">
        <is>
          <t>200mL/3s/30s</t>
        </is>
      </c>
      <c r="U105" s="1">
        <f>IF(O105="", "", (N105-O105)*1000/(M105-M104))</f>
        <v/>
      </c>
      <c r="V105" s="1">
        <f>IF(U105="","",U105/R$2/3)</f>
        <v/>
      </c>
      <c r="W105" s="1">
        <f>IF(U105="","", 100*_xlfn.STDEV.P(U104:U105)/AVERAGE(U104:U105))</f>
        <v/>
      </c>
      <c r="X105" s="8">
        <f t="array" ref="X105">IF(U105="","", IFERROR(((IF(U$5&lt;&gt;"", U$5*M$5, 0) + SUMPRODUCT(--(U$6:U105&lt;&gt;""), U$6:U105, (M$6:M105-M$5:M104)))/1000), ""))</f>
        <v/>
      </c>
    </row>
    <row r="106">
      <c r="A106" s="1">
        <f>A105+10</f>
        <v/>
      </c>
      <c r="B106" s="1">
        <f>C105</f>
        <v/>
      </c>
      <c r="E106" t="inlineStr">
        <is>
          <t>200mL/3s/30s</t>
        </is>
      </c>
      <c r="I106" s="1">
        <f>IF(C106="", "", (B106-C106)*1000/(A106-A105))</f>
        <v/>
      </c>
      <c r="J106" s="1">
        <f>IF(I106="","",I106/F$2/3)</f>
        <v/>
      </c>
      <c r="K106" s="1">
        <f>IF(I106="","", 100*_xlfn.STDEV.P(I105:I106)/AVERAGE(I105:I106))</f>
        <v/>
      </c>
      <c r="L106" s="8">
        <f t="array" ref="L106">IF(I106="","", IFERROR(((IF(I$5&lt;&gt;"", I$5*A$5, 0) + SUMPRODUCT(--(I$6:I106&lt;&gt;""), I$6:I106, (A$6:A106-A$5:A105)))/1000), ""))</f>
        <v/>
      </c>
      <c r="M106" s="1">
        <f>M105+10</f>
        <v/>
      </c>
      <c r="N106" s="1">
        <f>O105</f>
        <v/>
      </c>
      <c r="Q106" t="inlineStr">
        <is>
          <t>200mL/3s/30s</t>
        </is>
      </c>
      <c r="U106" s="1">
        <f>IF(O106="", "", (N106-O106)*1000/(M106-M105))</f>
        <v/>
      </c>
      <c r="V106" s="1">
        <f>IF(U106="","",U106/R$2/3)</f>
        <v/>
      </c>
      <c r="W106" s="1">
        <f>IF(U106="","", 100*_xlfn.STDEV.P(U105:U106)/AVERAGE(U105:U106))</f>
        <v/>
      </c>
      <c r="X106" s="8">
        <f t="array" ref="X106">IF(U106="","", IFERROR(((IF(U$5&lt;&gt;"", U$5*M$5, 0) + SUMPRODUCT(--(U$6:U106&lt;&gt;""), U$6:U106, (M$6:M106-M$5:M105)))/1000), ""))</f>
        <v/>
      </c>
    </row>
    <row r="107">
      <c r="A107" s="1">
        <f>A106+10</f>
        <v/>
      </c>
      <c r="B107" s="1">
        <f>C106</f>
        <v/>
      </c>
      <c r="E107" t="inlineStr">
        <is>
          <t>200mL/3s/30s</t>
        </is>
      </c>
      <c r="I107" s="1">
        <f>IF(C107="", "", (B107-C107)*1000/(A107-A106))</f>
        <v/>
      </c>
      <c r="J107" s="1">
        <f>IF(I107="","",I107/F$2/3)</f>
        <v/>
      </c>
      <c r="K107" s="1">
        <f>IF(I107="","", 100*_xlfn.STDEV.P(I106:I107)/AVERAGE(I106:I107))</f>
        <v/>
      </c>
      <c r="L107" s="8">
        <f t="array" ref="L107">IF(I107="","", IFERROR(((IF(I$5&lt;&gt;"", I$5*A$5, 0) + SUMPRODUCT(--(I$6:I107&lt;&gt;""), I$6:I107, (A$6:A107-A$5:A106)))/1000), ""))</f>
        <v/>
      </c>
      <c r="M107" s="1">
        <f>M106+10</f>
        <v/>
      </c>
      <c r="N107" s="1">
        <f>O106</f>
        <v/>
      </c>
      <c r="Q107" t="inlineStr">
        <is>
          <t>200mL/3s/30s</t>
        </is>
      </c>
      <c r="U107" s="1">
        <f>IF(O107="", "", (N107-O107)*1000/(M107-M106))</f>
        <v/>
      </c>
      <c r="V107" s="1">
        <f>IF(U107="","",U107/R$2/3)</f>
        <v/>
      </c>
      <c r="W107" s="1">
        <f>IF(U107="","", 100*_xlfn.STDEV.P(U106:U107)/AVERAGE(U106:U107))</f>
        <v/>
      </c>
      <c r="X107" s="8">
        <f t="array" ref="X107">IF(U107="","", IFERROR(((IF(U$5&lt;&gt;"", U$5*M$5, 0) + SUMPRODUCT(--(U$6:U107&lt;&gt;""), U$6:U107, (M$6:M107-M$5:M106)))/1000), ""))</f>
        <v/>
      </c>
    </row>
    <row r="108">
      <c r="A108" s="1">
        <f>A107+10</f>
        <v/>
      </c>
      <c r="B108" s="1">
        <f>C107</f>
        <v/>
      </c>
      <c r="E108" t="inlineStr">
        <is>
          <t>200mL/3s/30s</t>
        </is>
      </c>
      <c r="I108" s="1">
        <f>IF(C108="", "", (B108-C108)*1000/(A108-A107))</f>
        <v/>
      </c>
      <c r="J108" s="1">
        <f>IF(I108="","",I108/F$2/3)</f>
        <v/>
      </c>
      <c r="K108" s="1">
        <f>IF(I108="","", 100*_xlfn.STDEV.P(I107:I108)/AVERAGE(I107:I108))</f>
        <v/>
      </c>
      <c r="L108" s="8">
        <f t="array" ref="L108">IF(I108="","", IFERROR(((IF(I$5&lt;&gt;"", I$5*A$5, 0) + SUMPRODUCT(--(I$6:I108&lt;&gt;""), I$6:I108, (A$6:A108-A$5:A107)))/1000), ""))</f>
        <v/>
      </c>
      <c r="M108" s="1">
        <f>M107+10</f>
        <v/>
      </c>
      <c r="N108" s="1">
        <f>O107</f>
        <v/>
      </c>
      <c r="Q108" t="inlineStr">
        <is>
          <t>200mL/3s/30s</t>
        </is>
      </c>
      <c r="U108" s="1">
        <f>IF(O108="", "", (N108-O108)*1000/(M108-M107))</f>
        <v/>
      </c>
      <c r="V108" s="1">
        <f>IF(U108="","",U108/R$2/3)</f>
        <v/>
      </c>
      <c r="W108" s="1">
        <f>IF(U108="","", 100*_xlfn.STDEV.P(U107:U108)/AVERAGE(U107:U108))</f>
        <v/>
      </c>
      <c r="X108" s="8">
        <f t="array" ref="X108">IF(U108="","", IFERROR(((IF(U$5&lt;&gt;"", U$5*M$5, 0) + SUMPRODUCT(--(U$6:U108&lt;&gt;""), U$6:U108, (M$6:M108-M$5:M107)))/1000), ""))</f>
        <v/>
      </c>
    </row>
    <row r="109">
      <c r="A109" s="1">
        <f>A108+10</f>
        <v/>
      </c>
      <c r="B109" s="1">
        <f>C108</f>
        <v/>
      </c>
      <c r="E109" t="inlineStr">
        <is>
          <t>200mL/3s/30s</t>
        </is>
      </c>
      <c r="I109" s="1">
        <f>IF(C109="", "", (B109-C109)*1000/(A109-A108))</f>
        <v/>
      </c>
      <c r="J109" s="1">
        <f>IF(I109="","",I109/F$2/3)</f>
        <v/>
      </c>
      <c r="K109" s="1">
        <f>IF(I109="","", 100*_xlfn.STDEV.P(I108:I109)/AVERAGE(I108:I109))</f>
        <v/>
      </c>
      <c r="L109" s="8">
        <f t="array" ref="L109">IF(I109="","", IFERROR(((IF(I$5&lt;&gt;"", I$5*A$5, 0) + SUMPRODUCT(--(I$6:I109&lt;&gt;""), I$6:I109, (A$6:A109-A$5:A108)))/1000), ""))</f>
        <v/>
      </c>
      <c r="M109" s="1">
        <f>M108+10</f>
        <v/>
      </c>
      <c r="N109" s="1">
        <f>O108</f>
        <v/>
      </c>
      <c r="Q109" t="inlineStr">
        <is>
          <t>200mL/3s/30s</t>
        </is>
      </c>
      <c r="U109" s="1">
        <f>IF(O109="", "", (N109-O109)*1000/(M109-M108))</f>
        <v/>
      </c>
      <c r="V109" s="1">
        <f>IF(U109="","",U109/R$2/3)</f>
        <v/>
      </c>
      <c r="W109" s="1">
        <f>IF(U109="","", 100*_xlfn.STDEV.P(U108:U109)/AVERAGE(U108:U109))</f>
        <v/>
      </c>
      <c r="X109" s="8">
        <f t="array" ref="X109">IF(U109="","", IFERROR(((IF(U$5&lt;&gt;"", U$5*M$5, 0) + SUMPRODUCT(--(U$6:U109&lt;&gt;""), U$6:U109, (M$6:M109-M$5:M108)))/1000), ""))</f>
        <v/>
      </c>
    </row>
    <row r="110">
      <c r="A110" s="1">
        <f>A109+10</f>
        <v/>
      </c>
      <c r="B110" s="1">
        <f>C109</f>
        <v/>
      </c>
      <c r="E110" t="inlineStr">
        <is>
          <t>200mL/3s/30s</t>
        </is>
      </c>
      <c r="I110" s="1">
        <f>IF(C110="", "", (B110-C110)*1000/(A110-A109))</f>
        <v/>
      </c>
      <c r="J110" s="1">
        <f>IF(I110="","",I110/F$2/3)</f>
        <v/>
      </c>
      <c r="K110" s="1">
        <f>IF(I110="","", 100*_xlfn.STDEV.P(I109:I110)/AVERAGE(I109:I110))</f>
        <v/>
      </c>
      <c r="L110" s="8">
        <f t="array" ref="L110">IF(I110="","", IFERROR(((IF(I$5&lt;&gt;"", I$5*A$5, 0) + SUMPRODUCT(--(I$6:I110&lt;&gt;""), I$6:I110, (A$6:A110-A$5:A109)))/1000), ""))</f>
        <v/>
      </c>
      <c r="M110" s="1">
        <f>M109+10</f>
        <v/>
      </c>
      <c r="N110" s="1">
        <f>O109</f>
        <v/>
      </c>
      <c r="Q110" t="inlineStr">
        <is>
          <t>200mL/3s/30s</t>
        </is>
      </c>
      <c r="U110" s="1">
        <f>IF(O110="", "", (N110-O110)*1000/(M110-M109))</f>
        <v/>
      </c>
      <c r="V110" s="1">
        <f>IF(U110="","",U110/R$2/3)</f>
        <v/>
      </c>
      <c r="W110" s="1">
        <f>IF(U110="","", 100*_xlfn.STDEV.P(U109:U110)/AVERAGE(U109:U110))</f>
        <v/>
      </c>
      <c r="X110" s="8">
        <f t="array" ref="X110">IF(U110="","", IFERROR(((IF(U$5&lt;&gt;"", U$5*M$5, 0) + SUMPRODUCT(--(U$6:U110&lt;&gt;""), U$6:U110, (M$6:M110-M$5:M109)))/1000), ""))</f>
        <v/>
      </c>
    </row>
    <row r="111">
      <c r="A111" s="1">
        <f>A110+10</f>
        <v/>
      </c>
      <c r="B111" s="1">
        <f>C110</f>
        <v/>
      </c>
      <c r="E111" t="inlineStr">
        <is>
          <t>200mL/3s/30s</t>
        </is>
      </c>
      <c r="I111" s="1">
        <f>IF(C111="", "", (B111-C111)*1000/(A111-A110))</f>
        <v/>
      </c>
      <c r="J111" s="1">
        <f>IF(I111="","",I111/F$2/3)</f>
        <v/>
      </c>
      <c r="K111" s="1">
        <f>IF(I111="","", 100*_xlfn.STDEV.P(I110:I111)/AVERAGE(I110:I111))</f>
        <v/>
      </c>
      <c r="L111" s="8">
        <f t="array" ref="L111">IF(I111="","", IFERROR(((IF(I$5&lt;&gt;"", I$5*A$5, 0) + SUMPRODUCT(--(I$6:I111&lt;&gt;""), I$6:I111, (A$6:A111-A$5:A110)))/1000), ""))</f>
        <v/>
      </c>
      <c r="M111" s="1">
        <f>M110+10</f>
        <v/>
      </c>
      <c r="N111" s="1">
        <f>O110</f>
        <v/>
      </c>
      <c r="Q111" t="inlineStr">
        <is>
          <t>200mL/3s/30s</t>
        </is>
      </c>
      <c r="U111" s="1">
        <f>IF(O111="", "", (N111-O111)*1000/(M111-M110))</f>
        <v/>
      </c>
      <c r="V111" s="1">
        <f>IF(U111="","",U111/R$2/3)</f>
        <v/>
      </c>
      <c r="W111" s="1">
        <f>IF(U111="","", 100*_xlfn.STDEV.P(U110:U111)/AVERAGE(U110:U111))</f>
        <v/>
      </c>
      <c r="X111" s="8">
        <f t="array" ref="X111">IF(U111="","", IFERROR(((IF(U$5&lt;&gt;"", U$5*M$5, 0) + SUMPRODUCT(--(U$6:U111&lt;&gt;""), U$6:U111, (M$6:M111-M$5:M110)))/1000), ""))</f>
        <v/>
      </c>
    </row>
    <row r="112">
      <c r="A112" s="1">
        <f>A111+10</f>
        <v/>
      </c>
      <c r="B112" s="1">
        <f>C111</f>
        <v/>
      </c>
      <c r="E112" t="inlineStr">
        <is>
          <t>200mL/3s/30s</t>
        </is>
      </c>
      <c r="I112" s="1">
        <f>IF(C112="", "", (B112-C112)*1000/(A112-A111))</f>
        <v/>
      </c>
      <c r="J112" s="1">
        <f>IF(I112="","",I112/F$2/3)</f>
        <v/>
      </c>
      <c r="K112" s="1">
        <f>IF(I112="","", 100*_xlfn.STDEV.P(I111:I112)/AVERAGE(I111:I112))</f>
        <v/>
      </c>
      <c r="L112" s="8">
        <f t="array" ref="L112">IF(I112="","", IFERROR(((IF(I$5&lt;&gt;"", I$5*A$5, 0) + SUMPRODUCT(--(I$6:I112&lt;&gt;""), I$6:I112, (A$6:A112-A$5:A111)))/1000), ""))</f>
        <v/>
      </c>
      <c r="M112" s="1">
        <f>M111+10</f>
        <v/>
      </c>
      <c r="N112" s="1">
        <f>O111</f>
        <v/>
      </c>
      <c r="Q112" t="inlineStr">
        <is>
          <t>200mL/3s/30s</t>
        </is>
      </c>
      <c r="U112" s="1">
        <f>IF(O112="", "", (N112-O112)*1000/(M112-M111))</f>
        <v/>
      </c>
      <c r="V112" s="1">
        <f>IF(U112="","",U112/R$2/3)</f>
        <v/>
      </c>
      <c r="W112" s="1">
        <f>IF(U112="","", 100*_xlfn.STDEV.P(U111:U112)/AVERAGE(U111:U112))</f>
        <v/>
      </c>
      <c r="X112" s="8">
        <f t="array" ref="X112">IF(U112="","", IFERROR(((IF(U$5&lt;&gt;"", U$5*M$5, 0) + SUMPRODUCT(--(U$6:U112&lt;&gt;""), U$6:U112, (M$6:M112-M$5:M111)))/1000), ""))</f>
        <v/>
      </c>
    </row>
    <row r="113">
      <c r="A113" s="1">
        <f>A112+10</f>
        <v/>
      </c>
      <c r="B113" s="1">
        <f>C112</f>
        <v/>
      </c>
      <c r="E113" t="inlineStr">
        <is>
          <t>200mL/3s/30s</t>
        </is>
      </c>
      <c r="I113" s="1">
        <f>IF(C113="", "", (B113-C113)*1000/(A113-A112))</f>
        <v/>
      </c>
      <c r="J113" s="1">
        <f>IF(I113="","",I113/F$2/3)</f>
        <v/>
      </c>
      <c r="K113" s="1">
        <f>IF(I113="","", 100*_xlfn.STDEV.P(I112:I113)/AVERAGE(I112:I113))</f>
        <v/>
      </c>
      <c r="L113" s="8">
        <f t="array" ref="L113">IF(I113="","", IFERROR(((IF(I$5&lt;&gt;"", I$5*A$5, 0) + SUMPRODUCT(--(I$6:I113&lt;&gt;""), I$6:I113, (A$6:A113-A$5:A112)))/1000), ""))</f>
        <v/>
      </c>
      <c r="M113" s="1">
        <f>M112+10</f>
        <v/>
      </c>
      <c r="N113" s="1">
        <f>O112</f>
        <v/>
      </c>
      <c r="Q113" t="inlineStr">
        <is>
          <t>200mL/3s/30s</t>
        </is>
      </c>
      <c r="U113" s="1">
        <f>IF(O113="", "", (N113-O113)*1000/(M113-M112))</f>
        <v/>
      </c>
      <c r="V113" s="1">
        <f>IF(U113="","",U113/R$2/3)</f>
        <v/>
      </c>
      <c r="W113" s="1">
        <f>IF(U113="","", 100*_xlfn.STDEV.P(U112:U113)/AVERAGE(U112:U113))</f>
        <v/>
      </c>
      <c r="X113" s="8">
        <f t="array" ref="X113">IF(U113="","", IFERROR(((IF(U$5&lt;&gt;"", U$5*M$5, 0) + SUMPRODUCT(--(U$6:U113&lt;&gt;""), U$6:U113, (M$6:M113-M$5:M112)))/1000), ""))</f>
        <v/>
      </c>
    </row>
    <row r="114">
      <c r="A114" s="1">
        <f>A113+10</f>
        <v/>
      </c>
      <c r="B114" s="1">
        <f>C113</f>
        <v/>
      </c>
      <c r="E114" t="inlineStr">
        <is>
          <t>200mL/3s/30s</t>
        </is>
      </c>
      <c r="I114" s="1">
        <f>IF(C114="", "", (B114-C114)*1000/(A114-A113))</f>
        <v/>
      </c>
      <c r="J114" s="1">
        <f>IF(I114="","",I114/F$2/3)</f>
        <v/>
      </c>
      <c r="K114" s="1">
        <f>IF(I114="","", 100*_xlfn.STDEV.P(I113:I114)/AVERAGE(I113:I114))</f>
        <v/>
      </c>
      <c r="L114" s="8">
        <f t="array" ref="L114">IF(I114="","", IFERROR(((IF(I$5&lt;&gt;"", I$5*A$5, 0) + SUMPRODUCT(--(I$6:I114&lt;&gt;""), I$6:I114, (A$6:A114-A$5:A113)))/1000), ""))</f>
        <v/>
      </c>
      <c r="M114" s="1">
        <f>M113+10</f>
        <v/>
      </c>
      <c r="N114" s="1">
        <f>O113</f>
        <v/>
      </c>
      <c r="Q114" t="inlineStr">
        <is>
          <t>200mL/3s/30s</t>
        </is>
      </c>
      <c r="U114" s="1">
        <f>IF(O114="", "", (N114-O114)*1000/(M114-M113))</f>
        <v/>
      </c>
      <c r="V114" s="1">
        <f>IF(U114="","",U114/R$2/3)</f>
        <v/>
      </c>
      <c r="W114" s="1">
        <f>IF(U114="","", 100*_xlfn.STDEV.P(U113:U114)/AVERAGE(U113:U114))</f>
        <v/>
      </c>
      <c r="X114" s="8">
        <f t="array" ref="X114">IF(U114="","", IFERROR(((IF(U$5&lt;&gt;"", U$5*M$5, 0) + SUMPRODUCT(--(U$6:U114&lt;&gt;""), U$6:U114, (M$6:M114-M$5:M113)))/1000), ""))</f>
        <v/>
      </c>
    </row>
    <row r="115">
      <c r="A115" s="1">
        <f>A114+10</f>
        <v/>
      </c>
      <c r="B115" s="1">
        <f>C114</f>
        <v/>
      </c>
      <c r="E115" t="inlineStr">
        <is>
          <t>200mL/3s/30s</t>
        </is>
      </c>
      <c r="I115" s="1">
        <f>IF(C115="", "", (B115-C115)*1000/(A115-A114))</f>
        <v/>
      </c>
      <c r="J115" s="1">
        <f>IF(I115="","",I115/F$2/3)</f>
        <v/>
      </c>
      <c r="K115" s="1">
        <f>IF(I115="","", 100*_xlfn.STDEV.P(I114:I115)/AVERAGE(I114:I115))</f>
        <v/>
      </c>
      <c r="L115" s="8">
        <f t="array" ref="L115">IF(I115="","", IFERROR(((IF(I$5&lt;&gt;"", I$5*A$5, 0) + SUMPRODUCT(--(I$6:I115&lt;&gt;""), I$6:I115, (A$6:A115-A$5:A114)))/1000), ""))</f>
        <v/>
      </c>
      <c r="M115" s="1">
        <f>M114+10</f>
        <v/>
      </c>
      <c r="N115" s="1">
        <f>O114</f>
        <v/>
      </c>
      <c r="Q115" t="inlineStr">
        <is>
          <t>200mL/3s/30s</t>
        </is>
      </c>
      <c r="U115" s="1">
        <f>IF(O115="", "", (N115-O115)*1000/(M115-M114))</f>
        <v/>
      </c>
      <c r="V115" s="1">
        <f>IF(U115="","",U115/R$2/3)</f>
        <v/>
      </c>
      <c r="W115" s="1">
        <f>IF(U115="","", 100*_xlfn.STDEV.P(U114:U115)/AVERAGE(U114:U115))</f>
        <v/>
      </c>
      <c r="X115" s="8">
        <f t="array" ref="X115">IF(U115="","", IFERROR(((IF(U$5&lt;&gt;"", U$5*M$5, 0) + SUMPRODUCT(--(U$6:U115&lt;&gt;""), U$6:U115, (M$6:M115-M$5:M114)))/1000), ""))</f>
        <v/>
      </c>
    </row>
    <row r="116"/>
  </sheetData>
  <conditionalFormatting sqref="I5:L115">
    <cfRule type="containsErrors" priority="4" dxfId="0">
      <formula>ISERROR(I5)</formula>
    </cfRule>
  </conditionalFormatting>
  <conditionalFormatting sqref="K6:K115">
    <cfRule type="cellIs" priority="16" operator="between" dxfId="29">
      <formula>0</formula>
      <formula>15</formula>
    </cfRule>
    <cfRule type="cellIs" priority="17" operator="between" dxfId="28">
      <formula>15</formula>
      <formula>25</formula>
    </cfRule>
    <cfRule type="cellIs" priority="18" operator="between" dxfId="27">
      <formula>25</formula>
      <formula>1000</formula>
    </cfRule>
  </conditionalFormatting>
  <conditionalFormatting sqref="L2:L3 X2:X3">
    <cfRule type="containsErrors" priority="9" dxfId="0">
      <formula>ISERROR(L2)</formula>
    </cfRule>
  </conditionalFormatting>
  <conditionalFormatting sqref="U5:U115 W5:X115">
    <cfRule type="containsErrors" priority="2" dxfId="0">
      <formula>ISERROR(U5)</formula>
    </cfRule>
  </conditionalFormatting>
  <conditionalFormatting sqref="W6:W115">
    <cfRule type="cellIs" priority="13" operator="between" dxfId="29">
      <formula>0</formula>
      <formula>15</formula>
    </cfRule>
    <cfRule type="cellIs" priority="14" operator="between" dxfId="28">
      <formula>15</formula>
      <formula>25</formula>
    </cfRule>
    <cfRule type="cellIs" priority="15" operator="between" dxfId="27">
      <formula>25</formula>
      <formula>1000</formula>
    </cfRule>
  </conditionalFormatting>
  <conditionalFormatting sqref="V5:V115">
    <cfRule type="containsErrors" priority="1" dxfId="0">
      <formula>ISERROR(V5)</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X115"/>
  <sheetViews>
    <sheetView zoomScaleNormal="100" workbookViewId="0">
      <selection activeCell="AD1" sqref="AD1"/>
    </sheetView>
  </sheetViews>
  <sheetFormatPr baseColWidth="8" defaultRowHeight="15"/>
  <cols>
    <col width="16.14062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9.7109375" customWidth="1" style="1" min="9" max="9"/>
    <col width="18" customWidth="1" style="1" min="10" max="10"/>
    <col width="12.140625" customWidth="1" style="1" min="11" max="11"/>
    <col width="14.140625" customWidth="1" style="7" min="12" max="12"/>
    <col width="17.710937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24" customWidth="1" style="1" min="21" max="21"/>
    <col width="18" customWidth="1" style="1" min="22" max="22"/>
    <col width="12.140625" customWidth="1" style="1" min="23" max="23"/>
    <col width="14.140625" customWidth="1" style="7" min="24" max="24"/>
    <col width="9.140625" customWidth="1" style="1" min="25" max="16384"/>
  </cols>
  <sheetData>
    <row r="1" ht="45" customFormat="1" customHeight="1" s="27">
      <c r="A1" s="3" t="inlineStr">
        <is>
          <t>Big Headspace Serial Test</t>
        </is>
      </c>
      <c r="C1" s="4" t="inlineStr">
        <is>
          <t>Date:</t>
        </is>
      </c>
      <c r="E1" s="4" t="inlineStr">
        <is>
          <t>Sample ID:</t>
        </is>
      </c>
      <c r="G1" s="4" t="inlineStr">
        <is>
          <t>Heating Technology:</t>
        </is>
      </c>
      <c r="J1" s="4" t="inlineStr">
        <is>
          <t>Did this burn?</t>
        </is>
      </c>
      <c r="L1" s="6" t="inlineStr">
        <is>
          <t>Average TPM and Standard deviation</t>
        </is>
      </c>
      <c r="M1" s="3" t="inlineStr">
        <is>
          <t>Big Headspace Serial Test</t>
        </is>
      </c>
      <c r="O1" s="4" t="inlineStr">
        <is>
          <t>Date:</t>
        </is>
      </c>
      <c r="Q1" s="4" t="inlineStr">
        <is>
          <t>Sample ID:</t>
        </is>
      </c>
      <c r="S1" s="4" t="inlineStr">
        <is>
          <t>Heating Technology:</t>
        </is>
      </c>
      <c r="V1" s="4" t="inlineStr">
        <is>
          <t>Did this burn?</t>
        </is>
      </c>
      <c r="X1" s="6" t="inlineStr">
        <is>
          <t>Average TPM and Standard deviation</t>
        </is>
      </c>
    </row>
    <row r="2" ht="46.5"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60mL/3s/30s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60mL/3s/30s</t>
        </is>
      </c>
      <c r="U2" s="4" t="inlineStr">
        <is>
          <t>Usage Efficiency
             ↓</t>
        </is>
      </c>
      <c r="V2" s="4" t="inlineStr">
        <is>
          <t>Did this clog?</t>
        </is>
      </c>
      <c r="X2" s="20">
        <f>IF(U5="","",AVERAGEIFS(U5:U115,U5:U115,"&lt;&gt;0",U5:U115,"&lt;&gt;"))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row>
    <row r="4" ht="45" customFormat="1" customHeight="1" s="27">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row>
    <row r="5">
      <c r="A5" s="1" t="n">
        <v>1</v>
      </c>
      <c r="B5" s="1" t="n">
        <v>0</v>
      </c>
      <c r="E5" t="inlineStr">
        <is>
          <t>60mL/3s/30s</t>
        </is>
      </c>
      <c r="H5" s="1" t="inlineStr">
        <is>
          <t>Round 1</t>
        </is>
      </c>
      <c r="I5" s="1">
        <f>IF(C5="", "", (B5-C5)*1000/A5)</f>
        <v/>
      </c>
      <c r="J5" s="1">
        <f>IF(I5="","",I5/F$2/3)</f>
        <v/>
      </c>
      <c r="L5" s="8">
        <f>IF(I5="","", IFERROR(((IF(I$5&lt;&gt;"", I$5*A$5, 0))/1000)/H$3, ""))</f>
        <v/>
      </c>
      <c r="M5" s="1" t="n">
        <v>1</v>
      </c>
      <c r="Q5" t="inlineStr">
        <is>
          <t>60mL/3s/30s</t>
        </is>
      </c>
      <c r="T5" s="1" t="inlineStr">
        <is>
          <t>Round 1</t>
        </is>
      </c>
      <c r="U5" s="1">
        <f>IF(O5="", "", (N5-O5)*1000/M5)</f>
        <v/>
      </c>
      <c r="V5" s="1">
        <f>IF(U5="","",U5/R$2/3)</f>
        <v/>
      </c>
      <c r="X5" s="8">
        <f>IF(U5="","", IFERROR(((IF(U$5&lt;&gt;"", U$5*M$5, 0))/1000)/T$3, ""))</f>
        <v/>
      </c>
    </row>
    <row r="6">
      <c r="A6" s="1">
        <f>A5+1</f>
        <v/>
      </c>
      <c r="B6" s="1">
        <f>C5</f>
        <v/>
      </c>
      <c r="E6" t="inlineStr">
        <is>
          <t>60mL/3s/30s</t>
        </is>
      </c>
      <c r="I6" s="1">
        <f>IF(C6="", "", (B6-C6)*1000/(A6-A5))</f>
        <v/>
      </c>
      <c r="J6" s="1">
        <f>IF(I6="","",I6/F$2/3)</f>
        <v/>
      </c>
      <c r="K6" s="1">
        <f>IF(I6="","", 100*_xlfn.STDEV.P(I5:I6)/AVERAGE(I5:I6))</f>
        <v/>
      </c>
      <c r="L6" s="8">
        <f t="array" ref="L6">IF(I6="","", IFERROR(((IF(I$5&lt;&gt;"", I$5*A$5, 0) + SUMPRODUCT(--(I$6:I6&lt;&gt;""), I$6:I6, (A$6:A6-A$5:A5)))/1000)/H$3, ""))</f>
        <v/>
      </c>
      <c r="M6" s="1">
        <f>M5+1</f>
        <v/>
      </c>
      <c r="N6" s="1">
        <f>O5</f>
        <v/>
      </c>
      <c r="Q6" t="inlineStr">
        <is>
          <t>60mL/3s/30s</t>
        </is>
      </c>
      <c r="U6" s="1">
        <f>IF(O6="", "", (N6-O6)*1000/(M6-M5))</f>
        <v/>
      </c>
      <c r="V6" s="1">
        <f>IF(U6="","",U6/R$2/3)</f>
        <v/>
      </c>
      <c r="W6" s="1">
        <f>IF(U6="","", 100*_xlfn.STDEV.P(U5:U6)/AVERAGE(U5:U6))</f>
        <v/>
      </c>
      <c r="X6" s="8">
        <f t="array" ref="X6">IF(U6="","", IFERROR(((IF(U$5&lt;&gt;"", U$5*M$5, 0) + SUMPRODUCT(--(U$6:U6&lt;&gt;""), U$6:U6, (M$6:M6-M$5:M5)))/1000)/T$3, ""))</f>
        <v/>
      </c>
    </row>
    <row r="7">
      <c r="A7" s="1">
        <f>A6+1</f>
        <v/>
      </c>
      <c r="B7" s="1">
        <f>C6</f>
        <v/>
      </c>
      <c r="E7" t="inlineStr">
        <is>
          <t>60mL/3s/30s</t>
        </is>
      </c>
      <c r="I7" s="1">
        <f>IF(C7="", "", (B7-C7)*1000/(A7-A6))</f>
        <v/>
      </c>
      <c r="J7" s="1">
        <f>IF(I7="","",I7/F$2/3)</f>
        <v/>
      </c>
      <c r="K7" s="1">
        <f>IF(I7="","", 100*_xlfn.STDEV.P(I6:I7)/AVERAGE(I6:I7))</f>
        <v/>
      </c>
      <c r="L7" s="8">
        <f t="array" ref="L7">IF(I7="","", IFERROR(((IF(I$5&lt;&gt;"", I$5*A$5, 0) + SUMPRODUCT(--(I$6:I7&lt;&gt;""), I$6:I7, (A$6:A7-A$5:A6)))/1000)/H$3, ""))</f>
        <v/>
      </c>
      <c r="M7" s="1">
        <f>M6+1</f>
        <v/>
      </c>
      <c r="N7" s="1">
        <f>O6</f>
        <v/>
      </c>
      <c r="Q7" t="inlineStr">
        <is>
          <t>60mL/3s/30s</t>
        </is>
      </c>
      <c r="U7" s="1">
        <f>IF(O7="", "", (N7-O7)*1000/(M7-M6))</f>
        <v/>
      </c>
      <c r="V7" s="1">
        <f>IF(U7="","",U7/R$2/3)</f>
        <v/>
      </c>
      <c r="W7" s="1">
        <f>IF(U7="","", 100*_xlfn.STDEV.P(U6:U7)/AVERAGE(U6:U7))</f>
        <v/>
      </c>
      <c r="X7" s="8">
        <f t="array" ref="X7">IF(U7="","", IFERROR(((IF(U$5&lt;&gt;"", U$5*M$5, 0) + SUMPRODUCT(--(U$6:U7&lt;&gt;""), U$6:U7, (M$6:M7-M$5:M6)))/1000)/T$3, ""))</f>
        <v/>
      </c>
    </row>
    <row r="8">
      <c r="A8" s="1">
        <f>A7+1</f>
        <v/>
      </c>
      <c r="B8" s="1">
        <f>C7</f>
        <v/>
      </c>
      <c r="E8" t="inlineStr">
        <is>
          <t>60mL/3s/30s</t>
        </is>
      </c>
      <c r="I8" s="1">
        <f>IF(C8="", "", (B8-C8)*1000/(A8-A7))</f>
        <v/>
      </c>
      <c r="J8" s="1">
        <f>IF(I8="","",I8/F$2/3)</f>
        <v/>
      </c>
      <c r="K8" s="1">
        <f>IF(I8="","", 100*_xlfn.STDEV.P(I7:I8)/AVERAGE(I7:I8))</f>
        <v/>
      </c>
      <c r="L8" s="8">
        <f t="array" ref="L8">IF(I8="","", IFERROR(((IF(I$5&lt;&gt;"", I$5*A$5, 0) + SUMPRODUCT(--(I$6:I8&lt;&gt;""), I$6:I8, (A$6:A8-A$5:A7)))/1000)/H$3, ""))</f>
        <v/>
      </c>
      <c r="M8" s="1">
        <f>M7+1</f>
        <v/>
      </c>
      <c r="N8" s="1">
        <f>O7</f>
        <v/>
      </c>
      <c r="Q8" t="inlineStr">
        <is>
          <t>60mL/3s/30s</t>
        </is>
      </c>
      <c r="U8" s="1">
        <f>IF(O8="", "", (N8-O8)*1000/(M8-M7))</f>
        <v/>
      </c>
      <c r="V8" s="1">
        <f>IF(U8="","",U8/R$2/3)</f>
        <v/>
      </c>
      <c r="W8" s="1">
        <f>IF(U8="","", 100*_xlfn.STDEV.P(U7:U8)/AVERAGE(U7:U8))</f>
        <v/>
      </c>
      <c r="X8" s="8">
        <f t="array" ref="X8">IF(U8="","", IFERROR(((IF(U$5&lt;&gt;"", U$5*M$5, 0) + SUMPRODUCT(--(U$6:U8&lt;&gt;""), U$6:U8, (M$6:M8-M$5:M7)))/1000)/T$3, ""))</f>
        <v/>
      </c>
    </row>
    <row r="9">
      <c r="A9" s="1">
        <f>A8+1</f>
        <v/>
      </c>
      <c r="B9" s="1">
        <f>C8</f>
        <v/>
      </c>
      <c r="E9" t="inlineStr">
        <is>
          <t>60mL/3s/30s</t>
        </is>
      </c>
      <c r="I9" s="1">
        <f>IF(C9="", "", (B9-C9)*1000/(A9-A8))</f>
        <v/>
      </c>
      <c r="J9" s="1">
        <f>IF(I9="","",I9/F$2/3)</f>
        <v/>
      </c>
      <c r="K9" s="1">
        <f>IF(I9="","", 100*_xlfn.STDEV.P(I8:I9)/AVERAGE(I8:I9))</f>
        <v/>
      </c>
      <c r="L9" s="8">
        <f t="array" ref="L9">IF(I9="","", IFERROR(((IF(I$5&lt;&gt;"", I$5*A$5, 0) + SUMPRODUCT(--(I$6:I9&lt;&gt;""), I$6:I9, (A$6:A9-A$5:A8)))/1000)/H$3, ""))</f>
        <v/>
      </c>
      <c r="M9" s="1">
        <f>M8+1</f>
        <v/>
      </c>
      <c r="N9" s="1">
        <f>O8</f>
        <v/>
      </c>
      <c r="Q9" t="inlineStr">
        <is>
          <t>60mL/3s/30s</t>
        </is>
      </c>
      <c r="U9" s="1">
        <f>IF(O9="", "", (N9-O9)*1000/(M9-M8))</f>
        <v/>
      </c>
      <c r="V9" s="1">
        <f>IF(U9="","",U9/R$2/3)</f>
        <v/>
      </c>
      <c r="W9" s="1">
        <f>IF(U9="","", 100*_xlfn.STDEV.P(U8:U9)/AVERAGE(U8:U9))</f>
        <v/>
      </c>
      <c r="X9" s="8">
        <f t="array" ref="X9">IF(U9="","", IFERROR(((IF(U$5&lt;&gt;"", U$5*M$5, 0) + SUMPRODUCT(--(U$6:U9&lt;&gt;""), U$6:U9, (M$6:M9-M$5:M8)))/1000)/T$3, ""))</f>
        <v/>
      </c>
    </row>
    <row r="10">
      <c r="A10" s="1">
        <f>A9+1</f>
        <v/>
      </c>
      <c r="B10" s="1">
        <f>C9</f>
        <v/>
      </c>
      <c r="E10" t="inlineStr">
        <is>
          <t>60mL/3s/30s</t>
        </is>
      </c>
      <c r="I10" s="1">
        <f>IF(C10="", "", (B10-C10)*1000/(A10-A9))</f>
        <v/>
      </c>
      <c r="J10" s="1">
        <f>IF(I10="","",I10/F$2/3)</f>
        <v/>
      </c>
      <c r="K10" s="1">
        <f>IF(I10="","", 100*_xlfn.STDEV.P(I9:I10)/AVERAGE(I9:I10))</f>
        <v/>
      </c>
      <c r="L10" s="8">
        <f t="array" ref="L10">IF(I10="","", IFERROR(((IF(I$5&lt;&gt;"", I$5*A$5, 0) + SUMPRODUCT(--(I$6:I10&lt;&gt;""), I$6:I10, (A$6:A10-A$5:A9)))/1000)/H$3, ""))</f>
        <v/>
      </c>
      <c r="M10" s="1">
        <f>M9+1</f>
        <v/>
      </c>
      <c r="N10" s="1">
        <f>O9</f>
        <v/>
      </c>
      <c r="Q10" t="inlineStr">
        <is>
          <t>60mL/3s/30s</t>
        </is>
      </c>
      <c r="U10" s="1">
        <f>IF(O10="", "", (N10-O10)*1000/(M10-M9))</f>
        <v/>
      </c>
      <c r="V10" s="1">
        <f>IF(U10="","",U10/R$2/3)</f>
        <v/>
      </c>
      <c r="W10" s="1">
        <f>IF(U10="","", 100*_xlfn.STDEV.P(U9:U10)/AVERAGE(U9:U10))</f>
        <v/>
      </c>
      <c r="X10" s="8">
        <f t="array" ref="X10">IF(U10="","", IFERROR(((IF(U$5&lt;&gt;"", U$5*M$5, 0) + SUMPRODUCT(--(U$6:U10&lt;&gt;""), U$6:U10, (M$6:M10-M$5:M9)))/1000)/T$3, ""))</f>
        <v/>
      </c>
    </row>
    <row r="11">
      <c r="A11" s="1">
        <f>A10+1</f>
        <v/>
      </c>
      <c r="B11" s="1">
        <f>C10</f>
        <v/>
      </c>
      <c r="E11" t="inlineStr">
        <is>
          <t>60mL/3s/30s</t>
        </is>
      </c>
      <c r="I11" s="1">
        <f>IF(C11="", "", (B11-C11)*1000/(A11-A10))</f>
        <v/>
      </c>
      <c r="J11" s="1">
        <f>IF(I11="","",I11/F$2/3)</f>
        <v/>
      </c>
      <c r="K11" s="1">
        <f>IF(I11="","", 100*_xlfn.STDEV.P(I10:I11)/AVERAGE(I10:I11))</f>
        <v/>
      </c>
      <c r="L11" s="8">
        <f t="array" ref="L11">IF(I11="","", IFERROR(((IF(I$5&lt;&gt;"", I$5*A$5, 0) + SUMPRODUCT(--(I$6:I11&lt;&gt;""), I$6:I11, (A$6:A11-A$5:A10)))/1000)/H$3, ""))</f>
        <v/>
      </c>
      <c r="M11" s="1">
        <f>M10+1</f>
        <v/>
      </c>
      <c r="N11" s="1">
        <f>O10</f>
        <v/>
      </c>
      <c r="Q11" t="inlineStr">
        <is>
          <t>60mL/3s/30s</t>
        </is>
      </c>
      <c r="U11" s="1">
        <f>IF(O11="", "", (N11-O11)*1000/(M11-M10))</f>
        <v/>
      </c>
      <c r="V11" s="1">
        <f>IF(U11="","",U11/R$2/3)</f>
        <v/>
      </c>
      <c r="W11" s="1">
        <f>IF(U11="","", 100*_xlfn.STDEV.P(U10:U11)/AVERAGE(U10:U11))</f>
        <v/>
      </c>
      <c r="X11" s="8">
        <f t="array" ref="X11">IF(U11="","", IFERROR(((IF(U$5&lt;&gt;"", U$5*M$5, 0) + SUMPRODUCT(--(U$6:U11&lt;&gt;""), U$6:U11, (M$6:M11-M$5:M10)))/1000)/T$3, ""))</f>
        <v/>
      </c>
    </row>
    <row r="12">
      <c r="A12" s="1">
        <f>A11+1</f>
        <v/>
      </c>
      <c r="B12" s="1">
        <f>C11</f>
        <v/>
      </c>
      <c r="E12" t="inlineStr">
        <is>
          <t>60mL/3s/30s</t>
        </is>
      </c>
      <c r="I12" s="1">
        <f>IF(C12="", "", (B12-C12)*1000/(A12-A11))</f>
        <v/>
      </c>
      <c r="J12" s="1">
        <f>IF(I12="","",I12/F$2/3)</f>
        <v/>
      </c>
      <c r="K12" s="1">
        <f>IF(I12="","", 100*_xlfn.STDEV.P(I11:I12)/AVERAGE(I11:I12))</f>
        <v/>
      </c>
      <c r="L12" s="8">
        <f t="array" ref="L12">IF(I12="","", IFERROR(((IF(I$5&lt;&gt;"", I$5*A$5, 0) + SUMPRODUCT(--(I$6:I12&lt;&gt;""), I$6:I12, (A$6:A12-A$5:A11)))/1000)/H$3, ""))</f>
        <v/>
      </c>
      <c r="M12" s="1">
        <f>M11+1</f>
        <v/>
      </c>
      <c r="N12" s="1">
        <f>O11</f>
        <v/>
      </c>
      <c r="Q12" t="inlineStr">
        <is>
          <t>60mL/3s/30s</t>
        </is>
      </c>
      <c r="U12" s="1">
        <f>IF(O12="", "", (N12-O12)*1000/(M12-M11))</f>
        <v/>
      </c>
      <c r="V12" s="1">
        <f>IF(U12="","",U12/R$2/3)</f>
        <v/>
      </c>
      <c r="W12" s="1">
        <f>IF(U12="","", 100*_xlfn.STDEV.P(U11:U12)/AVERAGE(U11:U12))</f>
        <v/>
      </c>
      <c r="X12" s="8">
        <f t="array" ref="X12">IF(U12="","", IFERROR(((IF(U$5&lt;&gt;"", U$5*M$5, 0) + SUMPRODUCT(--(U$6:U12&lt;&gt;""), U$6:U12, (M$6:M12-M$5:M11)))/1000)/T$3, ""))</f>
        <v/>
      </c>
    </row>
    <row r="13">
      <c r="A13" s="1">
        <f>A12+1</f>
        <v/>
      </c>
      <c r="B13" s="1">
        <f>C12</f>
        <v/>
      </c>
      <c r="E13" t="inlineStr">
        <is>
          <t>60mL/3s/30s</t>
        </is>
      </c>
      <c r="I13" s="1">
        <f>IF(C13="", "", (B13-C13)*1000/(A13-A12))</f>
        <v/>
      </c>
      <c r="J13" s="1">
        <f>IF(I13="","",I13/F$2/3)</f>
        <v/>
      </c>
      <c r="K13" s="1">
        <f>IF(I13="","", 100*_xlfn.STDEV.P(I12:I13)/AVERAGE(I12:I13))</f>
        <v/>
      </c>
      <c r="L13" s="8">
        <f t="array" ref="L13">IF(I13="","", IFERROR(((IF(I$5&lt;&gt;"", I$5*A$5, 0) + SUMPRODUCT(--(I$6:I13&lt;&gt;""), I$6:I13, (A$6:A13-A$5:A12)))/1000)/H$3, ""))</f>
        <v/>
      </c>
      <c r="M13" s="1">
        <f>M12+1</f>
        <v/>
      </c>
      <c r="N13" s="1">
        <f>O12</f>
        <v/>
      </c>
      <c r="Q13" t="inlineStr">
        <is>
          <t>60mL/3s/30s</t>
        </is>
      </c>
      <c r="U13" s="1">
        <f>IF(O13="", "", (N13-O13)*1000/(M13-M12))</f>
        <v/>
      </c>
      <c r="V13" s="1">
        <f>IF(U13="","",U13/R$2/3)</f>
        <v/>
      </c>
      <c r="W13" s="1">
        <f>IF(U13="","", 100*_xlfn.STDEV.P(U12:U13)/AVERAGE(U12:U13))</f>
        <v/>
      </c>
      <c r="X13" s="8">
        <f t="array" ref="X13">IF(U13="","", IFERROR(((IF(U$5&lt;&gt;"", U$5*M$5, 0) + SUMPRODUCT(--(U$6:U13&lt;&gt;""), U$6:U13, (M$6:M13-M$5:M12)))/1000)/T$3, ""))</f>
        <v/>
      </c>
    </row>
    <row r="14">
      <c r="A14" s="1">
        <f>A13+1</f>
        <v/>
      </c>
      <c r="B14" s="1">
        <f>C13</f>
        <v/>
      </c>
      <c r="E14" t="inlineStr">
        <is>
          <t>60mL/3s/30s</t>
        </is>
      </c>
      <c r="I14" s="1">
        <f>IF(C14="", "", (B14-C14)*1000/(A14-A13))</f>
        <v/>
      </c>
      <c r="J14" s="1">
        <f>IF(I14="","",I14/F$2/3)</f>
        <v/>
      </c>
      <c r="K14" s="1">
        <f>IF(I14="","", 100*_xlfn.STDEV.P(I13:I14)/AVERAGE(I13:I14))</f>
        <v/>
      </c>
      <c r="L14" s="8">
        <f t="array" ref="L14">IF(I14="","", IFERROR(((IF(I$5&lt;&gt;"", I$5*A$5, 0) + SUMPRODUCT(--(I$6:I14&lt;&gt;""), I$6:I14, (A$6:A14-A$5:A13)))/1000)/H$3, ""))</f>
        <v/>
      </c>
      <c r="M14" s="1">
        <f>M13+1</f>
        <v/>
      </c>
      <c r="N14" s="1">
        <f>O13</f>
        <v/>
      </c>
      <c r="Q14" t="inlineStr">
        <is>
          <t>60mL/3s/30s</t>
        </is>
      </c>
      <c r="U14" s="1">
        <f>IF(O14="", "", (N14-O14)*1000/(M14-M13))</f>
        <v/>
      </c>
      <c r="V14" s="1">
        <f>IF(U14="","",U14/R$2/3)</f>
        <v/>
      </c>
      <c r="W14" s="1">
        <f>IF(U14="","", 100*_xlfn.STDEV.P(U13:U14)/AVERAGE(U13:U14))</f>
        <v/>
      </c>
      <c r="X14" s="8">
        <f t="array" ref="X14">IF(U14="","", IFERROR(((IF(U$5&lt;&gt;"", U$5*M$5, 0) + SUMPRODUCT(--(U$6:U14&lt;&gt;""), U$6:U14, (M$6:M14-M$5:M13)))/1000)/T$3, ""))</f>
        <v/>
      </c>
    </row>
    <row r="15">
      <c r="A15" s="1">
        <f>A14+1</f>
        <v/>
      </c>
      <c r="B15" s="1">
        <f>C14</f>
        <v/>
      </c>
      <c r="E15" t="inlineStr">
        <is>
          <t>60mL/3s/30s</t>
        </is>
      </c>
      <c r="H15" s="1" t="inlineStr">
        <is>
          <t>Round 2</t>
        </is>
      </c>
      <c r="I15" s="1">
        <f>IF(C15="", "", (B15-C15)*1000/(A15-A14))</f>
        <v/>
      </c>
      <c r="J15" s="1">
        <f>IF(I15="","",I15/F$2/3)</f>
        <v/>
      </c>
      <c r="K15" s="1">
        <f>IF(I15="","", 100*_xlfn.STDEV.P(I14:I15)/AVERAGE(I14:I15))</f>
        <v/>
      </c>
      <c r="L15" s="8">
        <f t="array" ref="L15">IF(I15="","", IFERROR(((IF(I$5&lt;&gt;"", I$5*A$5, 0) + SUMPRODUCT(--(I$6:I15&lt;&gt;""), I$6:I15, (A$6:A15-A$5:A14)))/1000)/H$3, ""))</f>
        <v/>
      </c>
      <c r="M15" s="1">
        <f>M14+1</f>
        <v/>
      </c>
      <c r="N15" s="1">
        <f>O14</f>
        <v/>
      </c>
      <c r="Q15" t="inlineStr">
        <is>
          <t>60mL/3s/30s</t>
        </is>
      </c>
      <c r="T15" s="1" t="inlineStr">
        <is>
          <t>Round 2</t>
        </is>
      </c>
      <c r="U15" s="1">
        <f>IF(O15="", "", (N15-O15)*1000/(M15-M14))</f>
        <v/>
      </c>
      <c r="V15" s="1">
        <f>IF(U15="","",U15/R$2/3)</f>
        <v/>
      </c>
      <c r="W15" s="1">
        <f>IF(U15="","", 100*_xlfn.STDEV.P(U14:U15)/AVERAGE(U14:U15))</f>
        <v/>
      </c>
      <c r="X15" s="8">
        <f t="array" ref="X15">IF(U15="","", IFERROR(((IF(U$5&lt;&gt;"", U$5*M$5, 0) + SUMPRODUCT(--(U$6:U15&lt;&gt;""), U$6:U15, (M$6:M15-M$5:M14)))/1000)/T$3, ""))</f>
        <v/>
      </c>
    </row>
    <row r="16">
      <c r="A16" s="1">
        <f>A15+1</f>
        <v/>
      </c>
      <c r="B16" s="1">
        <f>C15</f>
        <v/>
      </c>
      <c r="E16" t="inlineStr">
        <is>
          <t>60mL/3s/30s</t>
        </is>
      </c>
      <c r="I16" s="1">
        <f>IF(C16="", "", (B16-C16)*1000/(A16-A15))</f>
        <v/>
      </c>
      <c r="J16" s="1">
        <f>IF(I16="","",I16/F$2/3)</f>
        <v/>
      </c>
      <c r="K16" s="1">
        <f>IF(I16="","", 100*_xlfn.STDEV.P(I15:I16)/AVERAGE(I15:I16))</f>
        <v/>
      </c>
      <c r="L16" s="8">
        <f t="array" ref="L16">IF(I16="","", IFERROR(((IF(I$5&lt;&gt;"", I$5*A$5, 0) + SUMPRODUCT(--(I$6:I16&lt;&gt;""), I$6:I16, (A$6:A16-A$5:A15)))/1000)/H$3, ""))</f>
        <v/>
      </c>
      <c r="M16" s="1">
        <f>M15+1</f>
        <v/>
      </c>
      <c r="N16" s="1">
        <f>O15</f>
        <v/>
      </c>
      <c r="Q16" t="inlineStr">
        <is>
          <t>60mL/3s/30s</t>
        </is>
      </c>
      <c r="U16" s="1">
        <f>IF(O16="", "", (N16-O16)*1000/(M16-M15))</f>
        <v/>
      </c>
      <c r="V16" s="1">
        <f>IF(U16="","",U16/R$2/3)</f>
        <v/>
      </c>
      <c r="W16" s="1">
        <f>IF(U16="","", 100*_xlfn.STDEV.P(U15:U16)/AVERAGE(U15:U16))</f>
        <v/>
      </c>
      <c r="X16" s="8">
        <f t="array" ref="X16">IF(U16="","", IFERROR(((IF(U$5&lt;&gt;"", U$5*M$5, 0) + SUMPRODUCT(--(U$6:U16&lt;&gt;""), U$6:U16, (M$6:M16-M$5:M15)))/1000)/T$3, ""))</f>
        <v/>
      </c>
    </row>
    <row r="17">
      <c r="A17" s="1">
        <f>A16+1</f>
        <v/>
      </c>
      <c r="B17" s="1">
        <f>C16</f>
        <v/>
      </c>
      <c r="E17" t="inlineStr">
        <is>
          <t>60mL/3s/30s</t>
        </is>
      </c>
      <c r="I17" s="1">
        <f>IF(C17="", "", (B17-C17)*1000/(A17-A16))</f>
        <v/>
      </c>
      <c r="J17" s="1">
        <f>IF(I17="","",I17/F$2/3)</f>
        <v/>
      </c>
      <c r="K17" s="1">
        <f>IF(I17="","", 100*_xlfn.STDEV.P(I16:I17)/AVERAGE(I16:I17))</f>
        <v/>
      </c>
      <c r="L17" s="8">
        <f t="array" ref="L17">IF(I17="","", IFERROR(((IF(I$5&lt;&gt;"", I$5*A$5, 0) + SUMPRODUCT(--(I$6:I17&lt;&gt;""), I$6:I17, (A$6:A17-A$5:A16)))/1000)/H$3, ""))</f>
        <v/>
      </c>
      <c r="M17" s="1">
        <f>M16+1</f>
        <v/>
      </c>
      <c r="N17" s="1">
        <f>O16</f>
        <v/>
      </c>
      <c r="Q17" t="inlineStr">
        <is>
          <t>60mL/3s/30s</t>
        </is>
      </c>
      <c r="U17" s="1">
        <f>IF(O17="", "", (N17-O17)*1000/(M17-M16))</f>
        <v/>
      </c>
      <c r="V17" s="1">
        <f>IF(U17="","",U17/R$2/3)</f>
        <v/>
      </c>
      <c r="W17" s="1">
        <f>IF(U17="","", 100*_xlfn.STDEV.P(U16:U17)/AVERAGE(U16:U17))</f>
        <v/>
      </c>
      <c r="X17" s="8">
        <f t="array" ref="X17">IF(U17="","", IFERROR(((IF(U$5&lt;&gt;"", U$5*M$5, 0) + SUMPRODUCT(--(U$6:U17&lt;&gt;""), U$6:U17, (M$6:M17-M$5:M16)))/1000)/T$3, ""))</f>
        <v/>
      </c>
    </row>
    <row r="18">
      <c r="A18" s="1">
        <f>A17+1</f>
        <v/>
      </c>
      <c r="B18" s="1">
        <f>C17</f>
        <v/>
      </c>
      <c r="E18" t="inlineStr">
        <is>
          <t>60mL/3s/30s</t>
        </is>
      </c>
      <c r="I18" s="1">
        <f>IF(C18="", "", (B18-C18)*1000/(A18-A17))</f>
        <v/>
      </c>
      <c r="J18" s="1">
        <f>IF(I18="","",I18/F$2/3)</f>
        <v/>
      </c>
      <c r="K18" s="1">
        <f>IF(I18="","", 100*_xlfn.STDEV.P(I17:I18)/AVERAGE(I17:I18))</f>
        <v/>
      </c>
      <c r="L18" s="8">
        <f t="array" ref="L18">IF(I18="","", IFERROR(((IF(I$5&lt;&gt;"", I$5*A$5, 0) + SUMPRODUCT(--(I$6:I18&lt;&gt;""), I$6:I18, (A$6:A18-A$5:A17)))/1000)/H$3, ""))</f>
        <v/>
      </c>
      <c r="M18" s="1">
        <f>M17+1</f>
        <v/>
      </c>
      <c r="N18" s="1">
        <f>O17</f>
        <v/>
      </c>
      <c r="Q18" t="inlineStr">
        <is>
          <t>60mL/3s/30s</t>
        </is>
      </c>
      <c r="U18" s="1">
        <f>IF(O18="", "", (N18-O18)*1000/(M18-M17))</f>
        <v/>
      </c>
      <c r="V18" s="1">
        <f>IF(U18="","",U18/R$2/3)</f>
        <v/>
      </c>
      <c r="W18" s="1">
        <f>IF(U18="","", 100*_xlfn.STDEV.P(U17:U18)/AVERAGE(U17:U18))</f>
        <v/>
      </c>
      <c r="X18" s="8">
        <f t="array" ref="X18">IF(U18="","", IFERROR(((IF(U$5&lt;&gt;"", U$5*M$5, 0) + SUMPRODUCT(--(U$6:U18&lt;&gt;""), U$6:U18, (M$6:M18-M$5:M17)))/1000)/T$3, ""))</f>
        <v/>
      </c>
    </row>
    <row r="19">
      <c r="A19" s="1">
        <f>A18+1</f>
        <v/>
      </c>
      <c r="B19" s="1">
        <f>C18</f>
        <v/>
      </c>
      <c r="E19" t="inlineStr">
        <is>
          <t>60mL/3s/30s</t>
        </is>
      </c>
      <c r="I19" s="1">
        <f>IF(C19="", "", (B19-C19)*1000/(A19-A18))</f>
        <v/>
      </c>
      <c r="J19" s="1">
        <f>IF(I19="","",I19/F$2/3)</f>
        <v/>
      </c>
      <c r="K19" s="1">
        <f>IF(I19="","", 100*_xlfn.STDEV.P(I18:I19)/AVERAGE(I18:I19))</f>
        <v/>
      </c>
      <c r="L19" s="8">
        <f t="array" ref="L19">IF(I19="","", IFERROR(((IF(I$5&lt;&gt;"", I$5*A$5, 0) + SUMPRODUCT(--(I$6:I19&lt;&gt;""), I$6:I19, (A$6:A19-A$5:A18)))/1000)/H$3, ""))</f>
        <v/>
      </c>
      <c r="M19" s="1">
        <f>M18+1</f>
        <v/>
      </c>
      <c r="N19" s="1">
        <f>O18</f>
        <v/>
      </c>
      <c r="Q19" t="inlineStr">
        <is>
          <t>60mL/3s/30s</t>
        </is>
      </c>
      <c r="U19" s="1">
        <f>IF(O19="", "", (N19-O19)*1000/(M19-M18))</f>
        <v/>
      </c>
      <c r="V19" s="1">
        <f>IF(U19="","",U19/R$2/3)</f>
        <v/>
      </c>
      <c r="W19" s="1">
        <f>IF(U19="","", 100*_xlfn.STDEV.P(U18:U19)/AVERAGE(U18:U19))</f>
        <v/>
      </c>
      <c r="X19" s="8">
        <f t="array" ref="X19">IF(U19="","", IFERROR(((IF(U$5&lt;&gt;"", U$5*M$5, 0) + SUMPRODUCT(--(U$6:U19&lt;&gt;""), U$6:U19, (M$6:M19-M$5:M18)))/1000)/T$3, ""))</f>
        <v/>
      </c>
    </row>
    <row r="20">
      <c r="A20" s="1">
        <f>A19+1</f>
        <v/>
      </c>
      <c r="B20" s="1">
        <f>C19</f>
        <v/>
      </c>
      <c r="E20" t="inlineStr">
        <is>
          <t>60mL/3s/30s</t>
        </is>
      </c>
      <c r="I20" s="1">
        <f>IF(C20="", "", (B20-C20)*1000/(A20-A19))</f>
        <v/>
      </c>
      <c r="J20" s="1">
        <f>IF(I20="","",I20/F$2/3)</f>
        <v/>
      </c>
      <c r="K20" s="1">
        <f>IF(I20="","", 100*_xlfn.STDEV.P(I19:I20)/AVERAGE(I19:I20))</f>
        <v/>
      </c>
      <c r="L20" s="8">
        <f t="array" ref="L20">IF(I20="","", IFERROR(((IF(I$5&lt;&gt;"", I$5*A$5, 0) + SUMPRODUCT(--(I$6:I20&lt;&gt;""), I$6:I20, (A$6:A20-A$5:A19)))/1000)/H$3, ""))</f>
        <v/>
      </c>
      <c r="M20" s="1">
        <f>M19+1</f>
        <v/>
      </c>
      <c r="N20" s="1">
        <f>O19</f>
        <v/>
      </c>
      <c r="Q20" t="inlineStr">
        <is>
          <t>60mL/3s/30s</t>
        </is>
      </c>
      <c r="U20" s="1">
        <f>IF(O20="", "", (N20-O20)*1000/(M20-M19))</f>
        <v/>
      </c>
      <c r="V20" s="1">
        <f>IF(U20="","",U20/R$2/3)</f>
        <v/>
      </c>
      <c r="W20" s="1">
        <f>IF(U20="","", 100*_xlfn.STDEV.P(U19:U20)/AVERAGE(U19:U20))</f>
        <v/>
      </c>
      <c r="X20" s="8">
        <f t="array" ref="X20">IF(U20="","", IFERROR(((IF(U$5&lt;&gt;"", U$5*M$5, 0) + SUMPRODUCT(--(U$6:U20&lt;&gt;""), U$6:U20, (M$6:M20-M$5:M19)))/1000)/T$3, ""))</f>
        <v/>
      </c>
    </row>
    <row r="21">
      <c r="A21" s="1">
        <f>A20+1</f>
        <v/>
      </c>
      <c r="B21" s="1">
        <f>C20</f>
        <v/>
      </c>
      <c r="E21" t="inlineStr">
        <is>
          <t>60mL/3s/30s</t>
        </is>
      </c>
      <c r="I21" s="1">
        <f>IF(C21="", "", (B21-C21)*1000/(A21-A20))</f>
        <v/>
      </c>
      <c r="J21" s="1">
        <f>IF(I21="","",I21/F$2/3)</f>
        <v/>
      </c>
      <c r="K21" s="1">
        <f>IF(I21="","", 100*_xlfn.STDEV.P(I20:I21)/AVERAGE(I20:I21))</f>
        <v/>
      </c>
      <c r="L21" s="8">
        <f t="array" ref="L21">IF(I21="","", IFERROR(((IF(I$5&lt;&gt;"", I$5*A$5, 0) + SUMPRODUCT(--(I$6:I21&lt;&gt;""), I$6:I21, (A$6:A21-A$5:A20)))/1000)/H$3, ""))</f>
        <v/>
      </c>
      <c r="M21" s="1">
        <f>M20+1</f>
        <v/>
      </c>
      <c r="N21" s="1">
        <f>O20</f>
        <v/>
      </c>
      <c r="Q21" t="inlineStr">
        <is>
          <t>60mL/3s/30s</t>
        </is>
      </c>
      <c r="U21" s="1">
        <f>IF(O21="", "", (N21-O21)*1000/(M21-M20))</f>
        <v/>
      </c>
      <c r="V21" s="1">
        <f>IF(U21="","",U21/R$2/3)</f>
        <v/>
      </c>
      <c r="W21" s="1">
        <f>IF(U21="","", 100*_xlfn.STDEV.P(U20:U21)/AVERAGE(U20:U21))</f>
        <v/>
      </c>
      <c r="X21" s="8">
        <f t="array" ref="X21">IF(U21="","", IFERROR(((IF(U$5&lt;&gt;"", U$5*M$5, 0) + SUMPRODUCT(--(U$6:U21&lt;&gt;""), U$6:U21, (M$6:M21-M$5:M20)))/1000)/T$3, ""))</f>
        <v/>
      </c>
    </row>
    <row r="22">
      <c r="A22" s="1">
        <f>A21+1</f>
        <v/>
      </c>
      <c r="B22" s="1">
        <f>C21</f>
        <v/>
      </c>
      <c r="E22" t="inlineStr">
        <is>
          <t>60mL/3s/30s</t>
        </is>
      </c>
      <c r="I22" s="1">
        <f>IF(C22="", "", (B22-C22)*1000/(A22-A21))</f>
        <v/>
      </c>
      <c r="J22" s="1">
        <f>IF(I22="","",I22/F$2/3)</f>
        <v/>
      </c>
      <c r="K22" s="1">
        <f>IF(I22="","", 100*_xlfn.STDEV.P(I21:I22)/AVERAGE(I21:I22))</f>
        <v/>
      </c>
      <c r="L22" s="8">
        <f t="array" ref="L22">IF(I22="","", IFERROR(((IF(I$5&lt;&gt;"", I$5*A$5, 0) + SUMPRODUCT(--(I$6:I22&lt;&gt;""), I$6:I22, (A$6:A22-A$5:A21)))/1000)/H$3, ""))</f>
        <v/>
      </c>
      <c r="M22" s="1">
        <f>M21+1</f>
        <v/>
      </c>
      <c r="N22" s="1">
        <f>O21</f>
        <v/>
      </c>
      <c r="Q22" t="inlineStr">
        <is>
          <t>60mL/3s/30s</t>
        </is>
      </c>
      <c r="U22" s="1">
        <f>IF(O22="", "", (N22-O22)*1000/(M22-M21))</f>
        <v/>
      </c>
      <c r="V22" s="1">
        <f>IF(U22="","",U22/R$2/3)</f>
        <v/>
      </c>
      <c r="W22" s="1">
        <f>IF(U22="","", 100*_xlfn.STDEV.P(U21:U22)/AVERAGE(U21:U22))</f>
        <v/>
      </c>
      <c r="X22" s="8">
        <f t="array" ref="X22">IF(U22="","", IFERROR(((IF(U$5&lt;&gt;"", U$5*M$5, 0) + SUMPRODUCT(--(U$6:U22&lt;&gt;""), U$6:U22, (M$6:M22-M$5:M21)))/1000)/T$3, ""))</f>
        <v/>
      </c>
    </row>
    <row r="23">
      <c r="A23" s="1">
        <f>A22+1</f>
        <v/>
      </c>
      <c r="B23" s="1">
        <f>C22</f>
        <v/>
      </c>
      <c r="E23" t="inlineStr">
        <is>
          <t>60mL/3s/30s</t>
        </is>
      </c>
      <c r="I23" s="1">
        <f>IF(C23="", "", (B23-C23)*1000/(A23-A22))</f>
        <v/>
      </c>
      <c r="J23" s="1">
        <f>IF(I23="","",I23/F$2/3)</f>
        <v/>
      </c>
      <c r="K23" s="1">
        <f>IF(I23="","", 100*_xlfn.STDEV.P(I22:I23)/AVERAGE(I22:I23))</f>
        <v/>
      </c>
      <c r="L23" s="8">
        <f t="array" ref="L23">IF(I23="","", IFERROR(((IF(I$5&lt;&gt;"", I$5*A$5, 0) + SUMPRODUCT(--(I$6:I23&lt;&gt;""), I$6:I23, (A$6:A23-A$5:A22)))/1000)/H$3, ""))</f>
        <v/>
      </c>
      <c r="M23" s="1">
        <f>M22+1</f>
        <v/>
      </c>
      <c r="N23" s="1">
        <f>O22</f>
        <v/>
      </c>
      <c r="Q23" t="inlineStr">
        <is>
          <t>60mL/3s/30s</t>
        </is>
      </c>
      <c r="U23" s="1">
        <f>IF(O23="", "", (N23-O23)*1000/(M23-M22))</f>
        <v/>
      </c>
      <c r="V23" s="1">
        <f>IF(U23="","",U23/R$2/3)</f>
        <v/>
      </c>
      <c r="W23" s="1">
        <f>IF(U23="","", 100*_xlfn.STDEV.P(U22:U23)/AVERAGE(U22:U23))</f>
        <v/>
      </c>
      <c r="X23" s="8">
        <f t="array" ref="X23">IF(U23="","", IFERROR(((IF(U$5&lt;&gt;"", U$5*M$5, 0) + SUMPRODUCT(--(U$6:U23&lt;&gt;""), U$6:U23, (M$6:M23-M$5:M22)))/1000)/T$3, ""))</f>
        <v/>
      </c>
    </row>
    <row r="24">
      <c r="A24" s="1">
        <f>A23+1</f>
        <v/>
      </c>
      <c r="B24" s="1">
        <f>C23</f>
        <v/>
      </c>
      <c r="E24" t="inlineStr">
        <is>
          <t>60mL/3s/30s</t>
        </is>
      </c>
      <c r="I24" s="1">
        <f>IF(C24="", "", (B24-C24)*1000/(A24-A23))</f>
        <v/>
      </c>
      <c r="J24" s="1">
        <f>IF(I24="","",I24/F$2/3)</f>
        <v/>
      </c>
      <c r="K24" s="1">
        <f>IF(I24="","", 100*_xlfn.STDEV.P(I23:I24)/AVERAGE(I23:I24))</f>
        <v/>
      </c>
      <c r="L24" s="8">
        <f t="array" ref="L24">IF(I24="","", IFERROR(((IF(I$5&lt;&gt;"", I$5*A$5, 0) + SUMPRODUCT(--(I$6:I24&lt;&gt;""), I$6:I24, (A$6:A24-A$5:A23)))/1000)/H$3, ""))</f>
        <v/>
      </c>
      <c r="M24" s="1">
        <f>M23+1</f>
        <v/>
      </c>
      <c r="N24" s="1">
        <f>O23</f>
        <v/>
      </c>
      <c r="Q24" t="inlineStr">
        <is>
          <t>60mL/3s/30s</t>
        </is>
      </c>
      <c r="U24" s="1">
        <f>IF(O24="", "", (N24-O24)*1000/(M24-M23))</f>
        <v/>
      </c>
      <c r="V24" s="1">
        <f>IF(U24="","",U24/R$2/3)</f>
        <v/>
      </c>
      <c r="W24" s="1">
        <f>IF(U24="","", 100*_xlfn.STDEV.P(U23:U24)/AVERAGE(U23:U24))</f>
        <v/>
      </c>
      <c r="X24" s="8">
        <f t="array" ref="X24">IF(U24="","", IFERROR(((IF(U$5&lt;&gt;"", U$5*M$5, 0) + SUMPRODUCT(--(U$6:U24&lt;&gt;""), U$6:U24, (M$6:M24-M$5:M23)))/1000)/T$3, ""))</f>
        <v/>
      </c>
    </row>
    <row r="25">
      <c r="A25" s="1">
        <f>A24+1</f>
        <v/>
      </c>
      <c r="B25" s="1">
        <f>C24</f>
        <v/>
      </c>
      <c r="E25" t="inlineStr">
        <is>
          <t>60mL/3s/30s</t>
        </is>
      </c>
      <c r="H25" s="1" t="inlineStr">
        <is>
          <t>Round 3</t>
        </is>
      </c>
      <c r="I25" s="1">
        <f>IF(C25="", "", (B25-C25)*1000/(A25-A24))</f>
        <v/>
      </c>
      <c r="J25" s="1">
        <f>IF(I25="","",I25/F$2/3)</f>
        <v/>
      </c>
      <c r="K25" s="1">
        <f>IF(I25="","", 100*_xlfn.STDEV.P(I24:I25)/AVERAGE(I24:I25))</f>
        <v/>
      </c>
      <c r="L25" s="8">
        <f t="array" ref="L25">IF(I25="","", IFERROR(((IF(I$5&lt;&gt;"", I$5*A$5, 0) + SUMPRODUCT(--(I$6:I25&lt;&gt;""), I$6:I25, (A$6:A25-A$5:A24)))/1000)/H$3, ""))</f>
        <v/>
      </c>
      <c r="M25" s="1">
        <f>M24+1</f>
        <v/>
      </c>
      <c r="N25" s="1">
        <f>O24</f>
        <v/>
      </c>
      <c r="Q25" t="inlineStr">
        <is>
          <t>60mL/3s/30s</t>
        </is>
      </c>
      <c r="T25" s="1" t="inlineStr">
        <is>
          <t>Round 3</t>
        </is>
      </c>
      <c r="U25" s="1">
        <f>IF(O25="", "", (N25-O25)*1000/(M25-M24))</f>
        <v/>
      </c>
      <c r="V25" s="1">
        <f>IF(U25="","",U25/R$2/3)</f>
        <v/>
      </c>
      <c r="W25" s="1">
        <f>IF(U25="","", 100*_xlfn.STDEV.P(U24:U25)/AVERAGE(U24:U25))</f>
        <v/>
      </c>
      <c r="X25" s="8">
        <f t="array" ref="X25">IF(U25="","", IFERROR(((IF(U$5&lt;&gt;"", U$5*M$5, 0) + SUMPRODUCT(--(U$6:U25&lt;&gt;""), U$6:U25, (M$6:M25-M$5:M24)))/1000)/T$3, ""))</f>
        <v/>
      </c>
    </row>
    <row r="26">
      <c r="A26" s="1">
        <f>A25+1</f>
        <v/>
      </c>
      <c r="B26" s="1">
        <f>C25</f>
        <v/>
      </c>
      <c r="E26" t="inlineStr">
        <is>
          <t>60mL/3s/30s</t>
        </is>
      </c>
      <c r="I26" s="1">
        <f>IF(C26="", "", (B26-C26)*1000/(A26-A25))</f>
        <v/>
      </c>
      <c r="J26" s="1">
        <f>IF(I26="","",I26/F$2/3)</f>
        <v/>
      </c>
      <c r="K26" s="1">
        <f>IF(I26="","", 100*_xlfn.STDEV.P(I25:I26)/AVERAGE(I25:I26))</f>
        <v/>
      </c>
      <c r="L26" s="8">
        <f t="array" ref="L26">IF(I26="","", IFERROR(((IF(I$5&lt;&gt;"", I$5*A$5, 0) + SUMPRODUCT(--(I$6:I26&lt;&gt;""), I$6:I26, (A$6:A26-A$5:A25)))/1000)/H$3, ""))</f>
        <v/>
      </c>
      <c r="M26" s="1">
        <f>M25+1</f>
        <v/>
      </c>
      <c r="N26" s="1">
        <f>O25</f>
        <v/>
      </c>
      <c r="Q26" t="inlineStr">
        <is>
          <t>60mL/3s/30s</t>
        </is>
      </c>
      <c r="U26" s="1">
        <f>IF(O26="", "", (N26-O26)*1000/(M26-M25))</f>
        <v/>
      </c>
      <c r="V26" s="1">
        <f>IF(U26="","",U26/R$2/3)</f>
        <v/>
      </c>
      <c r="W26" s="1">
        <f>IF(U26="","", 100*_xlfn.STDEV.P(U25:U26)/AVERAGE(U25:U26))</f>
        <v/>
      </c>
      <c r="X26" s="8">
        <f t="array" ref="X26">IF(U26="","", IFERROR(((IF(U$5&lt;&gt;"", U$5*M$5, 0) + SUMPRODUCT(--(U$6:U26&lt;&gt;""), U$6:U26, (M$6:M26-M$5:M25)))/1000)/T$3, ""))</f>
        <v/>
      </c>
    </row>
    <row r="27">
      <c r="A27" s="1">
        <f>A26+1</f>
        <v/>
      </c>
      <c r="B27" s="1">
        <f>C26</f>
        <v/>
      </c>
      <c r="E27" t="inlineStr">
        <is>
          <t>60mL/3s/30s</t>
        </is>
      </c>
      <c r="I27" s="1">
        <f>IF(C27="", "", (B27-C27)*1000/(A27-A26))</f>
        <v/>
      </c>
      <c r="J27" s="1">
        <f>IF(I27="","",I27/F$2/3)</f>
        <v/>
      </c>
      <c r="K27" s="1">
        <f>IF(I27="","", 100*_xlfn.STDEV.P(I26:I27)/AVERAGE(I26:I27))</f>
        <v/>
      </c>
      <c r="L27" s="8">
        <f t="array" ref="L27">IF(I27="","", IFERROR(((IF(I$5&lt;&gt;"", I$5*A$5, 0) + SUMPRODUCT(--(I$6:I27&lt;&gt;""), I$6:I27, (A$6:A27-A$5:A26)))/1000)/H$3, ""))</f>
        <v/>
      </c>
      <c r="M27" s="1">
        <f>M26+1</f>
        <v/>
      </c>
      <c r="N27" s="1">
        <f>O26</f>
        <v/>
      </c>
      <c r="Q27" t="inlineStr">
        <is>
          <t>60mL/3s/30s</t>
        </is>
      </c>
      <c r="U27" s="1">
        <f>IF(O27="", "", (N27-O27)*1000/(M27-M26))</f>
        <v/>
      </c>
      <c r="V27" s="1">
        <f>IF(U27="","",U27/R$2/3)</f>
        <v/>
      </c>
      <c r="W27" s="1">
        <f>IF(U27="","", 100*_xlfn.STDEV.P(U26:U27)/AVERAGE(U26:U27))</f>
        <v/>
      </c>
      <c r="X27" s="8">
        <f t="array" ref="X27">IF(U27="","", IFERROR(((IF(U$5&lt;&gt;"", U$5*M$5, 0) + SUMPRODUCT(--(U$6:U27&lt;&gt;""), U$6:U27, (M$6:M27-M$5:M26)))/1000)/T$3, ""))</f>
        <v/>
      </c>
    </row>
    <row r="28">
      <c r="A28" s="1">
        <f>A27+1</f>
        <v/>
      </c>
      <c r="B28" s="1">
        <f>C27</f>
        <v/>
      </c>
      <c r="E28" t="inlineStr">
        <is>
          <t>60mL/3s/30s</t>
        </is>
      </c>
      <c r="I28" s="1">
        <f>IF(C28="", "", (B28-C28)*1000/(A28-A27))</f>
        <v/>
      </c>
      <c r="J28" s="1">
        <f>IF(I28="","",I28/F$2/3)</f>
        <v/>
      </c>
      <c r="K28" s="1">
        <f>IF(I28="","", 100*_xlfn.STDEV.P(I27:I28)/AVERAGE(I27:I28))</f>
        <v/>
      </c>
      <c r="L28" s="8">
        <f t="array" ref="L28">IF(I28="","", IFERROR(((IF(I$5&lt;&gt;"", I$5*A$5, 0) + SUMPRODUCT(--(I$6:I28&lt;&gt;""), I$6:I28, (A$6:A28-A$5:A27)))/1000)/H$3, ""))</f>
        <v/>
      </c>
      <c r="M28" s="1">
        <f>M27+1</f>
        <v/>
      </c>
      <c r="N28" s="1">
        <f>O27</f>
        <v/>
      </c>
      <c r="Q28" t="inlineStr">
        <is>
          <t>60mL/3s/30s</t>
        </is>
      </c>
      <c r="U28" s="1">
        <f>IF(O28="", "", (N28-O28)*1000/(M28-M27))</f>
        <v/>
      </c>
      <c r="V28" s="1">
        <f>IF(U28="","",U28/R$2/3)</f>
        <v/>
      </c>
      <c r="W28" s="1">
        <f>IF(U28="","", 100*_xlfn.STDEV.P(U27:U28)/AVERAGE(U27:U28))</f>
        <v/>
      </c>
      <c r="X28" s="8">
        <f t="array" ref="X28">IF(U28="","", IFERROR(((IF(U$5&lt;&gt;"", U$5*M$5, 0) + SUMPRODUCT(--(U$6:U28&lt;&gt;""), U$6:U28, (M$6:M28-M$5:M27)))/1000)/T$3, ""))</f>
        <v/>
      </c>
    </row>
    <row r="29">
      <c r="A29" s="1">
        <f>A28+1</f>
        <v/>
      </c>
      <c r="B29" s="1">
        <f>C28</f>
        <v/>
      </c>
      <c r="E29" t="inlineStr">
        <is>
          <t>60mL/3s/30s</t>
        </is>
      </c>
      <c r="F29" s="9" t="n"/>
      <c r="G29" s="9" t="n"/>
      <c r="H29" s="9" t="n"/>
      <c r="I29" s="1">
        <f>IF(C29="", "", (B29-C29)*1000/(A29-A28))</f>
        <v/>
      </c>
      <c r="J29" s="1">
        <f>IF(I29="","",I29/F$2/3)</f>
        <v/>
      </c>
      <c r="K29" s="1">
        <f>IF(I29="","", 100*_xlfn.STDEV.P(I28:I29)/AVERAGE(I28:I29))</f>
        <v/>
      </c>
      <c r="L29" s="8">
        <f t="array" ref="L29">IF(I29="","", IFERROR(((IF(I$5&lt;&gt;"", I$5*A$5, 0) + SUMPRODUCT(--(I$6:I29&lt;&gt;""), I$6:I29, (A$6:A29-A$5:A28)))/1000)/H$3, ""))</f>
        <v/>
      </c>
      <c r="M29" s="1">
        <f>M28+1</f>
        <v/>
      </c>
      <c r="N29" s="1">
        <f>O28</f>
        <v/>
      </c>
      <c r="Q29" t="inlineStr">
        <is>
          <t>60mL/3s/30s</t>
        </is>
      </c>
      <c r="R29" s="9" t="n"/>
      <c r="S29" s="9" t="n"/>
      <c r="T29" s="9" t="n"/>
      <c r="U29" s="1">
        <f>IF(O29="", "", (N29-O29)*1000/(M29-M28))</f>
        <v/>
      </c>
      <c r="V29" s="1">
        <f>IF(U29="","",U29/R$2/3)</f>
        <v/>
      </c>
      <c r="W29" s="1">
        <f>IF(U29="","", 100*_xlfn.STDEV.P(U28:U29)/AVERAGE(U28:U29))</f>
        <v/>
      </c>
      <c r="X29" s="8">
        <f t="array" ref="X29">IF(U29="","", IFERROR(((IF(U$5&lt;&gt;"", U$5*M$5, 0) + SUMPRODUCT(--(U$6:U29&lt;&gt;""), U$6:U29, (M$6:M29-M$5:M28)))/1000)/T$3, ""))</f>
        <v/>
      </c>
    </row>
    <row r="30">
      <c r="A30" s="1">
        <f>A29+1</f>
        <v/>
      </c>
      <c r="B30" s="1">
        <f>C29</f>
        <v/>
      </c>
      <c r="E30" t="inlineStr">
        <is>
          <t>60mL/3s/30s</t>
        </is>
      </c>
      <c r="I30" s="1">
        <f>IF(C30="", "", (B30-C30)*1000/(A30-A29))</f>
        <v/>
      </c>
      <c r="J30" s="1">
        <f>IF(I30="","",I30/F$2/3)</f>
        <v/>
      </c>
      <c r="K30" s="1">
        <f>IF(I30="","", 100*_xlfn.STDEV.P(I29:I30)/AVERAGE(I29:I30))</f>
        <v/>
      </c>
      <c r="L30" s="8">
        <f t="array" ref="L30">IF(I30="","", IFERROR(((IF(I$5&lt;&gt;"", I$5*A$5, 0) + SUMPRODUCT(--(I$6:I30&lt;&gt;""), I$6:I30, (A$6:A30-A$5:A29)))/1000)/H$3, ""))</f>
        <v/>
      </c>
      <c r="M30" s="1">
        <f>M29+1</f>
        <v/>
      </c>
      <c r="N30" s="1">
        <f>O29</f>
        <v/>
      </c>
      <c r="Q30" t="inlineStr">
        <is>
          <t>60mL/3s/30s</t>
        </is>
      </c>
      <c r="U30" s="1">
        <f>IF(O30="", "", (N30-O30)*1000/(M30-M29))</f>
        <v/>
      </c>
      <c r="V30" s="1">
        <f>IF(U30="","",U30/R$2/3)</f>
        <v/>
      </c>
      <c r="W30" s="1">
        <f>IF(U30="","", 100*_xlfn.STDEV.P(U29:U30)/AVERAGE(U29:U30))</f>
        <v/>
      </c>
      <c r="X30" s="8">
        <f t="array" ref="X30">IF(U30="","", IFERROR(((IF(U$5&lt;&gt;"", U$5*M$5, 0) + SUMPRODUCT(--(U$6:U30&lt;&gt;""), U$6:U30, (M$6:M30-M$5:M29)))/1000)/T$3, ""))</f>
        <v/>
      </c>
    </row>
    <row r="31">
      <c r="A31" s="1">
        <f>A30+1</f>
        <v/>
      </c>
      <c r="B31" s="1">
        <f>C30</f>
        <v/>
      </c>
      <c r="E31" t="inlineStr">
        <is>
          <t>60mL/3s/30s</t>
        </is>
      </c>
      <c r="I31" s="1">
        <f>IF(C31="", "", (B31-C31)*1000/(A31-A30))</f>
        <v/>
      </c>
      <c r="J31" s="1">
        <f>IF(I31="","",I31/F$2/3)</f>
        <v/>
      </c>
      <c r="K31" s="1">
        <f>IF(I31="","", 100*_xlfn.STDEV.P(I30:I31)/AVERAGE(I30:I31))</f>
        <v/>
      </c>
      <c r="L31" s="8">
        <f t="array" ref="L31">IF(I31="","", IFERROR(((IF(I$5&lt;&gt;"", I$5*A$5, 0) + SUMPRODUCT(--(I$6:I31&lt;&gt;""), I$6:I31, (A$6:A31-A$5:A30)))/1000)/H$3, ""))</f>
        <v/>
      </c>
      <c r="M31" s="1">
        <f>M30+1</f>
        <v/>
      </c>
      <c r="N31" s="1">
        <f>O30</f>
        <v/>
      </c>
      <c r="Q31" t="inlineStr">
        <is>
          <t>60mL/3s/30s</t>
        </is>
      </c>
      <c r="U31" s="1">
        <f>IF(O31="", "", (N31-O31)*1000/(M31-M30))</f>
        <v/>
      </c>
      <c r="V31" s="1">
        <f>IF(U31="","",U31/R$2/3)</f>
        <v/>
      </c>
      <c r="W31" s="1">
        <f>IF(U31="","", 100*_xlfn.STDEV.P(U30:U31)/AVERAGE(U30:U31))</f>
        <v/>
      </c>
      <c r="X31" s="8">
        <f t="array" ref="X31">IF(U31="","", IFERROR(((IF(U$5&lt;&gt;"", U$5*M$5, 0) + SUMPRODUCT(--(U$6:U31&lt;&gt;""), U$6:U31, (M$6:M31-M$5:M30)))/1000)/T$3, ""))</f>
        <v/>
      </c>
    </row>
    <row r="32">
      <c r="A32" s="1">
        <f>A31+1</f>
        <v/>
      </c>
      <c r="B32" s="1">
        <f>C31</f>
        <v/>
      </c>
      <c r="E32" t="inlineStr">
        <is>
          <t>60mL/3s/30s</t>
        </is>
      </c>
      <c r="I32" s="1">
        <f>IF(C32="", "", (B32-C32)*1000/(A32-A31))</f>
        <v/>
      </c>
      <c r="J32" s="1">
        <f>IF(I32="","",I32/F$2/3)</f>
        <v/>
      </c>
      <c r="K32" s="1">
        <f>IF(I32="","", 100*_xlfn.STDEV.P(I31:I32)/AVERAGE(I31:I32))</f>
        <v/>
      </c>
      <c r="L32" s="8">
        <f t="array" ref="L32">IF(I32="","", IFERROR(((IF(I$5&lt;&gt;"", I$5*A$5, 0) + SUMPRODUCT(--(I$6:I32&lt;&gt;""), I$6:I32, (A$6:A32-A$5:A31)))/1000)/H$3, ""))</f>
        <v/>
      </c>
      <c r="M32" s="1">
        <f>M31+1</f>
        <v/>
      </c>
      <c r="N32" s="1">
        <f>O31</f>
        <v/>
      </c>
      <c r="Q32" t="inlineStr">
        <is>
          <t>60mL/3s/30s</t>
        </is>
      </c>
      <c r="U32" s="1">
        <f>IF(O32="", "", (N32-O32)*1000/(M32-M31))</f>
        <v/>
      </c>
      <c r="V32" s="1">
        <f>IF(U32="","",U32/R$2/3)</f>
        <v/>
      </c>
      <c r="W32" s="1">
        <f>IF(U32="","", 100*_xlfn.STDEV.P(U31:U32)/AVERAGE(U31:U32))</f>
        <v/>
      </c>
      <c r="X32" s="8">
        <f t="array" ref="X32">IF(U32="","", IFERROR(((IF(U$5&lt;&gt;"", U$5*M$5, 0) + SUMPRODUCT(--(U$6:U32&lt;&gt;""), U$6:U32, (M$6:M32-M$5:M31)))/1000)/T$3, ""))</f>
        <v/>
      </c>
    </row>
    <row r="33">
      <c r="A33" s="1">
        <f>A32+1</f>
        <v/>
      </c>
      <c r="B33" s="1">
        <f>C32</f>
        <v/>
      </c>
      <c r="E33" t="inlineStr">
        <is>
          <t>60mL/3s/30s</t>
        </is>
      </c>
      <c r="I33" s="1">
        <f>IF(C33="", "", (B33-C33)*1000/(A33-A32))</f>
        <v/>
      </c>
      <c r="J33" s="1">
        <f>IF(I33="","",I33/F$2/3)</f>
        <v/>
      </c>
      <c r="K33" s="1">
        <f>IF(I33="","", 100*_xlfn.STDEV.P(I32:I33)/AVERAGE(I32:I33))</f>
        <v/>
      </c>
      <c r="L33" s="8">
        <f t="array" ref="L33">IF(I33="","", IFERROR(((IF(I$5&lt;&gt;"", I$5*A$5, 0) + SUMPRODUCT(--(I$6:I33&lt;&gt;""), I$6:I33, (A$6:A33-A$5:A32)))/1000)/H$3, ""))</f>
        <v/>
      </c>
      <c r="M33" s="1">
        <f>M32+1</f>
        <v/>
      </c>
      <c r="N33" s="1">
        <f>O32</f>
        <v/>
      </c>
      <c r="Q33" t="inlineStr">
        <is>
          <t>60mL/3s/30s</t>
        </is>
      </c>
      <c r="U33" s="1">
        <f>IF(O33="", "", (N33-O33)*1000/(M33-M32))</f>
        <v/>
      </c>
      <c r="V33" s="1">
        <f>IF(U33="","",U33/R$2/3)</f>
        <v/>
      </c>
      <c r="W33" s="1">
        <f>IF(U33="","", 100*_xlfn.STDEV.P(U32:U33)/AVERAGE(U32:U33))</f>
        <v/>
      </c>
      <c r="X33" s="8">
        <f t="array" ref="X33">IF(U33="","", IFERROR(((IF(U$5&lt;&gt;"", U$5*M$5, 0) + SUMPRODUCT(--(U$6:U33&lt;&gt;""), U$6:U33, (M$6:M33-M$5:M32)))/1000)/T$3, ""))</f>
        <v/>
      </c>
    </row>
    <row r="34">
      <c r="A34" s="1">
        <f>A33+1</f>
        <v/>
      </c>
      <c r="B34" s="1">
        <f>C33</f>
        <v/>
      </c>
      <c r="E34" t="inlineStr">
        <is>
          <t>60mL/3s/30s</t>
        </is>
      </c>
      <c r="I34" s="1">
        <f>IF(C34="", "", (B34-C34)*1000/(A34-A33))</f>
        <v/>
      </c>
      <c r="J34" s="1">
        <f>IF(I34="","",I34/F$2/3)</f>
        <v/>
      </c>
      <c r="K34" s="1">
        <f>IF(I34="","", 100*_xlfn.STDEV.P(I33:I34)/AVERAGE(I33:I34))</f>
        <v/>
      </c>
      <c r="L34" s="8">
        <f t="array" ref="L34">IF(I34="","", IFERROR(((IF(I$5&lt;&gt;"", I$5*A$5, 0) + SUMPRODUCT(--(I$6:I34&lt;&gt;""), I$6:I34, (A$6:A34-A$5:A33)))/1000)/H$3, ""))</f>
        <v/>
      </c>
      <c r="M34" s="1">
        <f>M33+1</f>
        <v/>
      </c>
      <c r="N34" s="1">
        <f>O33</f>
        <v/>
      </c>
      <c r="Q34" t="inlineStr">
        <is>
          <t>60mL/3s/30s</t>
        </is>
      </c>
      <c r="U34" s="1">
        <f>IF(O34="", "", (N34-O34)*1000/(M34-M33))</f>
        <v/>
      </c>
      <c r="V34" s="1">
        <f>IF(U34="","",U34/R$2/3)</f>
        <v/>
      </c>
      <c r="W34" s="1">
        <f>IF(U34="","", 100*_xlfn.STDEV.P(U33:U34)/AVERAGE(U33:U34))</f>
        <v/>
      </c>
      <c r="X34" s="8">
        <f t="array" ref="X34">IF(U34="","", IFERROR(((IF(U$5&lt;&gt;"", U$5*M$5, 0) + SUMPRODUCT(--(U$6:U34&lt;&gt;""), U$6:U34, (M$6:M34-M$5:M33)))/1000)/T$3, ""))</f>
        <v/>
      </c>
    </row>
    <row r="35">
      <c r="L35" s="8" t="n"/>
      <c r="X35" s="8" t="n"/>
    </row>
    <row r="36">
      <c r="L36" s="8" t="n"/>
      <c r="X36" s="8" t="n"/>
    </row>
    <row r="37">
      <c r="L37" s="8" t="n"/>
      <c r="X37" s="8" t="n"/>
    </row>
    <row r="38">
      <c r="L38" s="8" t="n"/>
      <c r="X38" s="8" t="n"/>
    </row>
    <row r="39">
      <c r="L39" s="8" t="n"/>
      <c r="X39" s="8" t="n"/>
    </row>
    <row r="40">
      <c r="L40" s="8" t="n"/>
      <c r="X40" s="8" t="n"/>
    </row>
    <row r="41">
      <c r="L41" s="8" t="n"/>
      <c r="X41" s="8" t="n"/>
    </row>
    <row r="42">
      <c r="L42" s="8" t="n"/>
      <c r="X42" s="8" t="n"/>
    </row>
    <row r="43">
      <c r="L43" s="8" t="n"/>
      <c r="X43" s="8" t="n"/>
    </row>
    <row r="44">
      <c r="L44" s="8" t="n"/>
      <c r="X44" s="8" t="n"/>
    </row>
    <row r="45">
      <c r="L45" s="8" t="n"/>
      <c r="X45" s="8" t="n"/>
    </row>
    <row r="46">
      <c r="L46" s="8" t="n"/>
      <c r="X46" s="8" t="n"/>
    </row>
    <row r="47">
      <c r="L47" s="8" t="n"/>
      <c r="X47" s="8" t="n"/>
    </row>
    <row r="48">
      <c r="L48" s="8" t="n"/>
      <c r="X48" s="8" t="n"/>
    </row>
    <row r="49">
      <c r="L49" s="8" t="n"/>
      <c r="X49" s="8" t="n"/>
    </row>
    <row r="50">
      <c r="L50" s="8" t="n"/>
      <c r="X50" s="8" t="n"/>
    </row>
    <row r="51">
      <c r="L51" s="8" t="n"/>
      <c r="X51" s="8" t="n"/>
    </row>
    <row r="52">
      <c r="L52" s="8" t="n"/>
      <c r="X52" s="8" t="n"/>
    </row>
    <row r="53">
      <c r="L53" s="8" t="n"/>
      <c r="X53" s="8" t="n"/>
    </row>
    <row r="54">
      <c r="L54" s="8" t="n"/>
      <c r="X54" s="8" t="n"/>
    </row>
    <row r="55">
      <c r="L55" s="8" t="n"/>
      <c r="X55" s="8" t="n"/>
    </row>
    <row r="56">
      <c r="L56" s="8" t="n"/>
      <c r="X56" s="8" t="n"/>
    </row>
    <row r="57">
      <c r="L57" s="8" t="n"/>
      <c r="X57" s="8" t="n"/>
    </row>
    <row r="58">
      <c r="L58" s="8" t="n"/>
      <c r="X58" s="8" t="n"/>
    </row>
    <row r="59">
      <c r="L59" s="8" t="n"/>
      <c r="X59" s="8" t="n"/>
    </row>
    <row r="60">
      <c r="L60" s="8" t="n"/>
      <c r="X60" s="8" t="n"/>
    </row>
    <row r="61">
      <c r="L61" s="8" t="n"/>
      <c r="X61" s="8" t="n"/>
    </row>
    <row r="62">
      <c r="L62" s="8" t="n"/>
      <c r="X62" s="8" t="n"/>
    </row>
    <row r="63">
      <c r="L63" s="8" t="n"/>
      <c r="X63" s="8" t="n"/>
    </row>
    <row r="64">
      <c r="L64" s="8" t="n"/>
      <c r="X64" s="8" t="n"/>
    </row>
    <row r="65">
      <c r="L65" s="8" t="n"/>
      <c r="X65" s="8" t="n"/>
    </row>
    <row r="66">
      <c r="L66" s="8" t="n"/>
      <c r="X66" s="8" t="n"/>
    </row>
    <row r="67">
      <c r="L67" s="8" t="n"/>
      <c r="X67" s="8" t="n"/>
    </row>
    <row r="68">
      <c r="L68" s="8" t="n"/>
      <c r="X68" s="8" t="n"/>
    </row>
    <row r="69">
      <c r="L69" s="8" t="n"/>
      <c r="X69" s="8" t="n"/>
    </row>
    <row r="70">
      <c r="L70" s="8" t="n"/>
      <c r="X70" s="8" t="n"/>
    </row>
    <row r="71">
      <c r="L71" s="8" t="n"/>
      <c r="X71" s="8" t="n"/>
    </row>
    <row r="72">
      <c r="L72" s="8" t="n"/>
      <c r="X72" s="8" t="n"/>
    </row>
    <row r="73">
      <c r="L73" s="8" t="n"/>
      <c r="X73" s="8" t="n"/>
    </row>
    <row r="74">
      <c r="L74" s="8" t="n"/>
      <c r="X74" s="8" t="n"/>
    </row>
    <row r="75">
      <c r="L75" s="8" t="n"/>
      <c r="X75" s="8" t="n"/>
    </row>
    <row r="76">
      <c r="L76" s="8" t="n"/>
      <c r="X76" s="8" t="n"/>
    </row>
    <row r="77">
      <c r="L77" s="8" t="n"/>
      <c r="X77" s="8" t="n"/>
    </row>
    <row r="78">
      <c r="L78" s="8" t="n"/>
      <c r="X78" s="8" t="n"/>
    </row>
    <row r="79">
      <c r="L79" s="8" t="n"/>
      <c r="X79" s="8" t="n"/>
    </row>
    <row r="80">
      <c r="L80" s="8" t="n"/>
      <c r="X80" s="8" t="n"/>
    </row>
    <row r="81">
      <c r="L81" s="8" t="n"/>
      <c r="X81" s="8" t="n"/>
    </row>
    <row r="82">
      <c r="L82" s="8" t="n"/>
      <c r="X82" s="8" t="n"/>
    </row>
    <row r="83">
      <c r="L83" s="8" t="n"/>
      <c r="X83" s="8" t="n"/>
    </row>
    <row r="84">
      <c r="L84" s="8" t="n"/>
      <c r="X84" s="8" t="n"/>
    </row>
    <row r="85">
      <c r="L85" s="8" t="n"/>
      <c r="X85" s="8" t="n"/>
    </row>
    <row r="86">
      <c r="L86" s="8" t="n"/>
      <c r="X86" s="8" t="n"/>
    </row>
    <row r="87">
      <c r="L87" s="8" t="n"/>
      <c r="X87" s="8" t="n"/>
    </row>
    <row r="88">
      <c r="L88" s="8" t="n"/>
      <c r="X88" s="8" t="n"/>
    </row>
    <row r="89">
      <c r="L89" s="8" t="n"/>
      <c r="X89" s="8" t="n"/>
    </row>
    <row r="90">
      <c r="L90" s="8" t="n"/>
      <c r="X90" s="8" t="n"/>
    </row>
    <row r="91">
      <c r="L91" s="8" t="n"/>
      <c r="X91" s="8" t="n"/>
    </row>
    <row r="92">
      <c r="L92" s="8" t="n"/>
      <c r="X92" s="8" t="n"/>
    </row>
    <row r="93">
      <c r="L93" s="8" t="n"/>
      <c r="X93" s="8" t="n"/>
    </row>
    <row r="94">
      <c r="L94" s="8" t="n"/>
      <c r="X94" s="8" t="n"/>
    </row>
    <row r="95">
      <c r="L95" s="8" t="n"/>
      <c r="X95" s="8" t="n"/>
    </row>
    <row r="96">
      <c r="L96" s="8" t="n"/>
      <c r="X96" s="8" t="n"/>
    </row>
    <row r="97">
      <c r="L97" s="8" t="n"/>
      <c r="X97" s="8" t="n"/>
    </row>
    <row r="98">
      <c r="L98" s="8" t="n"/>
      <c r="X98" s="8" t="n"/>
    </row>
    <row r="99">
      <c r="L99" s="8" t="n"/>
      <c r="X99" s="8" t="n"/>
    </row>
    <row r="100">
      <c r="L100" s="8" t="n"/>
      <c r="X100" s="8" t="n"/>
    </row>
    <row r="101">
      <c r="L101" s="8" t="n"/>
      <c r="X101" s="8" t="n"/>
    </row>
    <row r="102">
      <c r="L102" s="8" t="n"/>
      <c r="X102" s="8" t="n"/>
    </row>
    <row r="103">
      <c r="L103" s="8" t="n"/>
      <c r="X103" s="8" t="n"/>
    </row>
    <row r="104">
      <c r="L104" s="8" t="n"/>
      <c r="X104" s="8" t="n"/>
    </row>
    <row r="105">
      <c r="L105" s="8" t="n"/>
      <c r="X105" s="8" t="n"/>
    </row>
    <row r="106">
      <c r="L106" s="8" t="n"/>
      <c r="X106" s="8" t="n"/>
    </row>
    <row r="107">
      <c r="L107" s="8" t="n"/>
      <c r="X107" s="8" t="n"/>
    </row>
    <row r="108">
      <c r="L108" s="8" t="n"/>
      <c r="X108" s="8" t="n"/>
    </row>
    <row r="109">
      <c r="L109" s="8" t="n"/>
      <c r="X109" s="8" t="n"/>
    </row>
    <row r="110">
      <c r="L110" s="8" t="n"/>
      <c r="X110" s="8" t="n"/>
    </row>
    <row r="111">
      <c r="L111" s="8" t="n"/>
      <c r="X111" s="8" t="n"/>
    </row>
    <row r="112">
      <c r="L112" s="8" t="n"/>
      <c r="X112" s="8" t="n"/>
    </row>
    <row r="113">
      <c r="L113" s="8" t="n"/>
      <c r="X113" s="8" t="n"/>
    </row>
    <row r="114">
      <c r="L114" s="8" t="n"/>
      <c r="X114" s="8" t="n"/>
    </row>
    <row r="115">
      <c r="L115" s="8" t="n"/>
      <c r="X115" s="8" t="n"/>
    </row>
  </sheetData>
  <conditionalFormatting sqref="I5:L34">
    <cfRule type="containsErrors" priority="3" dxfId="0">
      <formula>ISERROR(I5)</formula>
    </cfRule>
  </conditionalFormatting>
  <conditionalFormatting sqref="K6:K34">
    <cfRule type="cellIs" priority="14" operator="between" dxfId="29">
      <formula>0</formula>
      <formula>15</formula>
    </cfRule>
    <cfRule type="cellIs" priority="15" operator="between" dxfId="28">
      <formula>15</formula>
      <formula>25</formula>
    </cfRule>
    <cfRule type="cellIs" priority="16" operator="between" dxfId="27">
      <formula>25</formula>
      <formula>1000</formula>
    </cfRule>
  </conditionalFormatting>
  <conditionalFormatting sqref="L2:L3 W5:W34 X2:X3">
    <cfRule type="containsErrors" priority="7" dxfId="0">
      <formula>ISERROR(L2)</formula>
    </cfRule>
  </conditionalFormatting>
  <conditionalFormatting sqref="U5:U115">
    <cfRule type="containsErrors" priority="2" dxfId="0">
      <formula>ISERROR(U5)</formula>
    </cfRule>
  </conditionalFormatting>
  <conditionalFormatting sqref="W6:W34">
    <cfRule type="cellIs" priority="11" operator="between" dxfId="29">
      <formula>0</formula>
      <formula>15</formula>
    </cfRule>
    <cfRule type="cellIs" priority="12" operator="between" dxfId="28">
      <formula>15</formula>
      <formula>25</formula>
    </cfRule>
    <cfRule type="cellIs" priority="13" operator="between" dxfId="27">
      <formula>25</formula>
      <formula>1000</formula>
    </cfRule>
  </conditionalFormatting>
  <conditionalFormatting sqref="X5:X115">
    <cfRule type="containsErrors" priority="5" dxfId="0">
      <formula>ISERROR(X5)</formula>
    </cfRule>
  </conditionalFormatting>
  <conditionalFormatting sqref="V5:V34">
    <cfRule type="containsErrors" priority="1" dxfId="0">
      <formula>ISERROR(V5)</formula>
    </cfRule>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Z42"/>
  <sheetViews>
    <sheetView workbookViewId="0">
      <selection activeCell="B26" sqref="B26"/>
    </sheetView>
  </sheetViews>
  <sheetFormatPr baseColWidth="8" defaultColWidth="8.85546875" defaultRowHeight="15"/>
  <cols>
    <col width="57" bestFit="1" customWidth="1" style="1" min="1" max="1"/>
    <col width="15.140625" customWidth="1" style="1" min="2" max="2"/>
    <col width="7.140625" bestFit="1" customWidth="1" style="1" min="3" max="3"/>
    <col width="12.140625" customWidth="1" style="1" min="4" max="4"/>
    <col width="8.7109375" customWidth="1" style="1" min="5" max="5"/>
    <col width="18" bestFit="1" customWidth="1" style="1" min="6" max="6"/>
    <col width="14.85546875" customWidth="1" style="1" min="7" max="7"/>
    <col width="35.7109375" customWidth="1" style="1" min="8" max="8"/>
    <col width="38.140625" bestFit="1" customWidth="1" style="1" min="9" max="9"/>
    <col width="19" bestFit="1" customWidth="1" style="1" min="10" max="10"/>
    <col width="11.7109375" customWidth="1" style="1" min="11" max="11"/>
    <col width="18.7109375" customWidth="1" style="1" min="12" max="12"/>
    <col width="15.140625" bestFit="1" customWidth="1" style="1" min="13" max="13"/>
    <col width="23" customWidth="1" style="1" min="14" max="14"/>
    <col width="23" bestFit="1" customWidth="1" style="1" min="15" max="15"/>
    <col width="12.85546875" bestFit="1" customWidth="1" style="1" min="16" max="16"/>
    <col width="24.140625" bestFit="1" customWidth="1" style="1" min="17" max="17"/>
    <col width="12.85546875" customWidth="1" style="1" min="18" max="18"/>
    <col width="14.85546875" bestFit="1" customWidth="1" style="1" min="19" max="19"/>
    <col width="35.7109375" customWidth="1" style="1" min="20" max="20"/>
    <col width="38.140625" bestFit="1" customWidth="1" style="1" min="21" max="21"/>
    <col width="19" bestFit="1" customWidth="1" style="1" min="22" max="22"/>
    <col width="11.7109375" customWidth="1" style="1" min="23" max="23"/>
    <col width="18.7109375" customWidth="1" style="1" min="24" max="24"/>
    <col width="15.140625" bestFit="1" customWidth="1" style="1" min="25" max="25"/>
    <col width="23" customWidth="1" style="1" min="26" max="26"/>
    <col width="23" bestFit="1" customWidth="1" style="1" min="27" max="27"/>
    <col width="12.85546875" bestFit="1" customWidth="1" style="1" min="28" max="28"/>
    <col width="24.140625" bestFit="1" customWidth="1" style="1" min="29" max="29"/>
    <col width="12.85546875" customWidth="1" style="1" min="30" max="30"/>
    <col width="14.85546875" bestFit="1" customWidth="1" style="1" min="31" max="31"/>
    <col width="35.7109375" customWidth="1" style="1" min="32" max="32"/>
    <col width="38.140625" bestFit="1" customWidth="1" style="1" min="33" max="33"/>
    <col width="19" bestFit="1" customWidth="1" style="1" min="34" max="34"/>
    <col width="11.7109375" customWidth="1" style="1" min="35" max="35"/>
    <col width="18.7109375" customWidth="1" style="1" min="36" max="36"/>
    <col width="15.140625" bestFit="1" customWidth="1" style="1" min="37" max="37"/>
    <col width="23" customWidth="1" style="1" min="38" max="38"/>
    <col width="23" bestFit="1" customWidth="1" style="1" min="39" max="39"/>
    <col width="12.85546875" bestFit="1" customWidth="1" style="1" min="40" max="40"/>
    <col width="24.140625" bestFit="1" customWidth="1" style="1" min="41" max="41"/>
    <col width="12.85546875" customWidth="1" style="1" min="42" max="42"/>
    <col width="14.85546875" bestFit="1" customWidth="1" style="1" min="43" max="43"/>
    <col width="35.7109375" customWidth="1" style="1" min="44" max="44"/>
    <col width="38.140625" bestFit="1" customWidth="1" style="1" min="45" max="45"/>
    <col width="19" bestFit="1" customWidth="1" style="1" min="46" max="46"/>
    <col width="11.7109375" customWidth="1" style="1" min="47" max="47"/>
    <col width="18.7109375" customWidth="1" style="1" min="48" max="48"/>
    <col width="15.140625" bestFit="1" customWidth="1" style="1" min="49" max="49"/>
    <col width="23" customWidth="1" style="1" min="50" max="50"/>
    <col width="23" bestFit="1" customWidth="1" style="1" min="51" max="51"/>
    <col width="12.85546875" bestFit="1" customWidth="1" style="1" min="52" max="52"/>
    <col width="24.140625" bestFit="1" customWidth="1" style="1" min="53" max="53"/>
    <col width="12.85546875" customWidth="1" style="1" min="54" max="54"/>
    <col width="14.85546875" bestFit="1" customWidth="1" style="1" min="55" max="55"/>
    <col width="35.7109375" customWidth="1" style="1" min="56" max="56"/>
    <col width="38.140625" bestFit="1" customWidth="1" style="1" min="57" max="57"/>
    <col width="19" bestFit="1" customWidth="1" style="1" min="58" max="58"/>
    <col width="11.7109375" customWidth="1" style="1" min="59" max="59"/>
    <col width="18.7109375" customWidth="1" style="1" min="60" max="60"/>
    <col width="15.140625" bestFit="1" customWidth="1" style="1" min="61" max="61"/>
    <col width="23" customWidth="1" style="1" min="62" max="62"/>
    <col width="23" bestFit="1" customWidth="1" style="1" min="63" max="63"/>
    <col width="12.85546875" bestFit="1" customWidth="1" style="1" min="64" max="64"/>
    <col width="24.140625" bestFit="1" customWidth="1" style="1" min="65" max="65"/>
    <col width="12.85546875" customWidth="1" style="1" min="66" max="66"/>
    <col width="14.85546875" bestFit="1" customWidth="1" style="1" min="67" max="67"/>
    <col width="35.7109375" customWidth="1" style="1" min="68" max="68"/>
    <col width="38.140625" bestFit="1" customWidth="1" style="1" min="69" max="69"/>
    <col width="19" bestFit="1" customWidth="1" style="1" min="70" max="70"/>
    <col width="11.7109375" customWidth="1" style="1" min="71" max="71"/>
    <col width="18.7109375" customWidth="1" style="1" min="72" max="72"/>
    <col width="15.140625" bestFit="1" customWidth="1" style="1" min="73" max="73"/>
    <col width="23" customWidth="1" style="1" min="74" max="74"/>
    <col width="23" bestFit="1" customWidth="1" style="1" min="75" max="75"/>
    <col width="12.85546875" bestFit="1" customWidth="1" style="1" min="76" max="76"/>
    <col width="24.140625" bestFit="1" customWidth="1" style="1" min="77" max="77"/>
    <col width="12.85546875" customWidth="1" style="1" min="78" max="78"/>
    <col width="14.85546875" bestFit="1" customWidth="1" style="1" min="79" max="79"/>
    <col width="35.7109375" customWidth="1" style="1" min="80" max="80"/>
    <col width="38.140625" bestFit="1" customWidth="1" style="1" min="81" max="81"/>
    <col width="19" bestFit="1" customWidth="1" style="1" min="82" max="82"/>
    <col width="8.85546875" customWidth="1" style="1" min="83" max="16384"/>
  </cols>
  <sheetData>
    <row r="1">
      <c r="A1" s="3" t="inlineStr">
        <is>
          <t>Temperature Cycling Test</t>
        </is>
      </c>
      <c r="B1" s="4" t="inlineStr">
        <is>
          <t>Tester:</t>
        </is>
      </c>
      <c r="C1" s="27" t="n"/>
      <c r="D1" s="4" t="inlineStr">
        <is>
          <t>Power:</t>
        </is>
      </c>
      <c r="E1" s="1">
        <f t="array" ref="E1">_xlfn.SWITCH(G1,
    "CCELL3.0", E2^2/(E3+0.78),
    "EVOMAX", E2^2/(E3),
    "EVO", E2^2/(E3),
    "SE", E2^2/E3,
    "T51", E2^2/(0.25+E3),
    "Competitor", E2^2/E3,
    "Error: Unknown device type")</f>
        <v/>
      </c>
      <c r="F1" s="5" t="inlineStr">
        <is>
          <t>Heater Technology:</t>
        </is>
      </c>
      <c r="G1" s="1" t="inlineStr">
        <is>
          <t>CCELL3.0</t>
        </is>
      </c>
    </row>
    <row r="2">
      <c r="A2" s="27" t="n"/>
      <c r="B2" s="4" t="inlineStr">
        <is>
          <t>Media:</t>
        </is>
      </c>
      <c r="C2" s="27" t="n"/>
      <c r="D2" s="4" t="inlineStr">
        <is>
          <t>Voltage:</t>
        </is>
      </c>
      <c r="E2" s="27" t="n"/>
      <c r="F2" s="5" t="inlineStr">
        <is>
          <t>Number of Samples</t>
        </is>
      </c>
      <c r="G2" s="1" t="n">
        <v>6</v>
      </c>
    </row>
    <row r="3">
      <c r="B3" s="4" t="inlineStr">
        <is>
          <t>Fill Volume:</t>
        </is>
      </c>
      <c r="D3" s="4" t="inlineStr">
        <is>
          <t>Resistance:</t>
        </is>
      </c>
      <c r="E3" s="27" t="n"/>
    </row>
    <row r="4"/>
    <row r="5">
      <c r="A5" s="10" t="inlineStr">
        <is>
          <t>Orientations: Upright, Horizontal, Upside-Down</t>
        </is>
      </c>
      <c r="B5" s="11" t="inlineStr">
        <is>
          <t>Complete?</t>
        </is>
      </c>
      <c r="C5" s="12" t="n"/>
      <c r="D5" s="12" t="n"/>
    </row>
    <row r="6">
      <c r="A6" s="12" t="inlineStr">
        <is>
          <t>Step 1.1: Place In -20 C for 30 minutes</t>
        </is>
      </c>
      <c r="B6" s="13" t="n"/>
      <c r="C6" s="12" t="n"/>
      <c r="D6" s="12" t="n"/>
    </row>
    <row r="7">
      <c r="A7" s="12" t="inlineStr">
        <is>
          <t>Step 1.2: Place in 60 C for 30 minutes</t>
        </is>
      </c>
      <c r="B7" s="13" t="n"/>
      <c r="C7" s="12" t="n"/>
      <c r="D7" s="12" t="n"/>
    </row>
    <row r="8">
      <c r="A8" s="12" t="inlineStr">
        <is>
          <t>Step 2.1: Place in -20 C for 30 minutes</t>
        </is>
      </c>
      <c r="B8" s="13" t="n"/>
      <c r="C8" s="12" t="n"/>
      <c r="D8" s="12" t="n"/>
    </row>
    <row r="9">
      <c r="A9" s="12" t="inlineStr">
        <is>
          <t>Step 2.2: Place in 60 C for 30 minutes</t>
        </is>
      </c>
      <c r="B9" s="13" t="n"/>
      <c r="C9" s="12" t="n"/>
      <c r="D9" s="12" t="n"/>
    </row>
    <row r="10">
      <c r="A10" s="12" t="inlineStr">
        <is>
          <t>Step 3.1: Place In -20 C for 30 minutes</t>
        </is>
      </c>
      <c r="B10" s="13" t="n"/>
      <c r="C10" s="12" t="n"/>
      <c r="D10" s="12" t="n"/>
    </row>
    <row r="11">
      <c r="A11" s="12" t="inlineStr">
        <is>
          <t>Step 3.2: Place in 60 C for 30 minutes</t>
        </is>
      </c>
      <c r="B11" s="13" t="n"/>
      <c r="C11" s="12" t="n"/>
      <c r="D11" s="12" t="n"/>
    </row>
    <row r="12">
      <c r="A12" s="12" t="inlineStr">
        <is>
          <t>Step 4.1: Place in -20 C for 30 minutes</t>
        </is>
      </c>
      <c r="B12" s="13" t="n"/>
      <c r="C12" s="12" t="n"/>
      <c r="D12" s="12" t="n"/>
    </row>
    <row r="13">
      <c r="A13" s="12" t="inlineStr">
        <is>
          <t>Step 4.2: Place in 60 C for 30 minutes</t>
        </is>
      </c>
      <c r="B13" s="13" t="n"/>
      <c r="C13" s="12" t="n"/>
      <c r="D13" s="14" t="n"/>
    </row>
    <row r="14">
      <c r="A14" s="12" t="inlineStr">
        <is>
          <t>Step 5.1: Place in -20 C for 30 minutes</t>
        </is>
      </c>
      <c r="B14" s="13" t="n"/>
      <c r="C14" s="12" t="n"/>
      <c r="D14" s="12" t="n"/>
    </row>
    <row r="15">
      <c r="A15" s="12" t="inlineStr">
        <is>
          <t>Step 5.2: Place in 60 C for 30 minutes</t>
        </is>
      </c>
      <c r="B15" s="13" t="n"/>
      <c r="C15" s="12" t="n"/>
      <c r="D15" s="12" t="n"/>
    </row>
    <row r="16">
      <c r="A16" s="12" t="inlineStr">
        <is>
          <t>Step 6.1: Place In -20 C for 30 minutes</t>
        </is>
      </c>
      <c r="B16" s="13" t="n"/>
      <c r="C16" s="12" t="n"/>
      <c r="D16" s="12" t="n"/>
    </row>
    <row r="17">
      <c r="A17" s="12" t="inlineStr">
        <is>
          <t>Step 6.2: Place in 60 C for 30 minutes</t>
        </is>
      </c>
      <c r="B17" s="13" t="n"/>
      <c r="C17" s="12" t="n"/>
      <c r="D17" s="12" t="n"/>
    </row>
    <row r="18">
      <c r="A18" s="15" t="inlineStr">
        <is>
          <t>Step 7: Leave samples at room temperature for 2 hours</t>
        </is>
      </c>
      <c r="B18" s="13" t="n"/>
      <c r="C18" s="12" t="n"/>
      <c r="D18" s="12" t="n"/>
    </row>
    <row r="19" ht="15" customHeight="1">
      <c r="A19" s="16" t="inlineStr">
        <is>
          <t>Step 8: Puffing (1 session, 10 puffs, check for clog and burn)</t>
        </is>
      </c>
      <c r="B19" s="12" t="inlineStr">
        <is>
          <t>Total Number of Samples</t>
        </is>
      </c>
      <c r="C19" s="12" t="inlineStr">
        <is>
          <t># Burn?</t>
        </is>
      </c>
      <c r="D19" s="12" t="inlineStr">
        <is>
          <t># Clog?</t>
        </is>
      </c>
    </row>
    <row r="20" ht="14.45" customHeight="1">
      <c r="A20" s="16" t="n"/>
      <c r="B20" s="17" t="n"/>
      <c r="C20" s="17" t="n"/>
      <c r="D20" s="17" t="n"/>
    </row>
    <row r="42">
      <c r="F42" s="9" t="n"/>
      <c r="P42" s="9" t="n"/>
      <c r="Q42" s="9" t="n"/>
      <c r="R42" s="9" t="n"/>
      <c r="AB42" s="9" t="n"/>
      <c r="AC42" s="9" t="n"/>
      <c r="AD42" s="9" t="n"/>
      <c r="AN42" s="9" t="n"/>
      <c r="AO42" s="9" t="n"/>
      <c r="AP42" s="9" t="n"/>
      <c r="AZ42" s="9" t="n"/>
      <c r="BA42" s="9" t="n"/>
      <c r="BB42" s="9" t="n"/>
      <c r="BL42" s="9" t="n"/>
      <c r="BM42" s="9" t="n"/>
      <c r="BN42" s="9" t="n"/>
      <c r="BX42" s="9" t="n"/>
      <c r="BY42" s="9" t="n"/>
      <c r="BZ42" s="9" t="n"/>
    </row>
  </sheetData>
  <conditionalFormatting sqref="B6:B18">
    <cfRule type="containsText" priority="12" operator="containsText" dxfId="160" text="Yes">
      <formula>NOT(ISERROR(SEARCH("Yes",B6)))</formula>
    </cfRule>
  </conditionalFormatting>
  <conditionalFormatting sqref="B20:D20 D13">
    <cfRule type="containsText" priority="14" operator="containsText" dxfId="159" text="No">
      <formula>NOT(ISERROR(SEARCH("No",B13)))</formula>
    </cfRule>
  </conditionalFormatting>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T115"/>
  <sheetViews>
    <sheetView zoomScaleNormal="100" workbookViewId="0">
      <selection activeCell="G1" sqref="G1"/>
    </sheetView>
  </sheetViews>
  <sheetFormatPr baseColWidth="8" defaultRowHeight="15"/>
  <cols>
    <col width="16.2851562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4.85546875" bestFit="1" customWidth="1" style="1" min="9" max="9"/>
    <col width="18" customWidth="1" style="1" min="10" max="10"/>
    <col width="12.140625" customWidth="1" style="1" min="11" max="11"/>
    <col width="14.140625" customWidth="1" style="7" min="12" max="12"/>
    <col width="18.2851562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14.85546875" bestFit="1" customWidth="1" style="1" min="21" max="21"/>
    <col width="18" customWidth="1" style="1" min="22" max="22"/>
    <col width="12.140625" customWidth="1" style="1" min="23" max="23"/>
    <col width="14.140625" customWidth="1" style="7" min="24" max="24"/>
    <col width="16.28515625" customWidth="1" style="1" min="25" max="25"/>
    <col width="12.5703125" customWidth="1" style="1" min="26" max="26"/>
    <col width="11.28515625" customWidth="1" style="1" min="27" max="27"/>
    <col width="14.28515625" customWidth="1" style="1" min="28" max="28"/>
    <col width="23" bestFit="1" customWidth="1" style="1" min="29" max="29"/>
    <col width="12.85546875" bestFit="1" customWidth="1" style="1" min="30" max="30"/>
    <col width="13" customWidth="1" style="1" min="31" max="31"/>
    <col width="39.7109375" customWidth="1" style="1" min="32" max="32"/>
    <col width="14.85546875" bestFit="1" customWidth="1" style="1" min="33" max="33"/>
    <col width="18" customWidth="1" style="1" min="34" max="34"/>
    <col width="12.140625" customWidth="1" style="1" min="35" max="35"/>
    <col width="14.140625" customWidth="1" style="7" min="36" max="36"/>
    <col width="17.42578125" customWidth="1" style="1" min="37" max="37"/>
    <col width="12.5703125" customWidth="1" style="1" min="38" max="38"/>
    <col width="10.85546875" customWidth="1" style="1" min="39" max="39"/>
    <col width="14.28515625" customWidth="1" style="1" min="40" max="40"/>
    <col width="23" bestFit="1" customWidth="1" style="1" min="41" max="41"/>
    <col width="12.85546875" bestFit="1" customWidth="1" style="1" min="42" max="42"/>
    <col width="13" customWidth="1" style="1" min="43" max="43"/>
    <col width="39.7109375" customWidth="1" style="1" min="44" max="44"/>
    <col width="14.85546875" bestFit="1" customWidth="1" style="1" min="45" max="45"/>
    <col width="18" customWidth="1" style="1" min="46" max="46"/>
    <col width="12.140625" customWidth="1" style="1" min="47" max="47"/>
    <col width="14.140625" customWidth="1" style="7" min="48" max="48"/>
    <col width="17.140625" customWidth="1" style="1" min="49" max="49"/>
    <col width="12.5703125" customWidth="1" style="1" min="50" max="50"/>
    <col width="11.28515625" customWidth="1" style="1" min="51" max="51"/>
    <col width="14.28515625" customWidth="1" style="1" min="52" max="52"/>
    <col width="23" bestFit="1" customWidth="1" style="1" min="53" max="53"/>
    <col width="12.85546875" bestFit="1" customWidth="1" style="1" min="54" max="54"/>
    <col width="13" customWidth="1" style="1" min="55" max="55"/>
    <col width="39.7109375" customWidth="1" style="1" min="56" max="56"/>
    <col width="14.85546875" bestFit="1" customWidth="1" style="1" min="57" max="57"/>
    <col width="18" customWidth="1" style="1" min="58" max="58"/>
    <col width="12.140625" customWidth="1" style="1" min="59" max="59"/>
    <col width="14.140625" customWidth="1" style="7" min="60" max="60"/>
    <col width="14.85546875" customWidth="1" style="1" min="61" max="61"/>
    <col width="12.5703125" customWidth="1" style="1" min="62" max="62"/>
    <col width="10.85546875" customWidth="1" style="1" min="63" max="63"/>
    <col width="14.28515625" customWidth="1" style="1" min="64" max="64"/>
    <col width="23" bestFit="1" customWidth="1" style="1" min="65" max="65"/>
    <col width="12.85546875" bestFit="1" customWidth="1" style="1" min="66" max="66"/>
    <col width="13" customWidth="1" style="1" min="67" max="67"/>
    <col width="39.7109375" customWidth="1" style="1" min="68" max="68"/>
    <col width="14.85546875" bestFit="1" customWidth="1" style="1" min="69" max="69"/>
    <col width="18" customWidth="1" style="1" min="70" max="70"/>
    <col width="12.140625" customWidth="1" style="1" min="71" max="71"/>
    <col width="14.140625" customWidth="1" style="7" min="72" max="72"/>
    <col width="9.140625" customWidth="1" style="1" min="73" max="16384"/>
  </cols>
  <sheetData>
    <row r="1" ht="45" customFormat="1" customHeight="1" s="27">
      <c r="A1" s="3" t="inlineStr">
        <is>
          <t>Temperature Cycling Test</t>
        </is>
      </c>
      <c r="C1" s="4" t="inlineStr">
        <is>
          <t>Date:</t>
        </is>
      </c>
      <c r="E1" s="4" t="inlineStr">
        <is>
          <t>Sample ID:</t>
        </is>
      </c>
      <c r="G1" s="4" t="inlineStr">
        <is>
          <t>Heating Technology:</t>
        </is>
      </c>
      <c r="J1" s="4" t="inlineStr">
        <is>
          <t>Did this burn?</t>
        </is>
      </c>
      <c r="L1" s="6" t="inlineStr">
        <is>
          <t>Average TPM and Standard deviation</t>
        </is>
      </c>
      <c r="M1" s="3" t="inlineStr">
        <is>
          <t>Temperature Cycling Test</t>
        </is>
      </c>
      <c r="O1" s="4" t="inlineStr">
        <is>
          <t>Date:</t>
        </is>
      </c>
      <c r="Q1" s="4" t="inlineStr">
        <is>
          <t>Sample ID:</t>
        </is>
      </c>
      <c r="S1" s="4" t="inlineStr">
        <is>
          <t>Heating Technology:</t>
        </is>
      </c>
      <c r="V1" s="4" t="inlineStr">
        <is>
          <t>Did this burn?</t>
        </is>
      </c>
      <c r="X1" s="6" t="inlineStr">
        <is>
          <t>Average TPM and Standard deviation</t>
        </is>
      </c>
      <c r="Y1" s="3" t="inlineStr">
        <is>
          <t>Temperature Cycling Test</t>
        </is>
      </c>
      <c r="AA1" s="4" t="inlineStr">
        <is>
          <t>Date:</t>
        </is>
      </c>
      <c r="AC1" s="4" t="inlineStr">
        <is>
          <t>Sample ID:</t>
        </is>
      </c>
      <c r="AE1" s="4" t="inlineStr">
        <is>
          <t>Heating Technology:</t>
        </is>
      </c>
      <c r="AH1" s="4" t="inlineStr">
        <is>
          <t>Did this burn?</t>
        </is>
      </c>
      <c r="AJ1" s="6" t="inlineStr">
        <is>
          <t>Average TPM and Standard deviation</t>
        </is>
      </c>
      <c r="AK1" s="3" t="inlineStr">
        <is>
          <t>Temperature Cycling Test</t>
        </is>
      </c>
      <c r="AM1" s="4" t="inlineStr">
        <is>
          <t>Date:</t>
        </is>
      </c>
      <c r="AO1" s="4" t="inlineStr">
        <is>
          <t>Sample ID:</t>
        </is>
      </c>
      <c r="AQ1" s="4" t="inlineStr">
        <is>
          <t>Heating Technology:</t>
        </is>
      </c>
      <c r="AT1" s="4" t="inlineStr">
        <is>
          <t>Did this burn?</t>
        </is>
      </c>
      <c r="AV1" s="6" t="inlineStr">
        <is>
          <t>Average TPM and Standard deviation</t>
        </is>
      </c>
      <c r="AW1" s="3" t="inlineStr">
        <is>
          <t>Temperature Cycling Test</t>
        </is>
      </c>
      <c r="AY1" s="4" t="inlineStr">
        <is>
          <t>Date:</t>
        </is>
      </c>
      <c r="BA1" s="4" t="inlineStr">
        <is>
          <t>Sample ID:</t>
        </is>
      </c>
      <c r="BC1" s="4" t="inlineStr">
        <is>
          <t>Heating Technology:</t>
        </is>
      </c>
      <c r="BF1" s="4" t="inlineStr">
        <is>
          <t>Did this burn?</t>
        </is>
      </c>
      <c r="BH1" s="6" t="inlineStr">
        <is>
          <t>Average TPM and Standard deviation</t>
        </is>
      </c>
      <c r="BI1" s="3" t="inlineStr">
        <is>
          <t>Temperature Cycling Test</t>
        </is>
      </c>
      <c r="BK1" s="4" t="inlineStr">
        <is>
          <t>Date:</t>
        </is>
      </c>
      <c r="BM1" s="4" t="inlineStr">
        <is>
          <t>Sample ID:</t>
        </is>
      </c>
      <c r="BO1" s="4" t="inlineStr">
        <is>
          <t>Heating Technology:</t>
        </is>
      </c>
      <c r="BR1" s="4" t="inlineStr">
        <is>
          <t>Did this burn?</t>
        </is>
      </c>
      <c r="BT1" s="6" t="inlineStr">
        <is>
          <t>Average TPM and Standard deviation</t>
        </is>
      </c>
    </row>
    <row r="2" ht="45"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60mL/3s/30s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60mL/3s/30s</t>
        </is>
      </c>
      <c r="U2" s="4" t="inlineStr">
        <is>
          <t>Usage Efficiency
                  ↓</t>
        </is>
      </c>
      <c r="V2" s="4" t="inlineStr">
        <is>
          <t>Did this clog?</t>
        </is>
      </c>
      <c r="X2" s="20">
        <f>IF(U5="","",AVERAGEIFS(U5:U115,U5:U115,"&lt;&gt;0",U5:U115,"&lt;&gt;"))</f>
        <v/>
      </c>
      <c r="Y2" s="4" t="inlineStr">
        <is>
          <t>Media:</t>
        </is>
      </c>
      <c r="AA2" s="4" t="inlineStr">
        <is>
          <t>Resistance (Ω):</t>
        </is>
      </c>
      <c r="AC2" s="4" t="inlineStr">
        <is>
          <t>Power:</t>
        </is>
      </c>
      <c r="AD2" s="27">
        <f t="array" ref="AD2">IFERROR(_xlfn.SWITCH(AF1,
"CCELL3.0",AD3^2/(AB2+0.78),
"EVOMAX",AD3^2/(AB2),
"EVO",AD3^2/(AB2),
"SE",AD3^2/AB2,
"T51",AD3^2/(0.25+AB2),
"Competitor",AD3^2/AB2,
AD3^2/AB2), "")</f>
        <v/>
      </c>
      <c r="AE2" s="4" t="inlineStr">
        <is>
          <t>Puffing Regime:</t>
        </is>
      </c>
      <c r="AF2" s="27" t="inlineStr">
        <is>
          <t>60mL/3s/30s</t>
        </is>
      </c>
      <c r="AG2" s="4" t="inlineStr">
        <is>
          <t>Usage Efficiency
                  ↓</t>
        </is>
      </c>
      <c r="AH2" s="4" t="inlineStr">
        <is>
          <t>Did this clog?</t>
        </is>
      </c>
      <c r="AJ2" s="20">
        <f>IF(AG5="","",AVERAGEIFS(AG5:AG115,AG5:AG115,"&lt;&gt;0",AG5:AG115,"&lt;&gt;"))</f>
        <v/>
      </c>
      <c r="AK2" s="4" t="inlineStr">
        <is>
          <t>Media:</t>
        </is>
      </c>
      <c r="AM2" s="4" t="inlineStr">
        <is>
          <t>Resistance (Ω):</t>
        </is>
      </c>
      <c r="AO2" s="4" t="inlineStr">
        <is>
          <t>Power:</t>
        </is>
      </c>
      <c r="AP2" s="27">
        <f t="array" ref="AP2">IFERROR(_xlfn.SWITCH(AR1,
"CCELL3.0",AP3^2/(AN2+0.78),
"EVOMAX",AP3^2/(AN2),
"EVO",AP3^2/(AN2),
"SE",AP3^2/AN2,
"T51",AP3^2/(0.25+AN2),
"Competitor",AP3^2/AN2,
AP3^2/AN2), "")</f>
        <v/>
      </c>
      <c r="AQ2" s="4" t="inlineStr">
        <is>
          <t>Puffing Regime:</t>
        </is>
      </c>
      <c r="AR2" s="27" t="inlineStr">
        <is>
          <t>60mL/3s/30s</t>
        </is>
      </c>
      <c r="AS2" s="4" t="inlineStr">
        <is>
          <t>Usage Efficiency
                  ↓</t>
        </is>
      </c>
      <c r="AT2" s="4" t="inlineStr">
        <is>
          <t>Did this clog?</t>
        </is>
      </c>
      <c r="AV2" s="20">
        <f>IF(AS5="","",AVERAGEIFS(AS5:AS115,AS5:AS115,"&lt;&gt;0",AS5:AS115,"&lt;&gt;"))</f>
        <v/>
      </c>
      <c r="AW2" s="4" t="inlineStr">
        <is>
          <t>Media:</t>
        </is>
      </c>
      <c r="AY2" s="4" t="inlineStr">
        <is>
          <t>Resistance (Ω):</t>
        </is>
      </c>
      <c r="BA2" s="4" t="inlineStr">
        <is>
          <t>Power:</t>
        </is>
      </c>
      <c r="BB2" s="27">
        <f t="array" ref="BB2">IFERROR(_xlfn.SWITCH(BD1,
"CCELL3.0",BB3^2/(AZ2+0.78),
"EVOMAX",BB3^2/(AZ2),
"EVO",BB3^2/(AZ2),
"SE",BB3^2/AZ2,
"T51",BB3^2/(0.25+AZ2),
"Competitor",BB3^2/AZ2,
BB3^2/AZ2), "")</f>
        <v/>
      </c>
      <c r="BC2" s="4" t="inlineStr">
        <is>
          <t>Puffing Regime:</t>
        </is>
      </c>
      <c r="BD2" s="27" t="inlineStr">
        <is>
          <t>60mL/3s/30s</t>
        </is>
      </c>
      <c r="BE2" s="4" t="inlineStr">
        <is>
          <t>Usage Efficiency
                  ↓</t>
        </is>
      </c>
      <c r="BF2" s="4" t="inlineStr">
        <is>
          <t>Did this clog?</t>
        </is>
      </c>
      <c r="BH2" s="20">
        <f>IF(BE5="","",AVERAGEIFS(BE5:BE115,BE5:BE115,"&lt;&gt;0",BE5:BE115,"&lt;&gt;"))</f>
        <v/>
      </c>
      <c r="BI2" s="4" t="inlineStr">
        <is>
          <t>Media:</t>
        </is>
      </c>
      <c r="BK2" s="4" t="inlineStr">
        <is>
          <t>Resistance (Ω):</t>
        </is>
      </c>
      <c r="BM2" s="4" t="inlineStr">
        <is>
          <t>Power:</t>
        </is>
      </c>
      <c r="BN2" s="27">
        <f t="array" ref="BN2">IFERROR(_xlfn.SWITCH(BP1,
"CCELL3.0",BN3^2/(BL2+0.78),
"EVOMAX",BN3^2/(BL2),
"EVO",BN3^2/(BL2),
"SE",BN3^2/BL2,
"T51",BN3^2/(0.25+BL2),
"Competitor",BN3^2/BL2,
BN3^2/BL2), "")</f>
        <v/>
      </c>
      <c r="BO2" s="4" t="inlineStr">
        <is>
          <t>Puffing Regime:</t>
        </is>
      </c>
      <c r="BP2" s="27" t="inlineStr">
        <is>
          <t>60mL/3s/30s</t>
        </is>
      </c>
      <c r="BQ2" s="4" t="inlineStr">
        <is>
          <t>Usage Efficiency
                  ↓</t>
        </is>
      </c>
      <c r="BR2" s="4" t="inlineStr">
        <is>
          <t>Did this clog?</t>
        </is>
      </c>
      <c r="BT2" s="20">
        <f>IF(BQ5="","",AVERAGEIFS(BQ5:BQ115,BQ5:BQ115,"&lt;&gt;0",BQ5:BQ115,"&lt;&gt;"))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(M6:M115-M5:M114)))/1000)/T3, "")</f>
        <v/>
      </c>
      <c r="V3" s="4" t="inlineStr">
        <is>
          <t>Did this leak?</t>
        </is>
      </c>
      <c r="X3" s="20">
        <f t="array" ref="X3">IF(U5="","",_xlfn.STDEV.P(IF(ISNUMBER(U5:U115), IF(U5:U115&lt;&gt;0,U5:U115))))</f>
        <v/>
      </c>
      <c r="Y3" s="4" t="inlineStr">
        <is>
          <t>Viscosity:</t>
        </is>
      </c>
      <c r="AA3" s="4" t="inlineStr">
        <is>
          <t>Tester:</t>
        </is>
      </c>
      <c r="AC3" s="4" t="inlineStr">
        <is>
          <t>Voltage:</t>
        </is>
      </c>
      <c r="AE3" s="4" t="inlineStr">
        <is>
          <t>Initial Oil Mass:</t>
        </is>
      </c>
      <c r="AG3" s="21">
        <f t="array" ref="AG3">IFERROR(((IF(AG5&lt;&gt;"", AG5*Y5, 0) + SUMPRODUCT(--(AG6:AG115&lt;&gt;""), AG6:AG115, (Y6:Y115-Y5:Y114)))/1000)/AF3, "")</f>
        <v/>
      </c>
      <c r="AH3" s="4" t="inlineStr">
        <is>
          <t>Did this leak?</t>
        </is>
      </c>
      <c r="AJ3" s="20">
        <f t="array" ref="AJ3">IF(AG5="","",_xlfn.STDEV.P(IF(ISNUMBER(AG5:AG115), IF(AG5:AG115&lt;&gt;0,AG5:AG115))))</f>
        <v/>
      </c>
      <c r="AK3" s="4" t="inlineStr">
        <is>
          <t>Viscosity:</t>
        </is>
      </c>
      <c r="AM3" s="4" t="inlineStr">
        <is>
          <t>Tester:</t>
        </is>
      </c>
      <c r="AO3" s="4" t="inlineStr">
        <is>
          <t>Voltage:</t>
        </is>
      </c>
      <c r="AQ3" s="4" t="inlineStr">
        <is>
          <t>Initial Oil Mass:</t>
        </is>
      </c>
      <c r="AS3" s="21">
        <f t="array" ref="AS3">IFERROR(((IF(AS5&lt;&gt;"", AS5*AK5, 0) + SUMPRODUCT(--(AS6:AS115&lt;&gt;""), AS6:AS115, (AK6:AK115-AK5:AK114)))/1000)/AR3, "")</f>
        <v/>
      </c>
      <c r="AT3" s="4" t="inlineStr">
        <is>
          <t>Did this leak?</t>
        </is>
      </c>
      <c r="AV3" s="20">
        <f t="array" ref="AV3">IF(AS5="","",_xlfn.STDEV.P(IF(ISNUMBER(AS5:AS115), IF(AS5:AS115&lt;&gt;0,AS5:AS115))))</f>
        <v/>
      </c>
      <c r="AW3" s="4" t="inlineStr">
        <is>
          <t>Viscosity:</t>
        </is>
      </c>
      <c r="AY3" s="4" t="inlineStr">
        <is>
          <t>Tester:</t>
        </is>
      </c>
      <c r="BA3" s="4" t="inlineStr">
        <is>
          <t>Voltage:</t>
        </is>
      </c>
      <c r="BC3" s="4" t="inlineStr">
        <is>
          <t>Initial Oil Mass:</t>
        </is>
      </c>
      <c r="BE3" s="21">
        <f t="array" ref="BE3">IFERROR(((IF(BE5&lt;&gt;"", BE5*AW5, 0) + SUMPRODUCT(--(BE6:BE115&lt;&gt;""), BE6:BE115, (AW6:AW115-AW5:AW114)))/1000)/BD3, "")</f>
        <v/>
      </c>
      <c r="BF3" s="4" t="inlineStr">
        <is>
          <t>Did this leak?</t>
        </is>
      </c>
      <c r="BH3" s="20">
        <f t="array" ref="BH3">IF(BE5="","",_xlfn.STDEV.P(IF(ISNUMBER(BE5:BE115), IF(BE5:BE115&lt;&gt;0,BE5:BE115))))</f>
        <v/>
      </c>
      <c r="BI3" s="4" t="inlineStr">
        <is>
          <t>Viscosity:</t>
        </is>
      </c>
      <c r="BK3" s="4" t="inlineStr">
        <is>
          <t>Tester:</t>
        </is>
      </c>
      <c r="BM3" s="4" t="inlineStr">
        <is>
          <t>Voltage:</t>
        </is>
      </c>
      <c r="BO3" s="4" t="inlineStr">
        <is>
          <t>Initial Oil Mass:</t>
        </is>
      </c>
      <c r="BQ3" s="21">
        <f t="array" ref="BQ3">IFERROR(((IF(BQ5&lt;&gt;"", BQ5*BI5, 0) + SUMPRODUCT(--(BQ6:BQ115&lt;&gt;""), BQ6:BQ115, (BI6:BI115-BI5:BI114)))/1000)/BP3, "")</f>
        <v/>
      </c>
      <c r="BR3" s="4" t="inlineStr">
        <is>
          <t>Did this leak?</t>
        </is>
      </c>
      <c r="BT3" s="20">
        <f t="array" ref="BT3">IF(BQ5="","",_xlfn.STDEV.P(IF(ISNUMBER(BQ5:BQ115), IF(BQ5:BQ115&lt;&gt;0,BQ5:BQ115))))</f>
        <v/>
      </c>
    </row>
    <row r="4" ht="45" customFormat="1" customHeight="1" s="27">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c r="Y4" s="27" t="inlineStr">
        <is>
          <t>puffs</t>
        </is>
      </c>
      <c r="Z4" s="27" t="inlineStr">
        <is>
          <t>Before weight (g)</t>
        </is>
      </c>
      <c r="AA4" s="27" t="inlineStr">
        <is>
          <t>After weight (g)</t>
        </is>
      </c>
      <c r="AB4" s="27" t="inlineStr">
        <is>
          <t>Draw Pressure (kpa)</t>
        </is>
      </c>
      <c r="AC4" s="27" t="inlineStr">
        <is>
          <t>Puffing Regime</t>
        </is>
      </c>
      <c r="AD4" s="27" t="inlineStr">
        <is>
          <t>Smell</t>
        </is>
      </c>
      <c r="AE4" s="27" t="inlineStr">
        <is>
          <t>Clog</t>
        </is>
      </c>
      <c r="AF4" s="27" t="inlineStr">
        <is>
          <t>Notes</t>
        </is>
      </c>
      <c r="AG4" s="27" t="inlineStr">
        <is>
          <t>TPM (mg/puff)</t>
        </is>
      </c>
      <c r="AH4" s="27" t="inlineStr">
        <is>
          <t>TPM Power Density (mg/(W*s))</t>
        </is>
      </c>
      <c r="AI4" s="27" t="inlineStr">
        <is>
          <t>Variation in TPM (%)</t>
        </is>
      </c>
      <c r="AJ4" s="20" t="inlineStr">
        <is>
          <t>Oil Consumed (Cumulative, g)</t>
        </is>
      </c>
      <c r="AK4" s="27" t="inlineStr">
        <is>
          <t>puffs</t>
        </is>
      </c>
      <c r="AL4" s="27" t="inlineStr">
        <is>
          <t>Before weight (g)</t>
        </is>
      </c>
      <c r="AM4" s="27" t="inlineStr">
        <is>
          <t>After weight (g)</t>
        </is>
      </c>
      <c r="AN4" s="27" t="inlineStr">
        <is>
          <t>Draw Pressure (kpa)</t>
        </is>
      </c>
      <c r="AO4" s="27" t="inlineStr">
        <is>
          <t>Puffing Regime</t>
        </is>
      </c>
      <c r="AP4" s="27" t="inlineStr">
        <is>
          <t>Smell</t>
        </is>
      </c>
      <c r="AQ4" s="27" t="inlineStr">
        <is>
          <t>Clog</t>
        </is>
      </c>
      <c r="AR4" s="27" t="inlineStr">
        <is>
          <t>Notes</t>
        </is>
      </c>
      <c r="AS4" s="27" t="inlineStr">
        <is>
          <t>TPM (mg/puff)</t>
        </is>
      </c>
      <c r="AT4" s="27" t="inlineStr">
        <is>
          <t>TPM Power Density (mg/(W*s))</t>
        </is>
      </c>
      <c r="AU4" s="27" t="inlineStr">
        <is>
          <t>Variation in TPM (%)</t>
        </is>
      </c>
      <c r="AV4" s="20" t="inlineStr">
        <is>
          <t>Oil Consumed (Cumulative, g)</t>
        </is>
      </c>
      <c r="AW4" s="27" t="inlineStr">
        <is>
          <t>puffs</t>
        </is>
      </c>
      <c r="AX4" s="27" t="inlineStr">
        <is>
          <t>Before weight (g)</t>
        </is>
      </c>
      <c r="AY4" s="27" t="inlineStr">
        <is>
          <t>After weight (g)</t>
        </is>
      </c>
      <c r="AZ4" s="27" t="inlineStr">
        <is>
          <t>Draw Pressure (kpa)</t>
        </is>
      </c>
      <c r="BA4" s="27" t="inlineStr">
        <is>
          <t>Puffing Regime</t>
        </is>
      </c>
      <c r="BB4" s="27" t="inlineStr">
        <is>
          <t>Smell</t>
        </is>
      </c>
      <c r="BC4" s="27" t="inlineStr">
        <is>
          <t>Clog</t>
        </is>
      </c>
      <c r="BD4" s="27" t="inlineStr">
        <is>
          <t>Notes</t>
        </is>
      </c>
      <c r="BE4" s="27" t="inlineStr">
        <is>
          <t>TPM (mg/puff)</t>
        </is>
      </c>
      <c r="BF4" s="27" t="inlineStr">
        <is>
          <t>TPM Power Density (mg/(W*s))</t>
        </is>
      </c>
      <c r="BG4" s="27" t="inlineStr">
        <is>
          <t>Variation in TPM (%)</t>
        </is>
      </c>
      <c r="BH4" s="20" t="inlineStr">
        <is>
          <t>Oil Consumed (Cumulative, g)</t>
        </is>
      </c>
      <c r="BI4" s="27" t="inlineStr">
        <is>
          <t>puffs</t>
        </is>
      </c>
      <c r="BJ4" s="27" t="inlineStr">
        <is>
          <t>Before weight (g)</t>
        </is>
      </c>
      <c r="BK4" s="27" t="inlineStr">
        <is>
          <t>After weight (g)</t>
        </is>
      </c>
      <c r="BL4" s="27" t="inlineStr">
        <is>
          <t>Draw Pressure (kpa)</t>
        </is>
      </c>
      <c r="BM4" s="27" t="inlineStr">
        <is>
          <t>Puffing Regime</t>
        </is>
      </c>
      <c r="BN4" s="27" t="inlineStr">
        <is>
          <t>Smell</t>
        </is>
      </c>
      <c r="BO4" s="27" t="inlineStr">
        <is>
          <t>Clog</t>
        </is>
      </c>
      <c r="BP4" s="27" t="inlineStr">
        <is>
          <t>Notes</t>
        </is>
      </c>
      <c r="BQ4" s="27" t="inlineStr">
        <is>
          <t>TPM (mg/puff)</t>
        </is>
      </c>
      <c r="BR4" s="27" t="inlineStr">
        <is>
          <t>TPM Power Density (mg/(W*s))</t>
        </is>
      </c>
      <c r="BS4" s="27" t="inlineStr">
        <is>
          <t>Variation in TPM (%)</t>
        </is>
      </c>
      <c r="BT4" s="20" t="inlineStr">
        <is>
          <t>Oil Consumed (Cumulative, g)</t>
        </is>
      </c>
    </row>
    <row r="5">
      <c r="A5" s="1" t="n">
        <v>5</v>
      </c>
      <c r="E5" t="inlineStr">
        <is>
          <t>60mL/3s/30s</t>
        </is>
      </c>
      <c r="I5" s="1">
        <f>IF(C5="", "", (B5-C5)*1000/A5)</f>
        <v/>
      </c>
      <c r="J5" s="1">
        <f>IF(I5="","",I5/F$2/3)</f>
        <v/>
      </c>
      <c r="L5" s="8">
        <f>IF(I5="","", IFERROR(((IF(I$5&lt;&gt;"", I$5*A$5, 0))/1000)/H$3, ""))</f>
        <v/>
      </c>
      <c r="M5" s="1" t="n">
        <v>5</v>
      </c>
      <c r="Q5" t="inlineStr">
        <is>
          <t>60mL/3s/30s</t>
        </is>
      </c>
      <c r="U5" s="1">
        <f>IF(O5="", "", (N5-O5)*1000/M5)</f>
        <v/>
      </c>
      <c r="V5" s="1">
        <f>IF(U5="","",U5/R$2/3)</f>
        <v/>
      </c>
      <c r="X5" s="8">
        <f>IF(U5="","", IFERROR(((IF(U$5&lt;&gt;"", U$5*M$5, 0))/1000)/T$3, ""))</f>
        <v/>
      </c>
      <c r="Y5" s="1" t="n">
        <v>5</v>
      </c>
      <c r="AC5" t="inlineStr">
        <is>
          <t>60mL/3s/30s</t>
        </is>
      </c>
      <c r="AG5" s="1">
        <f>IF(AA5="", "", (Z5-AA5)*1000/Y5)</f>
        <v/>
      </c>
      <c r="AH5" s="1">
        <f>IF(AG5="","",AG5/AD$2/3)</f>
        <v/>
      </c>
      <c r="AJ5" s="8">
        <f>IF(AG5="","", IFERROR(((IF(AG$5&lt;&gt;"", AG$5*Y$5, 0))/1000)/AF$3, ""))</f>
        <v/>
      </c>
      <c r="AK5" s="1" t="n">
        <v>5</v>
      </c>
      <c r="AO5" t="inlineStr">
        <is>
          <t>60mL/3s/30s</t>
        </is>
      </c>
      <c r="AS5" s="1">
        <f>IF(AM5="", "", (AL5-AM5)*1000/AK5)</f>
        <v/>
      </c>
      <c r="AT5" s="1">
        <f>IF(AS5="","",AS5/AP$2/3)</f>
        <v/>
      </c>
      <c r="AV5" s="8">
        <f>IF(AS5="","", IFERROR(((IF(AS$5&lt;&gt;"", AS$5*AK$5, 0))/1000)/AR$3, ""))</f>
        <v/>
      </c>
      <c r="AW5" s="1" t="n">
        <v>5</v>
      </c>
      <c r="BA5" t="inlineStr">
        <is>
          <t>60mL/3s/30s</t>
        </is>
      </c>
      <c r="BE5" s="1">
        <f>IF(AY5="", "", (AX5-AY5)*1000/AW5)</f>
        <v/>
      </c>
      <c r="BF5" s="1">
        <f>IF(BE5="","",BE5/BB$2/3)</f>
        <v/>
      </c>
      <c r="BH5" s="8">
        <f>IF(BE5="","", IFERROR(((IF(BE$5&lt;&gt;"", BE$5*AW$5, 0))/1000)/BD$3, ""))</f>
        <v/>
      </c>
      <c r="BI5" s="1" t="n">
        <v>5</v>
      </c>
      <c r="BM5" t="inlineStr">
        <is>
          <t>60mL/3s/30s</t>
        </is>
      </c>
      <c r="BQ5" s="1">
        <f>IF(BK5="", "", (BJ5-BK5)*1000/BI5)</f>
        <v/>
      </c>
      <c r="BR5" s="1">
        <f>IF(BQ5="","",BQ5/BN$2/3)</f>
        <v/>
      </c>
      <c r="BT5" s="8">
        <f>IF(BQ5="","", IFERROR(((IF(BQ$5&lt;&gt;"", BQ$5*BI$5, 0))/1000)/BP$3, ""))</f>
        <v/>
      </c>
    </row>
    <row r="6">
      <c r="A6" s="1">
        <f>A5+5</f>
        <v/>
      </c>
      <c r="B6" s="1">
        <f>C5</f>
        <v/>
      </c>
      <c r="E6" t="inlineStr">
        <is>
          <t>60mL/3s/30s</t>
        </is>
      </c>
      <c r="I6" s="1">
        <f>IF(C6="", "", (B6-C6)*1000/(A6-A5))</f>
        <v/>
      </c>
      <c r="J6" s="1">
        <f>IF(I6="","",I6/F$2/3)</f>
        <v/>
      </c>
      <c r="K6" s="1">
        <f>IF(I6="","", 100*_xlfn.STDEV.P(I5:I6)/AVERAGE(I5:I6))</f>
        <v/>
      </c>
      <c r="L6" s="8">
        <f t="array" ref="L6">IF(I6="","", IFERROR(((IF(I$5&lt;&gt;"", I$5*A$5, 0) + SUMPRODUCT(--(I$6:I6&lt;&gt;""), I$6:I6, (A$6:A6-A$5:A5)))/1000)/H$3, ""))</f>
        <v/>
      </c>
      <c r="M6" s="1">
        <f>M5+5</f>
        <v/>
      </c>
      <c r="N6" s="1">
        <f>O5</f>
        <v/>
      </c>
      <c r="Q6" t="inlineStr">
        <is>
          <t>60mL/3s/30s</t>
        </is>
      </c>
      <c r="U6" s="1">
        <f>IF(O6="", "", (N6-O6)*1000/(M6-M5))</f>
        <v/>
      </c>
      <c r="V6" s="1">
        <f>IF(U6="","",U6/R$2/3)</f>
        <v/>
      </c>
      <c r="W6" s="1">
        <f>IF(U6="","", 100*_xlfn.STDEV.P(U5:U6)/AVERAGE(U5:U6))</f>
        <v/>
      </c>
      <c r="X6" s="8">
        <f t="array" ref="X6">IF(U6="","", IFERROR(((IF(U$5&lt;&gt;"", U$5*M$5, 0) + SUMPRODUCT(--(U$6:U6&lt;&gt;""), U$6:U6, (M$6:M6-M$5:M5)))/1000)/T$3, ""))</f>
        <v/>
      </c>
      <c r="Y6" s="1">
        <f>Y5+5</f>
        <v/>
      </c>
      <c r="Z6" s="1">
        <f>AA5</f>
        <v/>
      </c>
      <c r="AC6" t="inlineStr">
        <is>
          <t>60mL/3s/30s</t>
        </is>
      </c>
      <c r="AG6" s="1">
        <f>IF(AA6="", "", (Z6-AA6)*1000/(Y6-Y5))</f>
        <v/>
      </c>
      <c r="AH6" s="1">
        <f>IF(AG6="","",AG6/AD$2/3)</f>
        <v/>
      </c>
      <c r="AI6" s="1">
        <f>IF(AG6="","", 100*_xlfn.STDEV.P(AG5:AG6)/AVERAGE(AG5:AG6))</f>
        <v/>
      </c>
      <c r="AJ6" s="8">
        <f t="array" ref="AJ6">IF(AG6="","", IFERROR(((IF(AG$5&lt;&gt;"", AG$5*Y$5, 0) + SUMPRODUCT(--(AG$6:AG6&lt;&gt;""), AG$6:AG6, (Y$6:Y6-Y$5:Y5)))/1000)/AF$3, ""))</f>
        <v/>
      </c>
      <c r="AK6" s="1">
        <f>AK5+5</f>
        <v/>
      </c>
      <c r="AL6" s="1">
        <f>AM5</f>
        <v/>
      </c>
      <c r="AO6" t="inlineStr">
        <is>
          <t>60mL/3s/30s</t>
        </is>
      </c>
      <c r="AS6" s="1">
        <f>IF(AM6="", "", (AL6-AM6)*1000/(AK6-AK5))</f>
        <v/>
      </c>
      <c r="AT6" s="1">
        <f>IF(AS6="","",AS6/AP$2/3)</f>
        <v/>
      </c>
      <c r="AU6" s="1">
        <f>IF(AS6="","", 100*_xlfn.STDEV.P(AS5:AS6)/AVERAGE(AS5:AS6))</f>
        <v/>
      </c>
      <c r="AV6" s="8">
        <f t="array" ref="AV6">IF(AS6="","", IFERROR(((IF(AS$5&lt;&gt;"", AS$5*AK$5, 0) + SUMPRODUCT(--(AS$6:AS6&lt;&gt;""), AS$6:AS6, (AK$6:AK6-AK$5:AK5)))/1000)/AR$3, ""))</f>
        <v/>
      </c>
      <c r="AW6" s="1">
        <f>AW5+5</f>
        <v/>
      </c>
      <c r="AX6" s="1">
        <f>AY5</f>
        <v/>
      </c>
      <c r="BA6" t="inlineStr">
        <is>
          <t>60mL/3s/30s</t>
        </is>
      </c>
      <c r="BE6" s="1">
        <f>IF(AY6="", "", (AX6-AY6)*1000/(AW6-AW5))</f>
        <v/>
      </c>
      <c r="BF6" s="1">
        <f>IF(BE6="","",BE6/BB$2/3)</f>
        <v/>
      </c>
      <c r="BG6" s="1">
        <f>IF(BE6="","", 100*_xlfn.STDEV.P(BE5:BE6)/AVERAGE(BE5:BE6))</f>
        <v/>
      </c>
      <c r="BH6" s="8">
        <f t="array" ref="BH6">IF(BE6="","", IFERROR(((IF(BE$5&lt;&gt;"", BE$5*AW$5, 0) + SUMPRODUCT(--(BE$6:BE6&lt;&gt;""), BE$6:BE6, (AW$6:AW6-AW$5:AW5)))/1000)/BD$3, ""))</f>
        <v/>
      </c>
      <c r="BI6" s="1">
        <f>BI5+5</f>
        <v/>
      </c>
      <c r="BJ6" s="1">
        <f>BK5</f>
        <v/>
      </c>
      <c r="BM6" t="inlineStr">
        <is>
          <t>60mL/3s/30s</t>
        </is>
      </c>
      <c r="BQ6" s="1">
        <f>IF(BK6="", "", (BJ6-BK6)*1000/(BI6-BI5))</f>
        <v/>
      </c>
      <c r="BR6" s="1">
        <f>IF(BQ6="","",BQ6/BN$2/3)</f>
        <v/>
      </c>
      <c r="BS6" s="1">
        <f>IF(BQ6="","", 100*_xlfn.STDEV.P(BQ5:BQ6)/AVERAGE(BQ5:BQ6))</f>
        <v/>
      </c>
      <c r="BT6" s="8">
        <f t="array" ref="BT6">IF(BQ6="","", IFERROR(((IF(BQ$5&lt;&gt;"", BQ$5*BI$5, 0) + SUMPRODUCT(--(BQ$6:BQ6&lt;&gt;""), BQ$6:BQ6, (BI$6:BI6-BI$5:BI5)))/1000)/BP$3, ""))</f>
        <v/>
      </c>
    </row>
    <row r="7">
      <c r="A7" s="1">
        <f>A6+5</f>
        <v/>
      </c>
      <c r="B7" s="1">
        <f>C6</f>
        <v/>
      </c>
      <c r="E7" t="inlineStr">
        <is>
          <t>60mL/3s/30s</t>
        </is>
      </c>
      <c r="I7" s="1">
        <f>IF(C7="", "", (B7-C7)*1000/(A7-A6))</f>
        <v/>
      </c>
      <c r="J7" s="1">
        <f>IF(I7="","",I7/F$2/3)</f>
        <v/>
      </c>
      <c r="K7" s="1">
        <f>IF(I7="","", 100*_xlfn.STDEV.P(I6:I7)/AVERAGE(I6:I7))</f>
        <v/>
      </c>
      <c r="L7" s="8">
        <f t="array" ref="L7">IF(I7="","", IFERROR(((IF(I$5&lt;&gt;"", I$5*A$5, 0) + SUMPRODUCT(--(I$6:I7&lt;&gt;""), I$6:I7, (A$6:A7-A$5:A6)))/1000)/H$3, ""))</f>
        <v/>
      </c>
      <c r="M7" s="1">
        <f>M6+5</f>
        <v/>
      </c>
      <c r="N7" s="1">
        <f>O6</f>
        <v/>
      </c>
      <c r="Q7" t="inlineStr">
        <is>
          <t>60mL/3s/30s</t>
        </is>
      </c>
      <c r="U7" s="1">
        <f>IF(O7="", "", (N7-O7)*1000/(M7-M6))</f>
        <v/>
      </c>
      <c r="V7" s="1">
        <f>IF(U7="","",U7/R$2/3)</f>
        <v/>
      </c>
      <c r="W7" s="1">
        <f>IF(U7="","", 100*_xlfn.STDEV.P(U6:U7)/AVERAGE(U6:U7))</f>
        <v/>
      </c>
      <c r="X7" s="8">
        <f t="array" ref="X7">IF(U7="","", IFERROR(((IF(U$5&lt;&gt;"", U$5*M$5, 0) + SUMPRODUCT(--(U$6:U7&lt;&gt;""), U$6:U7, (M$6:M7-M$5:M6)))/1000)/T$3, ""))</f>
        <v/>
      </c>
      <c r="Y7" s="1">
        <f>Y6+5</f>
        <v/>
      </c>
      <c r="Z7" s="1">
        <f>AA6</f>
        <v/>
      </c>
      <c r="AC7" t="inlineStr">
        <is>
          <t>60mL/3s/30s</t>
        </is>
      </c>
      <c r="AG7" s="1">
        <f>IF(AA7="", "", (Z7-AA7)*1000/(Y7-Y6))</f>
        <v/>
      </c>
      <c r="AH7" s="1">
        <f>IF(AG7="","",AG7/AD$2/3)</f>
        <v/>
      </c>
      <c r="AI7" s="1">
        <f>IF(AG7="","", 100*_xlfn.STDEV.P(AG6:AG7)/AVERAGE(AG6:AG7))</f>
        <v/>
      </c>
      <c r="AJ7" s="8">
        <f t="array" ref="AJ7">IF(AG7="","", IFERROR(((IF(AG$5&lt;&gt;"", AG$5*Y$5, 0) + SUMPRODUCT(--(AG$6:AG7&lt;&gt;""), AG$6:AG7, (Y$6:Y7-Y$5:Y6)))/1000)/AF$3, ""))</f>
        <v/>
      </c>
      <c r="AK7" s="1">
        <f>AK6+5</f>
        <v/>
      </c>
      <c r="AL7" s="1">
        <f>AM6</f>
        <v/>
      </c>
      <c r="AO7" t="inlineStr">
        <is>
          <t>60mL/3s/30s</t>
        </is>
      </c>
      <c r="AS7" s="1">
        <f>IF(AM7="", "", (AL7-AM7)*1000/(AK7-AK6))</f>
        <v/>
      </c>
      <c r="AT7" s="1">
        <f>IF(AS7="","",AS7/AP$2/3)</f>
        <v/>
      </c>
      <c r="AU7" s="1">
        <f>IF(AS7="","", 100*_xlfn.STDEV.P(AS6:AS7)/AVERAGE(AS6:AS7))</f>
        <v/>
      </c>
      <c r="AV7" s="8">
        <f t="array" ref="AV7">IF(AS7="","", IFERROR(((IF(AS$5&lt;&gt;"", AS$5*AK$5, 0) + SUMPRODUCT(--(AS$6:AS7&lt;&gt;""), AS$6:AS7, (AK$6:AK7-AK$5:AK6)))/1000)/AR$3, ""))</f>
        <v/>
      </c>
      <c r="AW7" s="1">
        <f>AW6+5</f>
        <v/>
      </c>
      <c r="AX7" s="1">
        <f>AY6</f>
        <v/>
      </c>
      <c r="BA7" t="inlineStr">
        <is>
          <t>60mL/3s/30s</t>
        </is>
      </c>
      <c r="BE7" s="1">
        <f>IF(AY7="", "", (AX7-AY7)*1000/(AW7-AW6))</f>
        <v/>
      </c>
      <c r="BF7" s="1">
        <f>IF(BE7="","",BE7/BB$2/3)</f>
        <v/>
      </c>
      <c r="BG7" s="1">
        <f>IF(BE7="","", 100*_xlfn.STDEV.P(BE6:BE7)/AVERAGE(BE6:BE7))</f>
        <v/>
      </c>
      <c r="BH7" s="8">
        <f t="array" ref="BH7">IF(BE7="","", IFERROR(((IF(BE$5&lt;&gt;"", BE$5*AW$5, 0) + SUMPRODUCT(--(BE$6:BE7&lt;&gt;""), BE$6:BE7, (AW$6:AW7-AW$5:AW6)))/1000)/BD$3, ""))</f>
        <v/>
      </c>
      <c r="BI7" s="1">
        <f>BI6+5</f>
        <v/>
      </c>
      <c r="BJ7" s="1">
        <f>BK6</f>
        <v/>
      </c>
      <c r="BM7" t="inlineStr">
        <is>
          <t>60mL/3s/30s</t>
        </is>
      </c>
      <c r="BQ7" s="1">
        <f>IF(BK7="", "", (BJ7-BK7)*1000/(BI7-BI6))</f>
        <v/>
      </c>
      <c r="BR7" s="1">
        <f>IF(BQ7="","",BQ7/BN$2/3)</f>
        <v/>
      </c>
      <c r="BS7" s="1">
        <f>IF(BQ7="","", 100*_xlfn.STDEV.P(BQ6:BQ7)/AVERAGE(BQ6:BQ7))</f>
        <v/>
      </c>
      <c r="BT7" s="8">
        <f t="array" ref="BT7">IF(BQ7="","", IFERROR(((IF(BQ$5&lt;&gt;"", BQ$5*BI$5, 0) + SUMPRODUCT(--(BQ$6:BQ7&lt;&gt;""), BQ$6:BQ7, (BI$6:BI7-BI$5:BI6)))/1000)/BP$3, ""))</f>
        <v/>
      </c>
    </row>
    <row r="8">
      <c r="A8" s="1">
        <f>A7+5</f>
        <v/>
      </c>
      <c r="B8" s="1">
        <f>C7</f>
        <v/>
      </c>
      <c r="E8" t="inlineStr">
        <is>
          <t>60mL/3s/30s</t>
        </is>
      </c>
      <c r="I8" s="1">
        <f>IF(C8="", "", (B8-C8)*1000/(A8-A7))</f>
        <v/>
      </c>
      <c r="J8" s="1">
        <f>IF(I8="","",I8/F$2/3)</f>
        <v/>
      </c>
      <c r="K8" s="1">
        <f>IF(I8="","", 100*_xlfn.STDEV.P(I7:I8)/AVERAGE(I7:I8))</f>
        <v/>
      </c>
      <c r="L8" s="8">
        <f t="array" ref="L8">IF(I8="","", IFERROR(((IF(I$5&lt;&gt;"", I$5*A$5, 0) + SUMPRODUCT(--(I$6:I8&lt;&gt;""), I$6:I8, (A$6:A8-A$5:A7)))/1000)/H$3, ""))</f>
        <v/>
      </c>
      <c r="M8" s="1">
        <f>M7+5</f>
        <v/>
      </c>
      <c r="N8" s="1">
        <f>O7</f>
        <v/>
      </c>
      <c r="Q8" t="inlineStr">
        <is>
          <t>60mL/3s/30s</t>
        </is>
      </c>
      <c r="U8" s="1">
        <f>IF(O8="", "", (N8-O8)*1000/(M8-M7))</f>
        <v/>
      </c>
      <c r="V8" s="1">
        <f>IF(U8="","",U8/R$2/3)</f>
        <v/>
      </c>
      <c r="W8" s="1">
        <f>IF(U8="","", 100*_xlfn.STDEV.P(U7:U8)/AVERAGE(U7:U8))</f>
        <v/>
      </c>
      <c r="X8" s="8">
        <f t="array" ref="X8">IF(U8="","", IFERROR(((IF(U$5&lt;&gt;"", U$5*M$5, 0) + SUMPRODUCT(--(U$6:U8&lt;&gt;""), U$6:U8, (M$6:M8-M$5:M7)))/1000)/T$3, ""))</f>
        <v/>
      </c>
      <c r="Y8" s="1">
        <f>Y7+5</f>
        <v/>
      </c>
      <c r="Z8" s="1">
        <f>AA7</f>
        <v/>
      </c>
      <c r="AC8" t="inlineStr">
        <is>
          <t>60mL/3s/30s</t>
        </is>
      </c>
      <c r="AG8" s="1">
        <f>IF(AA8="", "", (Z8-AA8)*1000/(Y8-Y7))</f>
        <v/>
      </c>
      <c r="AH8" s="1">
        <f>IF(AG8="","",AG8/AD$2/3)</f>
        <v/>
      </c>
      <c r="AI8" s="1">
        <f>IF(AG8="","", 100*_xlfn.STDEV.P(AG7:AG8)/AVERAGE(AG7:AG8))</f>
        <v/>
      </c>
      <c r="AJ8" s="8">
        <f t="array" ref="AJ8">IF(AG8="","", IFERROR(((IF(AG$5&lt;&gt;"", AG$5*Y$5, 0) + SUMPRODUCT(--(AG$6:AG8&lt;&gt;""), AG$6:AG8, (Y$6:Y8-Y$5:Y7)))/1000)/AF$3, ""))</f>
        <v/>
      </c>
      <c r="AK8" s="1">
        <f>AK7+5</f>
        <v/>
      </c>
      <c r="AL8" s="1">
        <f>AM7</f>
        <v/>
      </c>
      <c r="AO8" t="inlineStr">
        <is>
          <t>60mL/3s/30s</t>
        </is>
      </c>
      <c r="AS8" s="1">
        <f>IF(AM8="", "", (AL8-AM8)*1000/(AK8-AK7))</f>
        <v/>
      </c>
      <c r="AT8" s="1">
        <f>IF(AS8="","",AS8/AP$2/3)</f>
        <v/>
      </c>
      <c r="AU8" s="1">
        <f>IF(AS8="","", 100*_xlfn.STDEV.P(AS7:AS8)/AVERAGE(AS7:AS8))</f>
        <v/>
      </c>
      <c r="AV8" s="8">
        <f t="array" ref="AV8">IF(AS8="","", IFERROR(((IF(AS$5&lt;&gt;"", AS$5*AK$5, 0) + SUMPRODUCT(--(AS$6:AS8&lt;&gt;""), AS$6:AS8, (AK$6:AK8-AK$5:AK7)))/1000)/AR$3, ""))</f>
        <v/>
      </c>
      <c r="AW8" s="1">
        <f>AW7+5</f>
        <v/>
      </c>
      <c r="AX8" s="1">
        <f>AY7</f>
        <v/>
      </c>
      <c r="BA8" t="inlineStr">
        <is>
          <t>60mL/3s/30s</t>
        </is>
      </c>
      <c r="BE8" s="1">
        <f>IF(AY8="", "", (AX8-AY8)*1000/(AW8-AW7))</f>
        <v/>
      </c>
      <c r="BF8" s="1">
        <f>IF(BE8="","",BE8/BB$2/3)</f>
        <v/>
      </c>
      <c r="BG8" s="1">
        <f>IF(BE8="","", 100*_xlfn.STDEV.P(BE7:BE8)/AVERAGE(BE7:BE8))</f>
        <v/>
      </c>
      <c r="BH8" s="8">
        <f t="array" ref="BH8">IF(BE8="","", IFERROR(((IF(BE$5&lt;&gt;"", BE$5*AW$5, 0) + SUMPRODUCT(--(BE$6:BE8&lt;&gt;""), BE$6:BE8, (AW$6:AW8-AW$5:AW7)))/1000)/BD$3, ""))</f>
        <v/>
      </c>
      <c r="BI8" s="1">
        <f>BI7+5</f>
        <v/>
      </c>
      <c r="BJ8" s="1">
        <f>BK7</f>
        <v/>
      </c>
      <c r="BM8" t="inlineStr">
        <is>
          <t>60mL/3s/30s</t>
        </is>
      </c>
      <c r="BQ8" s="1">
        <f>IF(BK8="", "", (BJ8-BK8)*1000/(BI8-BI7))</f>
        <v/>
      </c>
      <c r="BR8" s="1">
        <f>IF(BQ8="","",BQ8/BN$2/3)</f>
        <v/>
      </c>
      <c r="BS8" s="1">
        <f>IF(BQ8="","", 100*_xlfn.STDEV.P(BQ7:BQ8)/AVERAGE(BQ7:BQ8))</f>
        <v/>
      </c>
      <c r="BT8" s="8">
        <f t="array" ref="BT8">IF(BQ8="","", IFERROR(((IF(BQ$5&lt;&gt;"", BQ$5*BI$5, 0) + SUMPRODUCT(--(BQ$6:BQ8&lt;&gt;""), BQ$6:BQ8, (BI$6:BI8-BI$5:BI7)))/1000)/BP$3, ""))</f>
        <v/>
      </c>
    </row>
    <row r="9">
      <c r="A9" s="1">
        <f>A8+5</f>
        <v/>
      </c>
      <c r="B9" s="1">
        <f>C8</f>
        <v/>
      </c>
      <c r="E9" t="inlineStr">
        <is>
          <t>60mL/3s/30s</t>
        </is>
      </c>
      <c r="I9" s="1">
        <f>IF(C9="", "", (B9-C9)*1000/(A9-A8))</f>
        <v/>
      </c>
      <c r="J9" s="1">
        <f>IF(I9="","",I9/F$2/3)</f>
        <v/>
      </c>
      <c r="K9" s="1">
        <f>IF(I9="","", 100*_xlfn.STDEV.P(I8:I9)/AVERAGE(I8:I9))</f>
        <v/>
      </c>
      <c r="L9" s="8">
        <f t="array" ref="L9">IF(I9="","", IFERROR(((IF(I$5&lt;&gt;"", I$5*A$5, 0) + SUMPRODUCT(--(I$6:I9&lt;&gt;""), I$6:I9, (A$6:A9-A$5:A8)))/1000)/H$3, ""))</f>
        <v/>
      </c>
      <c r="M9" s="1">
        <f>M8+5</f>
        <v/>
      </c>
      <c r="N9" s="1">
        <f>O8</f>
        <v/>
      </c>
      <c r="Q9" t="inlineStr">
        <is>
          <t>60mL/3s/30s</t>
        </is>
      </c>
      <c r="U9" s="1">
        <f>IF(O9="", "", (N9-O9)*1000/(M9-M8))</f>
        <v/>
      </c>
      <c r="V9" s="1">
        <f>IF(U9="","",U9/R$2/3)</f>
        <v/>
      </c>
      <c r="W9" s="1">
        <f>IF(U9="","", 100*_xlfn.STDEV.P(U8:U9)/AVERAGE(U8:U9))</f>
        <v/>
      </c>
      <c r="X9" s="8">
        <f t="array" ref="X9">IF(U9="","", IFERROR(((IF(U$5&lt;&gt;"", U$5*M$5, 0) + SUMPRODUCT(--(U$6:U9&lt;&gt;""), U$6:U9, (M$6:M9-M$5:M8)))/1000)/T$3, ""))</f>
        <v/>
      </c>
      <c r="Y9" s="1">
        <f>Y8+5</f>
        <v/>
      </c>
      <c r="Z9" s="1">
        <f>AA8</f>
        <v/>
      </c>
      <c r="AC9" t="inlineStr">
        <is>
          <t>60mL/3s/30s</t>
        </is>
      </c>
      <c r="AG9" s="1">
        <f>IF(AA9="", "", (Z9-AA9)*1000/(Y9-Y8))</f>
        <v/>
      </c>
      <c r="AH9" s="1">
        <f>IF(AG9="","",AG9/AD$2/3)</f>
        <v/>
      </c>
      <c r="AI9" s="1">
        <f>IF(AG9="","", 100*_xlfn.STDEV.P(AG8:AG9)/AVERAGE(AG8:AG9))</f>
        <v/>
      </c>
      <c r="AJ9" s="8">
        <f t="array" ref="AJ9">IF(AG9="","", IFERROR(((IF(AG$5&lt;&gt;"", AG$5*Y$5, 0) + SUMPRODUCT(--(AG$6:AG9&lt;&gt;""), AG$6:AG9, (Y$6:Y9-Y$5:Y8)))/1000)/AF$3, ""))</f>
        <v/>
      </c>
      <c r="AK9" s="1">
        <f>AK8+5</f>
        <v/>
      </c>
      <c r="AL9" s="1">
        <f>AM8</f>
        <v/>
      </c>
      <c r="AO9" t="inlineStr">
        <is>
          <t>60mL/3s/30s</t>
        </is>
      </c>
      <c r="AS9" s="1">
        <f>IF(AM9="", "", (AL9-AM9)*1000/(AK9-AK8))</f>
        <v/>
      </c>
      <c r="AT9" s="1">
        <f>IF(AS9="","",AS9/AP$2/3)</f>
        <v/>
      </c>
      <c r="AU9" s="1">
        <f>IF(AS9="","", 100*_xlfn.STDEV.P(AS8:AS9)/AVERAGE(AS8:AS9))</f>
        <v/>
      </c>
      <c r="AV9" s="8">
        <f t="array" ref="AV9">IF(AS9="","", IFERROR(((IF(AS$5&lt;&gt;"", AS$5*AK$5, 0) + SUMPRODUCT(--(AS$6:AS9&lt;&gt;""), AS$6:AS9, (AK$6:AK9-AK$5:AK8)))/1000)/AR$3, ""))</f>
        <v/>
      </c>
      <c r="AW9" s="1">
        <f>AW8+5</f>
        <v/>
      </c>
      <c r="AX9" s="1">
        <f>AY8</f>
        <v/>
      </c>
      <c r="BA9" t="inlineStr">
        <is>
          <t>60mL/3s/30s</t>
        </is>
      </c>
      <c r="BE9" s="1">
        <f>IF(AY9="", "", (AX9-AY9)*1000/(AW9-AW8))</f>
        <v/>
      </c>
      <c r="BF9" s="1">
        <f>IF(BE9="","",BE9/BB$2/3)</f>
        <v/>
      </c>
      <c r="BG9" s="1">
        <f>IF(BE9="","", 100*_xlfn.STDEV.P(BE8:BE9)/AVERAGE(BE8:BE9))</f>
        <v/>
      </c>
      <c r="BH9" s="8">
        <f t="array" ref="BH9">IF(BE9="","", IFERROR(((IF(BE$5&lt;&gt;"", BE$5*AW$5, 0) + SUMPRODUCT(--(BE$6:BE9&lt;&gt;""), BE$6:BE9, (AW$6:AW9-AW$5:AW8)))/1000)/BD$3, ""))</f>
        <v/>
      </c>
      <c r="BI9" s="1">
        <f>BI8+5</f>
        <v/>
      </c>
      <c r="BJ9" s="1">
        <f>BK8</f>
        <v/>
      </c>
      <c r="BM9" t="inlineStr">
        <is>
          <t>60mL/3s/30s</t>
        </is>
      </c>
      <c r="BQ9" s="1">
        <f>IF(BK9="", "", (BJ9-BK9)*1000/(BI9-BI8))</f>
        <v/>
      </c>
      <c r="BR9" s="1">
        <f>IF(BQ9="","",BQ9/BN$2/3)</f>
        <v/>
      </c>
      <c r="BS9" s="1">
        <f>IF(BQ9="","", 100*_xlfn.STDEV.P(BQ8:BQ9)/AVERAGE(BQ8:BQ9))</f>
        <v/>
      </c>
      <c r="BT9" s="8">
        <f t="array" ref="BT9">IF(BQ9="","", IFERROR(((IF(BQ$5&lt;&gt;"", BQ$5*BI$5, 0) + SUMPRODUCT(--(BQ$6:BQ9&lt;&gt;""), BQ$6:BQ9, (BI$6:BI9-BI$5:BI8)))/1000)/BP$3, ""))</f>
        <v/>
      </c>
    </row>
    <row r="10">
      <c r="L10" s="8" t="n"/>
      <c r="X10" s="8" t="n"/>
      <c r="AJ10" s="8" t="n"/>
      <c r="AV10" s="8" t="n"/>
      <c r="BH10" s="8" t="n"/>
      <c r="BT10" s="8" t="n"/>
    </row>
    <row r="11">
      <c r="L11" s="8" t="n"/>
      <c r="X11" s="8" t="n"/>
      <c r="AJ11" s="8" t="n"/>
      <c r="AV11" s="8" t="n"/>
      <c r="BH11" s="8" t="n"/>
      <c r="BT11" s="8" t="n"/>
    </row>
    <row r="12">
      <c r="L12" s="8" t="n"/>
      <c r="X12" s="8" t="n"/>
      <c r="AJ12" s="8" t="n"/>
      <c r="AV12" s="8" t="n"/>
      <c r="BH12" s="8" t="n"/>
      <c r="BT12" s="8" t="n"/>
    </row>
    <row r="13">
      <c r="L13" s="8" t="n"/>
      <c r="X13" s="8" t="n"/>
      <c r="AJ13" s="8" t="n"/>
      <c r="AV13" s="8" t="n"/>
      <c r="BH13" s="8" t="n"/>
      <c r="BT13" s="8" t="n"/>
    </row>
    <row r="14">
      <c r="L14" s="8" t="n"/>
      <c r="X14" s="8" t="n"/>
      <c r="AJ14" s="8" t="n"/>
      <c r="AV14" s="8" t="n"/>
      <c r="BH14" s="8" t="n"/>
      <c r="BT14" s="8" t="n"/>
    </row>
    <row r="15">
      <c r="L15" s="8" t="n"/>
      <c r="X15" s="8" t="n"/>
      <c r="AJ15" s="8" t="n"/>
      <c r="AV15" s="8" t="n"/>
      <c r="BH15" s="8" t="n"/>
      <c r="BT15" s="8" t="n"/>
    </row>
    <row r="16">
      <c r="L16" s="8" t="n"/>
      <c r="X16" s="8" t="n"/>
      <c r="AJ16" s="8" t="n"/>
      <c r="AV16" s="8" t="n"/>
      <c r="BH16" s="8" t="n"/>
      <c r="BT16" s="8" t="n"/>
    </row>
    <row r="17">
      <c r="L17" s="8" t="n"/>
      <c r="X17" s="8" t="n"/>
      <c r="AJ17" s="8" t="n"/>
      <c r="AV17" s="8" t="n"/>
      <c r="BH17" s="8" t="n"/>
      <c r="BT17" s="8" t="n"/>
    </row>
    <row r="18">
      <c r="L18" s="8" t="n"/>
      <c r="X18" s="8" t="n"/>
      <c r="AJ18" s="8" t="n"/>
      <c r="AV18" s="8" t="n"/>
      <c r="BH18" s="8" t="n"/>
      <c r="BT18" s="8" t="n"/>
    </row>
    <row r="19">
      <c r="L19" s="8" t="n"/>
      <c r="X19" s="8" t="n"/>
      <c r="AJ19" s="8" t="n"/>
      <c r="AV19" s="8" t="n"/>
      <c r="BH19" s="8" t="n"/>
      <c r="BT19" s="8" t="n"/>
    </row>
    <row r="20">
      <c r="L20" s="8" t="n"/>
      <c r="X20" s="8" t="n"/>
      <c r="AJ20" s="8" t="n"/>
      <c r="AV20" s="8" t="n"/>
      <c r="BH20" s="8" t="n"/>
      <c r="BT20" s="8" t="n"/>
    </row>
    <row r="21">
      <c r="L21" s="8" t="n"/>
      <c r="X21" s="8" t="n"/>
      <c r="AJ21" s="8" t="n"/>
      <c r="AV21" s="8" t="n"/>
      <c r="BH21" s="8" t="n"/>
      <c r="BT21" s="8" t="n"/>
    </row>
    <row r="22">
      <c r="L22" s="8" t="n"/>
      <c r="X22" s="8" t="n"/>
      <c r="AJ22" s="8" t="n"/>
      <c r="AV22" s="8" t="n"/>
      <c r="BH22" s="8" t="n"/>
      <c r="BT22" s="8" t="n"/>
    </row>
    <row r="23">
      <c r="L23" s="8" t="n"/>
      <c r="X23" s="8" t="n"/>
      <c r="AJ23" s="8" t="n"/>
      <c r="AV23" s="8" t="n"/>
      <c r="BH23" s="8" t="n"/>
      <c r="BT23" s="8" t="n"/>
    </row>
    <row r="24">
      <c r="L24" s="8" t="n"/>
      <c r="X24" s="8" t="n"/>
      <c r="AJ24" s="8" t="n"/>
      <c r="AV24" s="8" t="n"/>
      <c r="BH24" s="8" t="n"/>
      <c r="BT24" s="8" t="n"/>
    </row>
    <row r="25">
      <c r="L25" s="8" t="n"/>
      <c r="X25" s="8" t="n"/>
      <c r="AJ25" s="8" t="n"/>
      <c r="AV25" s="8" t="n"/>
      <c r="BH25" s="8" t="n"/>
      <c r="BT25" s="8" t="n"/>
    </row>
    <row r="26">
      <c r="L26" s="8" t="n"/>
      <c r="X26" s="8" t="n"/>
      <c r="AJ26" s="8" t="n"/>
      <c r="AV26" s="8" t="n"/>
      <c r="BH26" s="8" t="n"/>
      <c r="BT26" s="8" t="n"/>
    </row>
    <row r="27">
      <c r="L27" s="8" t="n"/>
      <c r="X27" s="8" t="n"/>
      <c r="AJ27" s="8" t="n"/>
      <c r="AV27" s="8" t="n"/>
      <c r="BH27" s="8" t="n"/>
      <c r="BT27" s="8" t="n"/>
    </row>
    <row r="28">
      <c r="L28" s="8" t="n"/>
      <c r="X28" s="8" t="n"/>
      <c r="AJ28" s="8" t="n"/>
      <c r="AV28" s="8" t="n"/>
      <c r="BH28" s="8" t="n"/>
      <c r="BT28" s="8" t="n"/>
    </row>
    <row r="29">
      <c r="F29" s="9" t="n"/>
      <c r="G29" s="9" t="n"/>
      <c r="H29" s="9" t="n"/>
      <c r="L29" s="8" t="n"/>
      <c r="R29" s="9" t="n"/>
      <c r="S29" s="9" t="n"/>
      <c r="T29" s="9" t="n"/>
      <c r="X29" s="8" t="n"/>
      <c r="AD29" s="9" t="n"/>
      <c r="AE29" s="9" t="n"/>
      <c r="AF29" s="9" t="n"/>
      <c r="AJ29" s="8" t="n"/>
      <c r="AP29" s="9" t="n"/>
      <c r="AQ29" s="9" t="n"/>
      <c r="AR29" s="9" t="n"/>
      <c r="AV29" s="8" t="n"/>
      <c r="BB29" s="9" t="n"/>
      <c r="BC29" s="9" t="n"/>
      <c r="BD29" s="9" t="n"/>
      <c r="BH29" s="8" t="n"/>
      <c r="BN29" s="9" t="n"/>
      <c r="BO29" s="9" t="n"/>
      <c r="BP29" s="9" t="n"/>
      <c r="BT29" s="8" t="n"/>
    </row>
    <row r="30">
      <c r="L30" s="8" t="n"/>
      <c r="X30" s="8" t="n"/>
      <c r="AJ30" s="8" t="n"/>
      <c r="AV30" s="8" t="n"/>
      <c r="BH30" s="8" t="n"/>
      <c r="BT30" s="8" t="n"/>
    </row>
    <row r="31">
      <c r="L31" s="8" t="n"/>
      <c r="X31" s="8" t="n"/>
      <c r="AJ31" s="8" t="n"/>
      <c r="AV31" s="8" t="n"/>
      <c r="BH31" s="8" t="n"/>
      <c r="BT31" s="8" t="n"/>
    </row>
    <row r="32">
      <c r="L32" s="8" t="n"/>
      <c r="X32" s="8" t="n"/>
      <c r="AJ32" s="8" t="n"/>
      <c r="AV32" s="8" t="n"/>
      <c r="BH32" s="8" t="n"/>
      <c r="BT32" s="8" t="n"/>
    </row>
    <row r="33">
      <c r="L33" s="8" t="n"/>
      <c r="X33" s="8" t="n"/>
      <c r="AJ33" s="8" t="n"/>
      <c r="AV33" s="8" t="n"/>
      <c r="BH33" s="8" t="n"/>
      <c r="BT33" s="8" t="n"/>
    </row>
    <row r="34">
      <c r="L34" s="8" t="n"/>
      <c r="X34" s="8" t="n"/>
      <c r="AJ34" s="8" t="n"/>
      <c r="AV34" s="8" t="n"/>
      <c r="BH34" s="8" t="n"/>
      <c r="BT34" s="8" t="n"/>
    </row>
    <row r="35">
      <c r="L35" s="8" t="n"/>
      <c r="X35" s="8" t="n"/>
      <c r="AJ35" s="8" t="n"/>
      <c r="AV35" s="8" t="n"/>
      <c r="BH35" s="8" t="n"/>
      <c r="BT35" s="8" t="n"/>
    </row>
    <row r="36">
      <c r="L36" s="8" t="n"/>
      <c r="X36" s="8" t="n"/>
      <c r="AJ36" s="8" t="n"/>
      <c r="AV36" s="8" t="n"/>
      <c r="BH36" s="8" t="n"/>
      <c r="BT36" s="8" t="n"/>
    </row>
    <row r="37">
      <c r="L37" s="8" t="n"/>
      <c r="X37" s="8" t="n"/>
      <c r="AJ37" s="8" t="n"/>
      <c r="AV37" s="8" t="n"/>
      <c r="BH37" s="8" t="n"/>
      <c r="BT37" s="8" t="n"/>
    </row>
    <row r="38">
      <c r="L38" s="8" t="n"/>
      <c r="X38" s="8" t="n"/>
      <c r="AJ38" s="8" t="n"/>
      <c r="AV38" s="8" t="n"/>
      <c r="BH38" s="8" t="n"/>
      <c r="BT38" s="8" t="n"/>
    </row>
    <row r="39">
      <c r="L39" s="8" t="n"/>
      <c r="X39" s="8" t="n"/>
      <c r="AJ39" s="8" t="n"/>
      <c r="AV39" s="8" t="n"/>
      <c r="BH39" s="8" t="n"/>
      <c r="BT39" s="8" t="n"/>
    </row>
    <row r="40">
      <c r="L40" s="8" t="n"/>
      <c r="X40" s="8" t="n"/>
      <c r="AJ40" s="8" t="n"/>
      <c r="AV40" s="8" t="n"/>
      <c r="BH40" s="8" t="n"/>
      <c r="BT40" s="8" t="n"/>
    </row>
    <row r="41">
      <c r="L41" s="8" t="n"/>
      <c r="X41" s="8" t="n"/>
      <c r="AJ41" s="8" t="n"/>
      <c r="AV41" s="8" t="n"/>
      <c r="BH41" s="8" t="n"/>
      <c r="BT41" s="8" t="n"/>
    </row>
    <row r="42">
      <c r="L42" s="8" t="n"/>
      <c r="X42" s="8" t="n"/>
      <c r="AJ42" s="8" t="n"/>
      <c r="AV42" s="8" t="n"/>
      <c r="BH42" s="8" t="n"/>
      <c r="BT42" s="8" t="n"/>
    </row>
    <row r="43">
      <c r="L43" s="8" t="n"/>
      <c r="X43" s="8" t="n"/>
      <c r="AJ43" s="8" t="n"/>
      <c r="AV43" s="8" t="n"/>
      <c r="BH43" s="8" t="n"/>
      <c r="BT43" s="8" t="n"/>
    </row>
    <row r="44">
      <c r="L44" s="8" t="n"/>
      <c r="X44" s="8" t="n"/>
      <c r="AJ44" s="8" t="n"/>
      <c r="AV44" s="8" t="n"/>
      <c r="BH44" s="8" t="n"/>
      <c r="BT44" s="8" t="n"/>
    </row>
    <row r="45">
      <c r="L45" s="8" t="n"/>
      <c r="X45" s="8" t="n"/>
      <c r="AJ45" s="8" t="n"/>
      <c r="AV45" s="8" t="n"/>
      <c r="BH45" s="8" t="n"/>
      <c r="BT45" s="8" t="n"/>
    </row>
    <row r="46">
      <c r="L46" s="8" t="n"/>
      <c r="X46" s="8" t="n"/>
      <c r="AJ46" s="8" t="n"/>
      <c r="AV46" s="8" t="n"/>
      <c r="BH46" s="8" t="n"/>
      <c r="BT46" s="8" t="n"/>
    </row>
    <row r="47">
      <c r="L47" s="8" t="n"/>
      <c r="X47" s="8" t="n"/>
      <c r="AJ47" s="8" t="n"/>
      <c r="AV47" s="8" t="n"/>
      <c r="BH47" s="8" t="n"/>
      <c r="BT47" s="8" t="n"/>
    </row>
    <row r="48">
      <c r="L48" s="8" t="n"/>
      <c r="X48" s="8" t="n"/>
      <c r="AJ48" s="8" t="n"/>
      <c r="AV48" s="8" t="n"/>
      <c r="BH48" s="8" t="n"/>
      <c r="BT48" s="8" t="n"/>
    </row>
    <row r="49">
      <c r="L49" s="8" t="n"/>
      <c r="X49" s="8" t="n"/>
      <c r="AJ49" s="8" t="n"/>
      <c r="AV49" s="8" t="n"/>
      <c r="BH49" s="8" t="n"/>
      <c r="BT49" s="8" t="n"/>
    </row>
    <row r="50">
      <c r="L50" s="8" t="n"/>
      <c r="X50" s="8" t="n"/>
      <c r="AJ50" s="8" t="n"/>
      <c r="AV50" s="8" t="n"/>
      <c r="BH50" s="8" t="n"/>
      <c r="BT50" s="8" t="n"/>
    </row>
    <row r="51">
      <c r="L51" s="8" t="n"/>
      <c r="X51" s="8" t="n"/>
      <c r="AJ51" s="8" t="n"/>
      <c r="AV51" s="8" t="n"/>
      <c r="BH51" s="8" t="n"/>
      <c r="BT51" s="8" t="n"/>
    </row>
    <row r="52">
      <c r="L52" s="8" t="n"/>
      <c r="X52" s="8" t="n"/>
      <c r="AJ52" s="8" t="n"/>
      <c r="AV52" s="8" t="n"/>
      <c r="BH52" s="8" t="n"/>
      <c r="BT52" s="8" t="n"/>
    </row>
    <row r="53">
      <c r="L53" s="8" t="n"/>
      <c r="X53" s="8" t="n"/>
      <c r="AJ53" s="8" t="n"/>
      <c r="AV53" s="8" t="n"/>
      <c r="BH53" s="8" t="n"/>
      <c r="BT53" s="8" t="n"/>
    </row>
    <row r="54">
      <c r="L54" s="8" t="n"/>
      <c r="X54" s="8" t="n"/>
      <c r="AJ54" s="8" t="n"/>
      <c r="AV54" s="8" t="n"/>
      <c r="BH54" s="8" t="n"/>
      <c r="BT54" s="8" t="n"/>
    </row>
    <row r="55">
      <c r="L55" s="8" t="n"/>
      <c r="X55" s="8" t="n"/>
      <c r="AJ55" s="8" t="n"/>
      <c r="AV55" s="8" t="n"/>
      <c r="BH55" s="8" t="n"/>
      <c r="BT55" s="8" t="n"/>
    </row>
    <row r="56">
      <c r="L56" s="8" t="n"/>
      <c r="X56" s="8" t="n"/>
      <c r="AJ56" s="8" t="n"/>
      <c r="AV56" s="8" t="n"/>
      <c r="BH56" s="8" t="n"/>
      <c r="BT56" s="8" t="n"/>
    </row>
    <row r="57">
      <c r="L57" s="8" t="n"/>
      <c r="X57" s="8" t="n"/>
      <c r="AJ57" s="8" t="n"/>
      <c r="AV57" s="8" t="n"/>
      <c r="BH57" s="8" t="n"/>
      <c r="BT57" s="8" t="n"/>
    </row>
    <row r="58">
      <c r="L58" s="8" t="n"/>
      <c r="X58" s="8" t="n"/>
      <c r="AJ58" s="8" t="n"/>
      <c r="AV58" s="8" t="n"/>
      <c r="BH58" s="8" t="n"/>
      <c r="BT58" s="8" t="n"/>
    </row>
    <row r="59">
      <c r="L59" s="8" t="n"/>
      <c r="X59" s="8" t="n"/>
      <c r="AJ59" s="8" t="n"/>
      <c r="AV59" s="8" t="n"/>
      <c r="BH59" s="8" t="n"/>
      <c r="BT59" s="8" t="n"/>
    </row>
    <row r="60">
      <c r="L60" s="8" t="n"/>
      <c r="X60" s="8" t="n"/>
      <c r="AJ60" s="8" t="n"/>
      <c r="AV60" s="8" t="n"/>
      <c r="BH60" s="8" t="n"/>
      <c r="BT60" s="8" t="n"/>
    </row>
    <row r="61">
      <c r="L61" s="8" t="n"/>
      <c r="X61" s="8" t="n"/>
      <c r="AJ61" s="8" t="n"/>
      <c r="AV61" s="8" t="n"/>
      <c r="BH61" s="8" t="n"/>
      <c r="BT61" s="8" t="n"/>
    </row>
    <row r="62">
      <c r="L62" s="8" t="n"/>
      <c r="X62" s="8" t="n"/>
      <c r="AJ62" s="8" t="n"/>
      <c r="AV62" s="8" t="n"/>
      <c r="BH62" s="8" t="n"/>
      <c r="BT62" s="8" t="n"/>
    </row>
    <row r="63">
      <c r="L63" s="8" t="n"/>
      <c r="X63" s="8" t="n"/>
      <c r="AJ63" s="8" t="n"/>
      <c r="AV63" s="8" t="n"/>
      <c r="BH63" s="8" t="n"/>
      <c r="BT63" s="8" t="n"/>
    </row>
    <row r="64">
      <c r="L64" s="8" t="n"/>
      <c r="X64" s="8" t="n"/>
      <c r="AJ64" s="8" t="n"/>
      <c r="AV64" s="8" t="n"/>
      <c r="BH64" s="8" t="n"/>
      <c r="BT64" s="8" t="n"/>
    </row>
    <row r="65">
      <c r="L65" s="8" t="n"/>
      <c r="X65" s="8" t="n"/>
      <c r="AJ65" s="8" t="n"/>
      <c r="AV65" s="8" t="n"/>
      <c r="BH65" s="8" t="n"/>
      <c r="BT65" s="8" t="n"/>
    </row>
    <row r="66">
      <c r="L66" s="8" t="n"/>
      <c r="X66" s="8" t="n"/>
      <c r="AJ66" s="8" t="n"/>
      <c r="AV66" s="8" t="n"/>
      <c r="BH66" s="8" t="n"/>
      <c r="BT66" s="8" t="n"/>
    </row>
    <row r="67">
      <c r="L67" s="8" t="n"/>
      <c r="X67" s="8" t="n"/>
      <c r="AJ67" s="8" t="n"/>
      <c r="AV67" s="8" t="n"/>
      <c r="BH67" s="8" t="n"/>
      <c r="BT67" s="8" t="n"/>
    </row>
    <row r="68">
      <c r="L68" s="8" t="n"/>
      <c r="X68" s="8" t="n"/>
      <c r="AJ68" s="8" t="n"/>
      <c r="AV68" s="8" t="n"/>
      <c r="BH68" s="8" t="n"/>
      <c r="BT68" s="8" t="n"/>
    </row>
    <row r="69">
      <c r="L69" s="8" t="n"/>
      <c r="X69" s="8" t="n"/>
      <c r="AJ69" s="8" t="n"/>
      <c r="AV69" s="8" t="n"/>
      <c r="BH69" s="8" t="n"/>
      <c r="BT69" s="8" t="n"/>
    </row>
    <row r="70">
      <c r="L70" s="8" t="n"/>
      <c r="X70" s="8" t="n"/>
      <c r="AJ70" s="8" t="n"/>
      <c r="AV70" s="8" t="n"/>
      <c r="BH70" s="8" t="n"/>
      <c r="BT70" s="8" t="n"/>
    </row>
    <row r="71">
      <c r="L71" s="8" t="n"/>
      <c r="X71" s="8" t="n"/>
      <c r="AJ71" s="8" t="n"/>
      <c r="AV71" s="8" t="n"/>
      <c r="BH71" s="8" t="n"/>
      <c r="BT71" s="8" t="n"/>
    </row>
    <row r="72">
      <c r="L72" s="8" t="n"/>
      <c r="X72" s="8" t="n"/>
      <c r="AJ72" s="8" t="n"/>
      <c r="AV72" s="8" t="n"/>
      <c r="BH72" s="8" t="n"/>
      <c r="BT72" s="8" t="n"/>
    </row>
    <row r="73">
      <c r="L73" s="8" t="n"/>
      <c r="X73" s="8" t="n"/>
      <c r="AJ73" s="8" t="n"/>
      <c r="AV73" s="8" t="n"/>
      <c r="BH73" s="8" t="n"/>
      <c r="BT73" s="8" t="n"/>
    </row>
    <row r="74">
      <c r="L74" s="8" t="n"/>
      <c r="X74" s="8" t="n"/>
      <c r="AJ74" s="8" t="n"/>
      <c r="AV74" s="8" t="n"/>
      <c r="BH74" s="8" t="n"/>
      <c r="BT74" s="8" t="n"/>
    </row>
    <row r="75">
      <c r="L75" s="8" t="n"/>
      <c r="X75" s="8" t="n"/>
      <c r="AJ75" s="8" t="n"/>
      <c r="AV75" s="8" t="n"/>
      <c r="BH75" s="8" t="n"/>
      <c r="BT75" s="8" t="n"/>
    </row>
    <row r="76">
      <c r="L76" s="8" t="n"/>
      <c r="X76" s="8" t="n"/>
      <c r="AJ76" s="8" t="n"/>
      <c r="AV76" s="8" t="n"/>
      <c r="BH76" s="8" t="n"/>
      <c r="BT76" s="8" t="n"/>
    </row>
    <row r="77">
      <c r="L77" s="8" t="n"/>
      <c r="X77" s="8" t="n"/>
      <c r="AJ77" s="8" t="n"/>
      <c r="AV77" s="8" t="n"/>
      <c r="BH77" s="8" t="n"/>
      <c r="BT77" s="8" t="n"/>
    </row>
    <row r="78">
      <c r="L78" s="8" t="n"/>
      <c r="X78" s="8" t="n"/>
      <c r="AJ78" s="8" t="n"/>
      <c r="AV78" s="8" t="n"/>
      <c r="BH78" s="8" t="n"/>
      <c r="BT78" s="8" t="n"/>
    </row>
    <row r="79">
      <c r="L79" s="8" t="n"/>
      <c r="X79" s="8" t="n"/>
      <c r="AJ79" s="8" t="n"/>
      <c r="AV79" s="8" t="n"/>
      <c r="BH79" s="8" t="n"/>
      <c r="BT79" s="8" t="n"/>
    </row>
    <row r="80">
      <c r="L80" s="8" t="n"/>
      <c r="X80" s="8" t="n"/>
      <c r="AJ80" s="8" t="n"/>
      <c r="AV80" s="8" t="n"/>
      <c r="BH80" s="8" t="n"/>
      <c r="BT80" s="8" t="n"/>
    </row>
    <row r="81">
      <c r="L81" s="8" t="n"/>
      <c r="X81" s="8" t="n"/>
      <c r="AJ81" s="8" t="n"/>
      <c r="AV81" s="8" t="n"/>
      <c r="BH81" s="8" t="n"/>
      <c r="BT81" s="8" t="n"/>
    </row>
    <row r="82">
      <c r="L82" s="8" t="n"/>
      <c r="X82" s="8" t="n"/>
      <c r="AJ82" s="8" t="n"/>
      <c r="AV82" s="8" t="n"/>
      <c r="BH82" s="8" t="n"/>
      <c r="BT82" s="8" t="n"/>
    </row>
    <row r="83">
      <c r="L83" s="8" t="n"/>
      <c r="X83" s="8" t="n"/>
      <c r="AJ83" s="8" t="n"/>
      <c r="AV83" s="8" t="n"/>
      <c r="BH83" s="8" t="n"/>
      <c r="BT83" s="8" t="n"/>
    </row>
    <row r="84">
      <c r="L84" s="8" t="n"/>
      <c r="X84" s="8" t="n"/>
      <c r="AJ84" s="8" t="n"/>
      <c r="AV84" s="8" t="n"/>
      <c r="BH84" s="8" t="n"/>
      <c r="BT84" s="8" t="n"/>
    </row>
    <row r="85">
      <c r="L85" s="8" t="n"/>
      <c r="X85" s="8" t="n"/>
      <c r="AJ85" s="8" t="n"/>
      <c r="AV85" s="8" t="n"/>
      <c r="BH85" s="8" t="n"/>
      <c r="BT85" s="8" t="n"/>
    </row>
    <row r="86">
      <c r="L86" s="8" t="n"/>
      <c r="X86" s="8" t="n"/>
      <c r="AJ86" s="8" t="n"/>
      <c r="AV86" s="8" t="n"/>
      <c r="BH86" s="8" t="n"/>
      <c r="BT86" s="8" t="n"/>
    </row>
    <row r="87">
      <c r="L87" s="8" t="n"/>
      <c r="X87" s="8" t="n"/>
      <c r="AJ87" s="8" t="n"/>
      <c r="AV87" s="8" t="n"/>
      <c r="BH87" s="8" t="n"/>
      <c r="BT87" s="8" t="n"/>
    </row>
    <row r="88">
      <c r="L88" s="8" t="n"/>
      <c r="X88" s="8" t="n"/>
      <c r="AJ88" s="8" t="n"/>
      <c r="AV88" s="8" t="n"/>
      <c r="BH88" s="8" t="n"/>
      <c r="BT88" s="8" t="n"/>
    </row>
    <row r="89">
      <c r="L89" s="8" t="n"/>
      <c r="X89" s="8" t="n"/>
      <c r="AJ89" s="8" t="n"/>
      <c r="AV89" s="8" t="n"/>
      <c r="BH89" s="8" t="n"/>
      <c r="BT89" s="8" t="n"/>
    </row>
    <row r="90">
      <c r="L90" s="8" t="n"/>
      <c r="X90" s="8" t="n"/>
      <c r="AJ90" s="8" t="n"/>
      <c r="AV90" s="8" t="n"/>
      <c r="BH90" s="8" t="n"/>
      <c r="BT90" s="8" t="n"/>
    </row>
    <row r="91">
      <c r="L91" s="8" t="n"/>
      <c r="X91" s="8" t="n"/>
      <c r="AJ91" s="8" t="n"/>
      <c r="AV91" s="8" t="n"/>
      <c r="BH91" s="8" t="n"/>
      <c r="BT91" s="8" t="n"/>
    </row>
    <row r="92">
      <c r="L92" s="8" t="n"/>
      <c r="X92" s="8" t="n"/>
      <c r="AJ92" s="8" t="n"/>
      <c r="AV92" s="8" t="n"/>
      <c r="BH92" s="8" t="n"/>
      <c r="BT92" s="8" t="n"/>
    </row>
    <row r="93">
      <c r="L93" s="8" t="n"/>
      <c r="X93" s="8" t="n"/>
      <c r="AJ93" s="8" t="n"/>
      <c r="AV93" s="8" t="n"/>
      <c r="BH93" s="8" t="n"/>
      <c r="BT93" s="8" t="n"/>
    </row>
    <row r="94">
      <c r="L94" s="8" t="n"/>
      <c r="X94" s="8" t="n"/>
      <c r="AJ94" s="8" t="n"/>
      <c r="AV94" s="8" t="n"/>
      <c r="BH94" s="8" t="n"/>
      <c r="BT94" s="8" t="n"/>
    </row>
    <row r="95">
      <c r="L95" s="8" t="n"/>
      <c r="X95" s="8" t="n"/>
      <c r="AJ95" s="8" t="n"/>
      <c r="AV95" s="8" t="n"/>
      <c r="BH95" s="8" t="n"/>
      <c r="BT95" s="8" t="n"/>
    </row>
    <row r="96">
      <c r="L96" s="8" t="n"/>
      <c r="X96" s="8" t="n"/>
      <c r="AJ96" s="8" t="n"/>
      <c r="AV96" s="8" t="n"/>
      <c r="BH96" s="8" t="n"/>
      <c r="BT96" s="8" t="n"/>
    </row>
    <row r="97">
      <c r="L97" s="8" t="n"/>
      <c r="X97" s="8" t="n"/>
      <c r="AJ97" s="8" t="n"/>
      <c r="AV97" s="8" t="n"/>
      <c r="BH97" s="8" t="n"/>
      <c r="BT97" s="8" t="n"/>
    </row>
    <row r="98">
      <c r="L98" s="8" t="n"/>
      <c r="X98" s="8" t="n"/>
      <c r="AJ98" s="8" t="n"/>
      <c r="AV98" s="8" t="n"/>
      <c r="BH98" s="8" t="n"/>
      <c r="BT98" s="8" t="n"/>
    </row>
    <row r="99">
      <c r="L99" s="8" t="n"/>
      <c r="X99" s="8" t="n"/>
      <c r="AJ99" s="8" t="n"/>
      <c r="AV99" s="8" t="n"/>
      <c r="BH99" s="8" t="n"/>
      <c r="BT99" s="8" t="n"/>
    </row>
    <row r="100">
      <c r="L100" s="8" t="n"/>
      <c r="X100" s="8" t="n"/>
      <c r="AJ100" s="8" t="n"/>
      <c r="AV100" s="8" t="n"/>
      <c r="BH100" s="8" t="n"/>
      <c r="BT100" s="8" t="n"/>
    </row>
    <row r="101">
      <c r="L101" s="8" t="n"/>
      <c r="X101" s="8" t="n"/>
      <c r="AJ101" s="8" t="n"/>
      <c r="AV101" s="8" t="n"/>
      <c r="BH101" s="8" t="n"/>
      <c r="BT101" s="8" t="n"/>
    </row>
    <row r="102">
      <c r="L102" s="8" t="n"/>
      <c r="X102" s="8" t="n"/>
      <c r="AJ102" s="8" t="n"/>
      <c r="AV102" s="8" t="n"/>
      <c r="BH102" s="8" t="n"/>
      <c r="BT102" s="8" t="n"/>
    </row>
    <row r="103">
      <c r="L103" s="8" t="n"/>
      <c r="X103" s="8" t="n"/>
      <c r="AJ103" s="8" t="n"/>
      <c r="AV103" s="8" t="n"/>
      <c r="BH103" s="8" t="n"/>
      <c r="BT103" s="8" t="n"/>
    </row>
    <row r="104">
      <c r="L104" s="8" t="n"/>
      <c r="X104" s="8" t="n"/>
      <c r="AJ104" s="8" t="n"/>
      <c r="AV104" s="8" t="n"/>
      <c r="BH104" s="8" t="n"/>
      <c r="BT104" s="8" t="n"/>
    </row>
    <row r="105">
      <c r="L105" s="8" t="n"/>
      <c r="X105" s="8" t="n"/>
      <c r="AJ105" s="8" t="n"/>
      <c r="AV105" s="8" t="n"/>
      <c r="BH105" s="8" t="n"/>
      <c r="BT105" s="8" t="n"/>
    </row>
    <row r="106">
      <c r="L106" s="8" t="n"/>
      <c r="X106" s="8" t="n"/>
      <c r="AJ106" s="8" t="n"/>
      <c r="AV106" s="8" t="n"/>
      <c r="BH106" s="8" t="n"/>
      <c r="BT106" s="8" t="n"/>
    </row>
    <row r="107">
      <c r="L107" s="8" t="n"/>
      <c r="X107" s="8" t="n"/>
      <c r="AJ107" s="8" t="n"/>
      <c r="AV107" s="8" t="n"/>
      <c r="BH107" s="8" t="n"/>
      <c r="BT107" s="8" t="n"/>
    </row>
    <row r="108">
      <c r="L108" s="8" t="n"/>
      <c r="X108" s="8" t="n"/>
      <c r="AJ108" s="8" t="n"/>
      <c r="AV108" s="8" t="n"/>
      <c r="BH108" s="8" t="n"/>
      <c r="BT108" s="8" t="n"/>
    </row>
    <row r="109">
      <c r="L109" s="8" t="n"/>
      <c r="X109" s="8" t="n"/>
      <c r="AJ109" s="8" t="n"/>
      <c r="AV109" s="8" t="n"/>
      <c r="BH109" s="8" t="n"/>
      <c r="BT109" s="8" t="n"/>
    </row>
    <row r="110">
      <c r="L110" s="8" t="n"/>
      <c r="X110" s="8" t="n"/>
      <c r="AJ110" s="8" t="n"/>
      <c r="AV110" s="8" t="n"/>
      <c r="BH110" s="8" t="n"/>
      <c r="BT110" s="8" t="n"/>
    </row>
    <row r="111">
      <c r="L111" s="8" t="n"/>
      <c r="X111" s="8" t="n"/>
      <c r="AJ111" s="8" t="n"/>
      <c r="AV111" s="8" t="n"/>
      <c r="BH111" s="8" t="n"/>
      <c r="BT111" s="8" t="n"/>
    </row>
    <row r="112">
      <c r="L112" s="8" t="n"/>
      <c r="X112" s="8" t="n"/>
      <c r="AJ112" s="8" t="n"/>
      <c r="AV112" s="8" t="n"/>
      <c r="BH112" s="8" t="n"/>
      <c r="BT112" s="8" t="n"/>
    </row>
    <row r="113">
      <c r="L113" s="8" t="n"/>
      <c r="X113" s="8" t="n"/>
      <c r="AJ113" s="8" t="n"/>
      <c r="AV113" s="8" t="n"/>
      <c r="BH113" s="8" t="n"/>
      <c r="BT113" s="8" t="n"/>
    </row>
    <row r="114">
      <c r="L114" s="8" t="n"/>
      <c r="X114" s="8" t="n"/>
      <c r="AJ114" s="8" t="n"/>
      <c r="AV114" s="8" t="n"/>
      <c r="BH114" s="8" t="n"/>
      <c r="BT114" s="8" t="n"/>
    </row>
    <row r="115">
      <c r="L115" s="8" t="n"/>
      <c r="X115" s="8" t="n"/>
      <c r="AJ115" s="8" t="n"/>
      <c r="AV115" s="8" t="n"/>
      <c r="BH115" s="8" t="n"/>
      <c r="BT115" s="8" t="n"/>
    </row>
  </sheetData>
  <conditionalFormatting sqref="I10:J115">
    <cfRule type="containsErrors" priority="50" dxfId="0">
      <formula>ISERROR(I10)</formula>
    </cfRule>
  </conditionalFormatting>
  <conditionalFormatting sqref="I5:I9 K5:K9">
    <cfRule type="containsErrors" priority="6" dxfId="0">
      <formula>ISERROR(I5)</formula>
    </cfRule>
  </conditionalFormatting>
  <conditionalFormatting sqref="K6:K9">
    <cfRule type="cellIs" priority="54" operator="between" dxfId="29">
      <formula>0</formula>
      <formula>15</formula>
    </cfRule>
    <cfRule type="cellIs" priority="55" operator="between" dxfId="28">
      <formula>15</formula>
      <formula>25</formula>
    </cfRule>
    <cfRule type="cellIs" priority="56" operator="between" dxfId="27">
      <formula>25</formula>
      <formula>1000</formula>
    </cfRule>
  </conditionalFormatting>
  <conditionalFormatting sqref="L2:L3 U10:V115 X2:X3">
    <cfRule type="containsErrors" priority="48" dxfId="0">
      <formula>ISERROR(L2)</formula>
    </cfRule>
  </conditionalFormatting>
  <conditionalFormatting sqref="L5:L115">
    <cfRule type="containsErrors" priority="26" dxfId="0">
      <formula>ISERROR(L5)</formula>
    </cfRule>
  </conditionalFormatting>
  <conditionalFormatting sqref="U5:U9 W5:W9">
    <cfRule type="containsErrors" priority="7" dxfId="0">
      <formula>ISERROR(U5)</formula>
    </cfRule>
  </conditionalFormatting>
  <conditionalFormatting sqref="W5:W9">
    <cfRule type="containsErrors" priority="57" dxfId="30">
      <formula>ISERROR(W5)</formula>
    </cfRule>
  </conditionalFormatting>
  <conditionalFormatting sqref="W6:W9">
    <cfRule type="cellIs" priority="51" operator="between" dxfId="29">
      <formula>0</formula>
      <formula>15</formula>
    </cfRule>
    <cfRule type="cellIs" priority="52" operator="between" dxfId="28">
      <formula>15</formula>
      <formula>25</formula>
    </cfRule>
    <cfRule type="cellIs" priority="53" operator="between" dxfId="27">
      <formula>25</formula>
      <formula>1000</formula>
    </cfRule>
  </conditionalFormatting>
  <conditionalFormatting sqref="X5:X115">
    <cfRule type="containsErrors" priority="24" dxfId="0">
      <formula>ISERROR(X5)</formula>
    </cfRule>
  </conditionalFormatting>
  <conditionalFormatting sqref="AG10:AH115">
    <cfRule type="containsErrors" priority="40" dxfId="0">
      <formula>ISERROR(AG10)</formula>
    </cfRule>
  </conditionalFormatting>
  <conditionalFormatting sqref="AG5:AG9 AI5:AI9">
    <cfRule type="containsErrors" priority="8" dxfId="0">
      <formula>ISERROR(AG5)</formula>
    </cfRule>
  </conditionalFormatting>
  <conditionalFormatting sqref="AI6:AI9">
    <cfRule type="cellIs" priority="44" operator="between" dxfId="29">
      <formula>0</formula>
      <formula>15</formula>
    </cfRule>
    <cfRule type="cellIs" priority="45" operator="between" dxfId="28">
      <formula>15</formula>
      <formula>25</formula>
    </cfRule>
    <cfRule type="cellIs" priority="46" operator="between" dxfId="27">
      <formula>25</formula>
      <formula>1000</formula>
    </cfRule>
  </conditionalFormatting>
  <conditionalFormatting sqref="AJ2:AJ3 AS10:AT115 AV2:AV3">
    <cfRule type="containsErrors" priority="38" dxfId="0">
      <formula>ISERROR(AJ2)</formula>
    </cfRule>
  </conditionalFormatting>
  <conditionalFormatting sqref="AJ5:AJ115">
    <cfRule type="containsErrors" priority="22" dxfId="0">
      <formula>ISERROR(AJ5)</formula>
    </cfRule>
  </conditionalFormatting>
  <conditionalFormatting sqref="AS5:AS9 AU5:AU9">
    <cfRule type="containsErrors" priority="9" dxfId="0">
      <formula>ISERROR(AS5)</formula>
    </cfRule>
  </conditionalFormatting>
  <conditionalFormatting sqref="AU5:AU9">
    <cfRule type="containsErrors" priority="47" dxfId="30">
      <formula>ISERROR(AU5)</formula>
    </cfRule>
  </conditionalFormatting>
  <conditionalFormatting sqref="AU6:AU9">
    <cfRule type="cellIs" priority="41" operator="between" dxfId="29">
      <formula>0</formula>
      <formula>15</formula>
    </cfRule>
    <cfRule type="cellIs" priority="42" operator="between" dxfId="28">
      <formula>15</formula>
      <formula>25</formula>
    </cfRule>
    <cfRule type="cellIs" priority="43" operator="between" dxfId="27">
      <formula>25</formula>
      <formula>1000</formula>
    </cfRule>
  </conditionalFormatting>
  <conditionalFormatting sqref="AV5:AV115">
    <cfRule type="containsErrors" priority="20" dxfId="0">
      <formula>ISERROR(AV5)</formula>
    </cfRule>
  </conditionalFormatting>
  <conditionalFormatting sqref="BE10:BF115">
    <cfRule type="containsErrors" priority="30" dxfId="0">
      <formula>ISERROR(BE10)</formula>
    </cfRule>
  </conditionalFormatting>
  <conditionalFormatting sqref="BE5:BE9 BG5:BG9">
    <cfRule type="containsErrors" priority="10" dxfId="0">
      <formula>ISERROR(BE5)</formula>
    </cfRule>
  </conditionalFormatting>
  <conditionalFormatting sqref="BG6:BG9">
    <cfRule type="cellIs" priority="34" operator="between" dxfId="29">
      <formula>0</formula>
      <formula>15</formula>
    </cfRule>
    <cfRule type="cellIs" priority="35" operator="between" dxfId="28">
      <formula>15</formula>
      <formula>25</formula>
    </cfRule>
    <cfRule type="cellIs" priority="36" operator="between" dxfId="27">
      <formula>25</formula>
      <formula>1000</formula>
    </cfRule>
  </conditionalFormatting>
  <conditionalFormatting sqref="BH2:BH3 BQ5:BS9 BQ10:BR115 BT2:BT3">
    <cfRule type="containsErrors" priority="28" dxfId="0">
      <formula>ISERROR(BH2)</formula>
    </cfRule>
  </conditionalFormatting>
  <conditionalFormatting sqref="BH5:BH115">
    <cfRule type="containsErrors" priority="18" dxfId="0">
      <formula>ISERROR(BH5)</formula>
    </cfRule>
  </conditionalFormatting>
  <conditionalFormatting sqref="BS5:BS9">
    <cfRule type="containsErrors" priority="37" dxfId="30">
      <formula>ISERROR(BS5)</formula>
    </cfRule>
  </conditionalFormatting>
  <conditionalFormatting sqref="BS6:BS9">
    <cfRule type="cellIs" priority="31" operator="between" dxfId="29">
      <formula>0</formula>
      <formula>15</formula>
    </cfRule>
    <cfRule type="cellIs" priority="32" operator="between" dxfId="28">
      <formula>15</formula>
      <formula>25</formula>
    </cfRule>
    <cfRule type="cellIs" priority="33" operator="between" dxfId="27">
      <formula>25</formula>
      <formula>1000</formula>
    </cfRule>
  </conditionalFormatting>
  <conditionalFormatting sqref="BT5:BT115">
    <cfRule type="containsErrors" priority="16" dxfId="0">
      <formula>ISERROR(BT5)</formula>
    </cfRule>
  </conditionalFormatting>
  <conditionalFormatting sqref="BF5:BF9">
    <cfRule type="containsErrors" priority="5" dxfId="0">
      <formula>ISERROR(BF5)</formula>
    </cfRule>
  </conditionalFormatting>
  <conditionalFormatting sqref="AT5:AT9">
    <cfRule type="containsErrors" priority="4" dxfId="0">
      <formula>ISERROR(AT5)</formula>
    </cfRule>
  </conditionalFormatting>
  <conditionalFormatting sqref="AH5:AH9">
    <cfRule type="containsErrors" priority="3" dxfId="0">
      <formula>ISERROR(AH5)</formula>
    </cfRule>
  </conditionalFormatting>
  <conditionalFormatting sqref="V5:V9">
    <cfRule type="containsErrors" priority="2" dxfId="0">
      <formula>ISERROR(V5)</formula>
    </cfRule>
  </conditionalFormatting>
  <conditionalFormatting sqref="J5:J9">
    <cfRule type="containsErrors" priority="1" dxfId="0">
      <formula>ISERROR(J5)</formula>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R116"/>
  <sheetViews>
    <sheetView zoomScaleNormal="100" workbookViewId="0">
      <selection activeCell="E18" sqref="E18"/>
    </sheetView>
  </sheetViews>
  <sheetFormatPr baseColWidth="8" defaultRowHeight="15"/>
  <cols>
    <col width="16.710937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4.85546875" bestFit="1" customWidth="1" style="1" min="9" max="9"/>
    <col width="18" customWidth="1" style="1" min="10" max="10"/>
    <col width="12.140625" customWidth="1" style="1" min="11" max="11"/>
    <col width="14.140625" customWidth="1" style="7" min="12" max="12"/>
    <col width="17.8554687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14.85546875" bestFit="1" customWidth="1" style="1" min="21" max="21"/>
    <col width="18" customWidth="1" style="1" min="22" max="22"/>
    <col width="12.140625" customWidth="1" style="1" min="23" max="23"/>
    <col width="14.140625" customWidth="1" style="7" min="24" max="24"/>
    <col width="16" customWidth="1" style="1" min="25" max="25"/>
    <col width="12.5703125" customWidth="1" style="1" min="26" max="26"/>
    <col width="11.28515625" customWidth="1" style="1" min="27" max="27"/>
    <col width="14.28515625" customWidth="1" style="1" min="28" max="28"/>
    <col width="23" bestFit="1" customWidth="1" style="1" min="29" max="29"/>
    <col width="12.85546875" bestFit="1" customWidth="1" style="1" min="30" max="30"/>
    <col width="13" customWidth="1" style="1" min="31" max="31"/>
    <col width="39.7109375" customWidth="1" style="1" min="32" max="32"/>
    <col width="14.85546875" bestFit="1" customWidth="1" style="1" min="33" max="33"/>
    <col width="18" customWidth="1" style="1" min="34" max="34"/>
    <col width="12.140625" customWidth="1" style="1" min="35" max="35"/>
    <col width="14.140625" customWidth="1" style="7" min="36" max="36"/>
    <col width="15.7109375" customWidth="1" style="1" min="37" max="37"/>
    <col width="12.5703125" customWidth="1" style="1" min="38" max="38"/>
    <col width="10.85546875" customWidth="1" style="1" min="39" max="39"/>
    <col width="14.28515625" customWidth="1" style="1" min="40" max="40"/>
    <col width="23" bestFit="1" customWidth="1" style="1" min="41" max="41"/>
    <col width="12.85546875" bestFit="1" customWidth="1" style="1" min="42" max="42"/>
    <col width="13" customWidth="1" style="1" min="43" max="43"/>
    <col width="39.7109375" customWidth="1" style="1" min="44" max="44"/>
    <col width="14.85546875" bestFit="1" customWidth="1" style="1" min="45" max="45"/>
    <col width="18" customWidth="1" style="1" min="46" max="46"/>
    <col width="12.140625" customWidth="1" style="1" min="47" max="47"/>
    <col width="14.140625" customWidth="1" style="7" min="48" max="48"/>
    <col width="15.7109375" customWidth="1" style="1" min="49" max="49"/>
    <col width="12.5703125" customWidth="1" style="1" min="50" max="50"/>
    <col width="11.28515625" customWidth="1" style="1" min="51" max="51"/>
    <col width="14.28515625" customWidth="1" style="1" min="52" max="52"/>
    <col width="23" bestFit="1" customWidth="1" style="1" min="53" max="53"/>
    <col width="12.85546875" bestFit="1" customWidth="1" style="1" min="54" max="54"/>
    <col width="13" customWidth="1" style="1" min="55" max="55"/>
    <col width="39.7109375" customWidth="1" style="1" min="56" max="56"/>
    <col width="14.85546875" bestFit="1" customWidth="1" style="1" min="57" max="57"/>
    <col width="18" customWidth="1" style="1" min="58" max="58"/>
    <col width="12.140625" customWidth="1" style="1" min="59" max="59"/>
    <col width="14.140625" customWidth="1" style="7" min="60" max="60"/>
    <col width="16.7109375" customWidth="1" style="1" min="61" max="61"/>
    <col width="12.5703125" customWidth="1" style="1" min="62" max="62"/>
    <col width="10.85546875" customWidth="1" style="1" min="63" max="63"/>
    <col width="14.28515625" customWidth="1" style="1" min="64" max="64"/>
    <col width="23" bestFit="1" customWidth="1" style="1" min="65" max="65"/>
    <col width="12.85546875" bestFit="1" customWidth="1" style="1" min="66" max="66"/>
    <col width="13" customWidth="1" style="1" min="67" max="67"/>
    <col width="39.7109375" customWidth="1" style="1" min="68" max="68"/>
    <col width="14.85546875" bestFit="1" customWidth="1" style="1" min="69" max="69"/>
    <col width="18" customWidth="1" style="1" min="70" max="70"/>
    <col width="12.140625" customWidth="1" style="1" min="71" max="71"/>
    <col width="14.140625" customWidth="1" style="7" min="72" max="72"/>
    <col width="15" customWidth="1" style="1" min="73" max="73"/>
    <col width="12.5703125" customWidth="1" style="1" min="74" max="74"/>
    <col width="11.28515625" customWidth="1" style="1" min="75" max="75"/>
    <col width="14.28515625" customWidth="1" style="1" min="76" max="76"/>
    <col width="23" bestFit="1" customWidth="1" style="1" min="77" max="77"/>
    <col width="12.85546875" bestFit="1" customWidth="1" style="1" min="78" max="78"/>
    <col width="13" customWidth="1" style="1" min="79" max="79"/>
    <col width="39.7109375" customWidth="1" style="1" min="80" max="80"/>
    <col width="14.85546875" bestFit="1" customWidth="1" style="1" min="81" max="81"/>
    <col width="18" customWidth="1" style="1" min="82" max="82"/>
    <col width="12.140625" customWidth="1" style="1" min="83" max="83"/>
    <col width="14.140625" customWidth="1" style="7" min="84" max="84"/>
    <col width="18.140625" customWidth="1" style="1" min="85" max="85"/>
    <col width="12.5703125" customWidth="1" style="1" min="86" max="86"/>
    <col width="10.85546875" customWidth="1" style="1" min="87" max="87"/>
    <col width="14.28515625" customWidth="1" style="1" min="88" max="88"/>
    <col width="23" bestFit="1" customWidth="1" style="1" min="89" max="89"/>
    <col width="12.85546875" bestFit="1" customWidth="1" style="1" min="90" max="90"/>
    <col width="13" customWidth="1" style="1" min="91" max="91"/>
    <col width="39.7109375" customWidth="1" style="1" min="92" max="92"/>
    <col width="14.85546875" bestFit="1" customWidth="1" style="1" min="93" max="93"/>
    <col width="18" customWidth="1" style="1" min="94" max="94"/>
    <col width="12.140625" customWidth="1" style="1" min="95" max="95"/>
    <col width="14.140625" customWidth="1" style="7" min="96" max="96"/>
    <col width="9.140625" customWidth="1" style="1" min="97" max="16384"/>
  </cols>
  <sheetData>
    <row r="1" ht="45" customFormat="1" customHeight="1" s="27">
      <c r="A1" s="3" t="inlineStr">
        <is>
          <t>Viscosity Compatibility Test</t>
        </is>
      </c>
      <c r="C1" s="4" t="inlineStr">
        <is>
          <t>Date:</t>
        </is>
      </c>
      <c r="E1" s="4" t="inlineStr">
        <is>
          <t>Sample ID:</t>
        </is>
      </c>
      <c r="G1" s="4" t="inlineStr">
        <is>
          <t>Heating Technology:</t>
        </is>
      </c>
      <c r="J1" s="4" t="inlineStr">
        <is>
          <t>Did this burn?</t>
        </is>
      </c>
      <c r="L1" s="6" t="inlineStr">
        <is>
          <t>Average TPM and Standard deviation</t>
        </is>
      </c>
      <c r="M1" s="3" t="inlineStr">
        <is>
          <t>Viscosity Compatibility Test</t>
        </is>
      </c>
      <c r="O1" s="4" t="inlineStr">
        <is>
          <t>Date:</t>
        </is>
      </c>
      <c r="Q1" s="4" t="inlineStr">
        <is>
          <t>Sample ID:</t>
        </is>
      </c>
      <c r="S1" s="4" t="inlineStr">
        <is>
          <t>Heating Technology:</t>
        </is>
      </c>
      <c r="V1" s="4" t="inlineStr">
        <is>
          <t>Did this burn?</t>
        </is>
      </c>
      <c r="X1" s="6" t="inlineStr">
        <is>
          <t>Average TPM and Standard deviation</t>
        </is>
      </c>
      <c r="Y1" s="3" t="inlineStr">
        <is>
          <t>Viscosity Compatibility Test</t>
        </is>
      </c>
      <c r="AA1" s="4" t="inlineStr">
        <is>
          <t>Date:</t>
        </is>
      </c>
      <c r="AC1" s="4" t="inlineStr">
        <is>
          <t>Sample ID:</t>
        </is>
      </c>
      <c r="AE1" s="4" t="inlineStr">
        <is>
          <t>Heating Technology:</t>
        </is>
      </c>
      <c r="AH1" s="4" t="inlineStr">
        <is>
          <t>Did this burn?</t>
        </is>
      </c>
      <c r="AJ1" s="6" t="inlineStr">
        <is>
          <t>Average TPM and Standard deviation</t>
        </is>
      </c>
      <c r="AK1" s="3" t="inlineStr">
        <is>
          <t>Viscosity Compatibility Test</t>
        </is>
      </c>
      <c r="AM1" s="4" t="inlineStr">
        <is>
          <t>Date:</t>
        </is>
      </c>
      <c r="AO1" s="4" t="inlineStr">
        <is>
          <t>Sample ID:</t>
        </is>
      </c>
      <c r="AQ1" s="4" t="inlineStr">
        <is>
          <t>Heating Technology:</t>
        </is>
      </c>
      <c r="AT1" s="4" t="inlineStr">
        <is>
          <t>Did this burn?</t>
        </is>
      </c>
      <c r="AV1" s="6" t="inlineStr">
        <is>
          <t>Average TPM and Standard deviation</t>
        </is>
      </c>
      <c r="AW1" s="3" t="inlineStr">
        <is>
          <t>Viscosity Compatibility Test</t>
        </is>
      </c>
      <c r="AY1" s="4" t="inlineStr">
        <is>
          <t>Date:</t>
        </is>
      </c>
      <c r="BA1" s="4" t="inlineStr">
        <is>
          <t>Sample ID:</t>
        </is>
      </c>
      <c r="BC1" s="4" t="inlineStr">
        <is>
          <t>Heating Technology:</t>
        </is>
      </c>
      <c r="BF1" s="4" t="inlineStr">
        <is>
          <t>Did this burn?</t>
        </is>
      </c>
      <c r="BH1" s="6" t="inlineStr">
        <is>
          <t>Average TPM and Standard deviation</t>
        </is>
      </c>
      <c r="BI1" s="3" t="inlineStr">
        <is>
          <t>Viscosity Compatibility Test</t>
        </is>
      </c>
      <c r="BK1" s="4" t="inlineStr">
        <is>
          <t>Date:</t>
        </is>
      </c>
      <c r="BM1" s="4" t="inlineStr">
        <is>
          <t>Sample ID:</t>
        </is>
      </c>
      <c r="BO1" s="4" t="inlineStr">
        <is>
          <t>Heating Technology:</t>
        </is>
      </c>
      <c r="BR1" s="4" t="inlineStr">
        <is>
          <t>Did this burn?</t>
        </is>
      </c>
      <c r="BT1" s="6" t="inlineStr">
        <is>
          <t>Average TPM and Standard deviation</t>
        </is>
      </c>
      <c r="BU1" s="3" t="inlineStr">
        <is>
          <t>Viscosity Compatibility Test</t>
        </is>
      </c>
      <c r="BW1" s="4" t="inlineStr">
        <is>
          <t>Date:</t>
        </is>
      </c>
      <c r="BY1" s="4" t="inlineStr">
        <is>
          <t>Sample ID:</t>
        </is>
      </c>
      <c r="CA1" s="4" t="inlineStr">
        <is>
          <t>Heating Technology:</t>
        </is>
      </c>
      <c r="CD1" s="4" t="inlineStr">
        <is>
          <t>Did this burn?</t>
        </is>
      </c>
      <c r="CF1" s="6" t="inlineStr">
        <is>
          <t>Average TPM and Standard deviation</t>
        </is>
      </c>
      <c r="CG1" s="3" t="inlineStr">
        <is>
          <t>Viscosity Compatibility Test</t>
        </is>
      </c>
      <c r="CI1" s="4" t="inlineStr">
        <is>
          <t>Date:</t>
        </is>
      </c>
      <c r="CK1" s="4" t="inlineStr">
        <is>
          <t>Sample ID:</t>
        </is>
      </c>
      <c r="CM1" s="4" t="inlineStr">
        <is>
          <t>Heating Technology:</t>
        </is>
      </c>
      <c r="CP1" s="4" t="inlineStr">
        <is>
          <t>Did this burn?</t>
        </is>
      </c>
      <c r="CR1" s="6" t="inlineStr">
        <is>
          <t>Average TPM and Standard deviation</t>
        </is>
      </c>
    </row>
    <row r="2" ht="45"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60mL/3s/30s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60mL/3s/30s</t>
        </is>
      </c>
      <c r="U2" s="4" t="inlineStr">
        <is>
          <t>Usage Efficiency
                  ↓</t>
        </is>
      </c>
      <c r="V2" s="4" t="inlineStr">
        <is>
          <t>Did this clog?</t>
        </is>
      </c>
      <c r="X2" s="20">
        <f>IF(U5="","",AVERAGEIFS(U5:U115,U5:U115,"&lt;&gt;0",U5:U115,"&lt;&gt;"))</f>
        <v/>
      </c>
      <c r="Y2" s="4" t="inlineStr">
        <is>
          <t>Media:</t>
        </is>
      </c>
      <c r="AA2" s="4" t="inlineStr">
        <is>
          <t>Resistance (Ω):</t>
        </is>
      </c>
      <c r="AC2" s="4" t="inlineStr">
        <is>
          <t>Power:</t>
        </is>
      </c>
      <c r="AD2" s="27">
        <f t="array" ref="AD2">IFERROR(_xlfn.SWITCH(AF1,
"CCELL3.0",AD3^2/(AB2+0.78),
"EVOMAX",AD3^2/(AB2),
"EVO",AD3^2/(AB2),
"SE",AD3^2/AB2,
"T51",AD3^2/(0.25+AB2),
"Competitor",AD3^2/AB2,
AD3^2/AB2), "")</f>
        <v/>
      </c>
      <c r="AE2" s="4" t="inlineStr">
        <is>
          <t>Puffing Regime:</t>
        </is>
      </c>
      <c r="AF2" s="27" t="inlineStr">
        <is>
          <t>60mL/3s/30s</t>
        </is>
      </c>
      <c r="AG2" s="4" t="inlineStr">
        <is>
          <t>Usage Efficiency
                  ↓</t>
        </is>
      </c>
      <c r="AH2" s="4" t="inlineStr">
        <is>
          <t>Did this clog?</t>
        </is>
      </c>
      <c r="AJ2" s="20">
        <f>IF(AG5="","",AVERAGEIFS(AG5:AG115,AG5:AG115,"&lt;&gt;0",AG5:AG115,"&lt;&gt;"))</f>
        <v/>
      </c>
      <c r="AK2" s="4" t="inlineStr">
        <is>
          <t>Media:</t>
        </is>
      </c>
      <c r="AM2" s="4" t="inlineStr">
        <is>
          <t>Resistance (Ω):</t>
        </is>
      </c>
      <c r="AO2" s="4" t="inlineStr">
        <is>
          <t>Power:</t>
        </is>
      </c>
      <c r="AP2" s="27">
        <f t="array" ref="AP2">IFERROR(_xlfn.SWITCH(AR1,
"CCELL3.0",AP3^2/(AN2+0.78),
"EVOMAX",AP3^2/(AN2),
"EVO",AP3^2/(AN2),
"SE",AP3^2/AN2,
"T51",AP3^2/(0.25+AN2),
"Competitor",AP3^2/AN2,
AP3^2/AN2), "")</f>
        <v/>
      </c>
      <c r="AQ2" s="4" t="inlineStr">
        <is>
          <t>Puffing Regime:</t>
        </is>
      </c>
      <c r="AR2" s="27" t="inlineStr">
        <is>
          <t>60mL/3s/30s</t>
        </is>
      </c>
      <c r="AS2" s="4" t="inlineStr">
        <is>
          <t>Usage Efficiency
                  ↓</t>
        </is>
      </c>
      <c r="AT2" s="4" t="inlineStr">
        <is>
          <t>Did this clog?</t>
        </is>
      </c>
      <c r="AV2" s="20">
        <f>IF(AS5="","",AVERAGEIFS(AS5:AS115,AS5:AS115,"&lt;&gt;0",AS5:AS115,"&lt;&gt;"))</f>
        <v/>
      </c>
      <c r="AW2" s="4" t="inlineStr">
        <is>
          <t>Media:</t>
        </is>
      </c>
      <c r="AY2" s="4" t="inlineStr">
        <is>
          <t>Resistance (Ω):</t>
        </is>
      </c>
      <c r="BA2" s="4" t="inlineStr">
        <is>
          <t>Power:</t>
        </is>
      </c>
      <c r="BB2" s="27">
        <f t="array" ref="BB2">IFERROR(_xlfn.SWITCH(BD1,
"CCELL3.0",BB3^2/(AZ2+0.78),
"EVOMAX",BB3^2/(AZ2),
"EVO",BB3^2/(AZ2),
"SE",BB3^2/AZ2,
"T51",BB3^2/(0.25+AZ2),
"Competitor",BB3^2/AZ2,
BB3^2/AZ2), "")</f>
        <v/>
      </c>
      <c r="BC2" s="4" t="inlineStr">
        <is>
          <t>Puffing Regime:</t>
        </is>
      </c>
      <c r="BD2" s="27" t="inlineStr">
        <is>
          <t>60mL/3s/30s</t>
        </is>
      </c>
      <c r="BE2" s="4" t="inlineStr">
        <is>
          <t>Usage Efficiency
                  ↓</t>
        </is>
      </c>
      <c r="BF2" s="4" t="inlineStr">
        <is>
          <t>Did this clog?</t>
        </is>
      </c>
      <c r="BH2" s="20">
        <f>IF(BE5="","",AVERAGEIFS(BE5:BE115,BE5:BE115,"&lt;&gt;0",BE5:BE115,"&lt;&gt;"))</f>
        <v/>
      </c>
      <c r="BI2" s="4" t="inlineStr">
        <is>
          <t>Media:</t>
        </is>
      </c>
      <c r="BK2" s="4" t="inlineStr">
        <is>
          <t>Resistance (Ω):</t>
        </is>
      </c>
      <c r="BM2" s="4" t="inlineStr">
        <is>
          <t>Power:</t>
        </is>
      </c>
      <c r="BN2" s="27">
        <f t="array" ref="BN2">IFERROR(_xlfn.SWITCH(BP1,
"CCELL3.0",BN3^2/(BL2+0.78),
"EVOMAX",BN3^2/(BL2),
"EVO",BN3^2/(BL2),
"SE",BN3^2/BL2,
"T51",BN3^2/(0.25+BL2),
"Competitor",BN3^2/BL2,
BN3^2/BL2), "")</f>
        <v/>
      </c>
      <c r="BO2" s="4" t="inlineStr">
        <is>
          <t>Puffing Regime:</t>
        </is>
      </c>
      <c r="BP2" s="27" t="inlineStr">
        <is>
          <t>60mL/3s/30s</t>
        </is>
      </c>
      <c r="BQ2" s="4" t="inlineStr">
        <is>
          <t>Usage Efficiency
                  ↓</t>
        </is>
      </c>
      <c r="BR2" s="4" t="inlineStr">
        <is>
          <t>Did this clog?</t>
        </is>
      </c>
      <c r="BT2" s="20">
        <f>IF(BQ5="","",AVERAGEIFS(BQ5:BQ115,BQ5:BQ115,"&lt;&gt;0",BQ5:BQ115,"&lt;&gt;"))</f>
        <v/>
      </c>
      <c r="BU2" s="4" t="inlineStr">
        <is>
          <t>Media:</t>
        </is>
      </c>
      <c r="BW2" s="4" t="inlineStr">
        <is>
          <t>Resistance (Ω):</t>
        </is>
      </c>
      <c r="BY2" s="4" t="inlineStr">
        <is>
          <t>Power:</t>
        </is>
      </c>
      <c r="BZ2" s="27">
        <f t="array" ref="BZ2">IFERROR(_xlfn.SWITCH(CB1,
"CCELL3.0",BZ3^2/(BX2+0.78),
"EVOMAX",BZ3^2/(BX2),
"EVO",BZ3^2/(BX2),
"SE",BZ3^2/BX2,
"T51",BZ3^2/(0.25+BX2),
"Competitor",BZ3^2/BX2,
BZ3^2/BX2), "")</f>
        <v/>
      </c>
      <c r="CA2" s="4" t="inlineStr">
        <is>
          <t>Puffing Regime:</t>
        </is>
      </c>
      <c r="CB2" s="27" t="inlineStr">
        <is>
          <t>60mL/3s/30s</t>
        </is>
      </c>
      <c r="CC2" s="4" t="inlineStr">
        <is>
          <t>Usage Efficiency
                  ↓</t>
        </is>
      </c>
      <c r="CD2" s="4" t="inlineStr">
        <is>
          <t>Did this clog?</t>
        </is>
      </c>
      <c r="CF2" s="20">
        <f>IF(CC5="","",AVERAGEIFS(CC5:CC115,CC5:CC115,"&lt;&gt;0",CC5:CC115,"&lt;&gt;"))</f>
        <v/>
      </c>
      <c r="CG2" s="4" t="inlineStr">
        <is>
          <t>Media:</t>
        </is>
      </c>
      <c r="CI2" s="4" t="inlineStr">
        <is>
          <t>Resistance (Ω):</t>
        </is>
      </c>
      <c r="CK2" s="4" t="inlineStr">
        <is>
          <t>Power:</t>
        </is>
      </c>
      <c r="CL2" s="27">
        <f t="array" ref="CL2">IFERROR(_xlfn.SWITCH(CN1,
"CCELL3.0",CL3^2/(CJ2+0.78),
"EVOMAX",CL3^2/(CJ2),
"EVO",CL3^2/(CJ2),
"SE",CL3^2/CJ2,
"T51",CL3^2/(0.25+CJ2),
"Competitor",CL3^2/CJ2,
CL3^2/CJ2), "")</f>
        <v/>
      </c>
      <c r="CM2" s="4" t="inlineStr">
        <is>
          <t>Puffing Regime:</t>
        </is>
      </c>
      <c r="CN2" s="27" t="inlineStr">
        <is>
          <t>60mL/3s/30s</t>
        </is>
      </c>
      <c r="CO2" s="4" t="inlineStr">
        <is>
          <t>Usage Efficiency
                  ↓</t>
        </is>
      </c>
      <c r="CP2" s="4" t="inlineStr">
        <is>
          <t>Did this clog?</t>
        </is>
      </c>
      <c r="CR2" s="20">
        <f>IF(CO5="","",AVERAGEIFS(CO5:CO115,CO5:CO115,"&lt;&gt;0",CO5:CO115,"&lt;&gt;"))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c r="Y3" s="4" t="inlineStr">
        <is>
          <t>Viscosity:</t>
        </is>
      </c>
      <c r="AA3" s="4" t="inlineStr">
        <is>
          <t>Tester:</t>
        </is>
      </c>
      <c r="AC3" s="4" t="inlineStr">
        <is>
          <t>Voltage:</t>
        </is>
      </c>
      <c r="AE3" s="4" t="inlineStr">
        <is>
          <t>Initial Oil Mass:</t>
        </is>
      </c>
      <c r="AG3" s="21">
        <f t="array" ref="AG3">IFERROR(((IF(AG5&lt;&gt;"", AG5*Y5, 0) + SUMPRODUCT(--(AG6:AG115&lt;&gt;""), AG6:AG115, 100*(Y6:Y115-Y5:Y114)))/1000)/AF3, "")</f>
        <v/>
      </c>
      <c r="AH3" s="4" t="inlineStr">
        <is>
          <t>Did this leak?</t>
        </is>
      </c>
      <c r="AJ3" s="20">
        <f t="array" ref="AJ3">IF(AG5="","",_xlfn.STDEV.P(IF(ISNUMBER(AG5:AG115), IF(AG5:AG115&lt;&gt;0,AG5:AG115))))</f>
        <v/>
      </c>
      <c r="AK3" s="4" t="inlineStr">
        <is>
          <t>Viscosity:</t>
        </is>
      </c>
      <c r="AM3" s="4" t="inlineStr">
        <is>
          <t>Tester:</t>
        </is>
      </c>
      <c r="AO3" s="4" t="inlineStr">
        <is>
          <t>Voltage:</t>
        </is>
      </c>
      <c r="AQ3" s="4" t="inlineStr">
        <is>
          <t>Initial Oil Mass:</t>
        </is>
      </c>
      <c r="AS3" s="21">
        <f t="array" ref="AS3">IFERROR(((IF(AS5&lt;&gt;"", AS5*AK5, 0) + SUMPRODUCT(--(AS6:AS115&lt;&gt;""), AS6:AS115, 100*(AK6:AK115-AK5:AK114)))/1000)/AR3, "")</f>
        <v/>
      </c>
      <c r="AT3" s="4" t="inlineStr">
        <is>
          <t>Did this leak?</t>
        </is>
      </c>
      <c r="AV3" s="20">
        <f t="array" ref="AV3">IF(AS5="","",_xlfn.STDEV.P(IF(ISNUMBER(AS5:AS115), IF(AS5:AS115&lt;&gt;0,AS5:AS115))))</f>
        <v/>
      </c>
      <c r="AW3" s="4" t="inlineStr">
        <is>
          <t>Viscosity:</t>
        </is>
      </c>
      <c r="AY3" s="4" t="inlineStr">
        <is>
          <t>Tester:</t>
        </is>
      </c>
      <c r="BA3" s="4" t="inlineStr">
        <is>
          <t>Voltage:</t>
        </is>
      </c>
      <c r="BC3" s="4" t="inlineStr">
        <is>
          <t>Initial Oil Mass:</t>
        </is>
      </c>
      <c r="BE3" s="21">
        <f t="array" ref="BE3">IFERROR(((IF(BE5&lt;&gt;"", BE5*AW5, 0) + SUMPRODUCT(--(BE6:BE115&lt;&gt;""), BE6:BE115, 100*(AW6:AW115-AW5:AW114)))/1000)/BD3, "")</f>
        <v/>
      </c>
      <c r="BF3" s="4" t="inlineStr">
        <is>
          <t>Did this leak?</t>
        </is>
      </c>
      <c r="BH3" s="20">
        <f t="array" ref="BH3">IF(BE5="","",_xlfn.STDEV.P(IF(ISNUMBER(BE5:BE115), IF(BE5:BE115&lt;&gt;0,BE5:BE115))))</f>
        <v/>
      </c>
      <c r="BI3" s="4" t="inlineStr">
        <is>
          <t>Viscosity:</t>
        </is>
      </c>
      <c r="BK3" s="4" t="inlineStr">
        <is>
          <t>Tester:</t>
        </is>
      </c>
      <c r="BM3" s="4" t="inlineStr">
        <is>
          <t>Voltage:</t>
        </is>
      </c>
      <c r="BO3" s="4" t="inlineStr">
        <is>
          <t>Initial Oil Mass:</t>
        </is>
      </c>
      <c r="BQ3" s="21">
        <f t="array" ref="BQ3">IFERROR(((IF(BQ5&lt;&gt;"", BQ5*BI5, 0) + SUMPRODUCT(--(BQ6:BQ115&lt;&gt;""), BQ6:BQ115, 100*(BI6:BI115-BI5:BI114)))/1000)/BP3, "")</f>
        <v/>
      </c>
      <c r="BR3" s="4" t="inlineStr">
        <is>
          <t>Did this leak?</t>
        </is>
      </c>
      <c r="BT3" s="20">
        <f t="array" ref="BT3">IF(BQ5="","",_xlfn.STDEV.P(IF(ISNUMBER(BQ5:BQ115), IF(BQ5:BQ115&lt;&gt;0,BQ5:BQ115))))</f>
        <v/>
      </c>
      <c r="BU3" s="4" t="inlineStr">
        <is>
          <t>Viscosity:</t>
        </is>
      </c>
      <c r="BW3" s="4" t="inlineStr">
        <is>
          <t>Tester:</t>
        </is>
      </c>
      <c r="BY3" s="4" t="inlineStr">
        <is>
          <t>Voltage:</t>
        </is>
      </c>
      <c r="CA3" s="4" t="inlineStr">
        <is>
          <t>Initial Oil Mass:</t>
        </is>
      </c>
      <c r="CC3" s="21">
        <f t="array" ref="CC3">IFERROR(((IF(CC5&lt;&gt;"", CC5*BU5, 0) + SUMPRODUCT(--(CC6:CC115&lt;&gt;""), CC6:CC115, 100*(BU6:BU115-BU5:BU114)))/1000)/CB3, "")</f>
        <v/>
      </c>
      <c r="CD3" s="4" t="inlineStr">
        <is>
          <t>Did this leak?</t>
        </is>
      </c>
      <c r="CF3" s="20">
        <f t="array" ref="CF3">IF(CC5="","",_xlfn.STDEV.P(IF(ISNUMBER(CC5:CC115), IF(CC5:CC115&lt;&gt;0,CC5:CC115))))</f>
        <v/>
      </c>
      <c r="CG3" s="4" t="inlineStr">
        <is>
          <t>Viscosity:</t>
        </is>
      </c>
      <c r="CI3" s="4" t="inlineStr">
        <is>
          <t>Tester:</t>
        </is>
      </c>
      <c r="CK3" s="4" t="inlineStr">
        <is>
          <t>Voltage:</t>
        </is>
      </c>
      <c r="CM3" s="4" t="inlineStr">
        <is>
          <t>Initial Oil Mass:</t>
        </is>
      </c>
      <c r="CO3" s="21">
        <f t="array" ref="CO3">IFERROR(((IF(CO5&lt;&gt;"", CO5*CG5, 0) + SUMPRODUCT(--(CO6:CO115&lt;&gt;""), CO6:CO115, 100*(CG6:CG115-CG5:CG114)))/1000)/CN3, "")</f>
        <v/>
      </c>
      <c r="CP3" s="4" t="inlineStr">
        <is>
          <t>Did this leak?</t>
        </is>
      </c>
      <c r="CR3" s="20">
        <f t="array" ref="CR3">IF(CO5="","",_xlfn.STDEV.P(IF(ISNUMBER(CO5:CO115), IF(CO5:CO115&lt;&gt;0,CO5:CO115))))</f>
        <v/>
      </c>
    </row>
    <row r="4" ht="45" customHeight="1">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c r="Y4" s="27" t="inlineStr">
        <is>
          <t>puffs</t>
        </is>
      </c>
      <c r="Z4" s="27" t="inlineStr">
        <is>
          <t>Before weight (g)</t>
        </is>
      </c>
      <c r="AA4" s="27" t="inlineStr">
        <is>
          <t>After weight (g)</t>
        </is>
      </c>
      <c r="AB4" s="27" t="inlineStr">
        <is>
          <t>Draw Pressure (kpa)</t>
        </is>
      </c>
      <c r="AC4" s="27" t="inlineStr">
        <is>
          <t>Puffing Regime</t>
        </is>
      </c>
      <c r="AD4" s="27" t="inlineStr">
        <is>
          <t>Smell</t>
        </is>
      </c>
      <c r="AE4" s="27" t="inlineStr">
        <is>
          <t>Clog</t>
        </is>
      </c>
      <c r="AF4" s="27" t="inlineStr">
        <is>
          <t>Notes</t>
        </is>
      </c>
      <c r="AG4" s="27" t="inlineStr">
        <is>
          <t>TPM (mg/puff)</t>
        </is>
      </c>
      <c r="AH4" s="27" t="inlineStr">
        <is>
          <t>TPM Power Density (mg/(W*s))</t>
        </is>
      </c>
      <c r="AI4" s="27" t="inlineStr">
        <is>
          <t>Variation in TPM (%)</t>
        </is>
      </c>
      <c r="AJ4" s="20" t="inlineStr">
        <is>
          <t>Oil Consumed (Cumulative, g)</t>
        </is>
      </c>
      <c r="AK4" s="27" t="inlineStr">
        <is>
          <t>puffs</t>
        </is>
      </c>
      <c r="AL4" s="27" t="inlineStr">
        <is>
          <t>Before weight (g)</t>
        </is>
      </c>
      <c r="AM4" s="27" t="inlineStr">
        <is>
          <t>After weight (g)</t>
        </is>
      </c>
      <c r="AN4" s="27" t="inlineStr">
        <is>
          <t>Draw Pressure (kpa)</t>
        </is>
      </c>
      <c r="AO4" s="27" t="inlineStr">
        <is>
          <t>Puffing Regime</t>
        </is>
      </c>
      <c r="AP4" s="27" t="inlineStr">
        <is>
          <t>Smell</t>
        </is>
      </c>
      <c r="AQ4" s="27" t="inlineStr">
        <is>
          <t>Clog</t>
        </is>
      </c>
      <c r="AR4" s="27" t="inlineStr">
        <is>
          <t>Notes</t>
        </is>
      </c>
      <c r="AS4" s="27" t="inlineStr">
        <is>
          <t>TPM (mg/puff)</t>
        </is>
      </c>
      <c r="AT4" s="27" t="inlineStr">
        <is>
          <t>TPM Power Density (mg/(W*s))</t>
        </is>
      </c>
      <c r="AU4" s="27" t="inlineStr">
        <is>
          <t>Variation in TPM (%)</t>
        </is>
      </c>
      <c r="AV4" s="20" t="inlineStr">
        <is>
          <t>Oil Consumed (Cumulative, g)</t>
        </is>
      </c>
      <c r="AW4" s="27" t="inlineStr">
        <is>
          <t>puffs</t>
        </is>
      </c>
      <c r="AX4" s="27" t="inlineStr">
        <is>
          <t>Before weight (g)</t>
        </is>
      </c>
      <c r="AY4" s="27" t="inlineStr">
        <is>
          <t>After weight (g)</t>
        </is>
      </c>
      <c r="AZ4" s="27" t="inlineStr">
        <is>
          <t>Draw Pressure (kpa)</t>
        </is>
      </c>
      <c r="BA4" s="27" t="inlineStr">
        <is>
          <t>Puffing Regime</t>
        </is>
      </c>
      <c r="BB4" s="27" t="inlineStr">
        <is>
          <t>Smell</t>
        </is>
      </c>
      <c r="BC4" s="27" t="inlineStr">
        <is>
          <t>Clog</t>
        </is>
      </c>
      <c r="BD4" s="27" t="inlineStr">
        <is>
          <t>Notes</t>
        </is>
      </c>
      <c r="BE4" s="27" t="inlineStr">
        <is>
          <t>TPM (mg/puff)</t>
        </is>
      </c>
      <c r="BF4" s="27" t="inlineStr">
        <is>
          <t>TPM Power Density (mg/(W*s))</t>
        </is>
      </c>
      <c r="BG4" s="27" t="inlineStr">
        <is>
          <t>Variation in TPM (%)</t>
        </is>
      </c>
      <c r="BH4" s="20" t="inlineStr">
        <is>
          <t>Oil Consumed (Cumulative, g)</t>
        </is>
      </c>
      <c r="BI4" s="27" t="inlineStr">
        <is>
          <t>puffs</t>
        </is>
      </c>
      <c r="BJ4" s="27" t="inlineStr">
        <is>
          <t>Before weight (g)</t>
        </is>
      </c>
      <c r="BK4" s="27" t="inlineStr">
        <is>
          <t>After weight (g)</t>
        </is>
      </c>
      <c r="BL4" s="27" t="inlineStr">
        <is>
          <t>Draw Pressure (kpa)</t>
        </is>
      </c>
      <c r="BM4" s="27" t="inlineStr">
        <is>
          <t>Puffing Regime</t>
        </is>
      </c>
      <c r="BN4" s="27" t="inlineStr">
        <is>
          <t>Smell</t>
        </is>
      </c>
      <c r="BO4" s="27" t="inlineStr">
        <is>
          <t>Clog</t>
        </is>
      </c>
      <c r="BP4" s="27" t="inlineStr">
        <is>
          <t>Notes</t>
        </is>
      </c>
      <c r="BQ4" s="27" t="inlineStr">
        <is>
          <t>TPM (mg/puff)</t>
        </is>
      </c>
      <c r="BR4" s="27" t="inlineStr">
        <is>
          <t>TPM Power Density (mg/(W*s))</t>
        </is>
      </c>
      <c r="BS4" s="27" t="inlineStr">
        <is>
          <t>Variation in TPM (%)</t>
        </is>
      </c>
      <c r="BT4" s="20" t="inlineStr">
        <is>
          <t>Oil Consumed (Cumulative, g)</t>
        </is>
      </c>
      <c r="BU4" s="27" t="inlineStr">
        <is>
          <t>puffs</t>
        </is>
      </c>
      <c r="BV4" s="27" t="inlineStr">
        <is>
          <t>Before weight (g)</t>
        </is>
      </c>
      <c r="BW4" s="27" t="inlineStr">
        <is>
          <t>After weight (g)</t>
        </is>
      </c>
      <c r="BX4" s="27" t="inlineStr">
        <is>
          <t>Draw Pressure (kpa)</t>
        </is>
      </c>
      <c r="BY4" s="27" t="inlineStr">
        <is>
          <t>Puffing Regime</t>
        </is>
      </c>
      <c r="BZ4" s="27" t="inlineStr">
        <is>
          <t>Smell</t>
        </is>
      </c>
      <c r="CA4" s="27" t="inlineStr">
        <is>
          <t>Clog</t>
        </is>
      </c>
      <c r="CB4" s="27" t="inlineStr">
        <is>
          <t>Notes</t>
        </is>
      </c>
      <c r="CC4" s="27" t="inlineStr">
        <is>
          <t>TPM (mg/puff)</t>
        </is>
      </c>
      <c r="CD4" s="27" t="inlineStr">
        <is>
          <t>TPM Power Density (mg/(W*s))</t>
        </is>
      </c>
      <c r="CE4" s="27" t="inlineStr">
        <is>
          <t>Variation in TPM (%)</t>
        </is>
      </c>
      <c r="CF4" s="20" t="inlineStr">
        <is>
          <t>Oil Consumed (Cumulative, g)</t>
        </is>
      </c>
      <c r="CG4" s="27" t="inlineStr">
        <is>
          <t>puffs</t>
        </is>
      </c>
      <c r="CH4" s="27" t="inlineStr">
        <is>
          <t>Before weight (g)</t>
        </is>
      </c>
      <c r="CI4" s="27" t="inlineStr">
        <is>
          <t>After weight (g)</t>
        </is>
      </c>
      <c r="CJ4" s="27" t="inlineStr">
        <is>
          <t>Draw Pressure (kpa)</t>
        </is>
      </c>
      <c r="CK4" s="27" t="inlineStr">
        <is>
          <t>Puffing Regime</t>
        </is>
      </c>
      <c r="CL4" s="27" t="inlineStr">
        <is>
          <t>Smell</t>
        </is>
      </c>
      <c r="CM4" s="27" t="inlineStr">
        <is>
          <t>Clog</t>
        </is>
      </c>
      <c r="CN4" s="27" t="inlineStr">
        <is>
          <t>Notes</t>
        </is>
      </c>
      <c r="CO4" s="27" t="inlineStr">
        <is>
          <t>TPM (mg/puff)</t>
        </is>
      </c>
      <c r="CP4" s="27" t="inlineStr">
        <is>
          <t>TPM Power Density (mg/(W*s))</t>
        </is>
      </c>
      <c r="CQ4" s="27" t="inlineStr">
        <is>
          <t>Variation in TPM (%)</t>
        </is>
      </c>
      <c r="CR4" s="20" t="inlineStr">
        <is>
          <t>Oil Consumed (Cumulative, g)</t>
        </is>
      </c>
    </row>
    <row r="5">
      <c r="A5" s="1" t="n">
        <v>20</v>
      </c>
      <c r="E5" t="inlineStr">
        <is>
          <t>60mL/3s/30s</t>
        </is>
      </c>
      <c r="I5" s="1">
        <f>IF(C5="", "", (B5-C5)*1000/A5)</f>
        <v/>
      </c>
      <c r="J5" s="1">
        <f>IF(I5="","",I5/F$2/3)</f>
        <v/>
      </c>
      <c r="L5" s="8">
        <f>IF(I5="","", IFERROR(((IF(I$5&lt;&gt;"", I$5*A$5, 0))/1000), ""))</f>
        <v/>
      </c>
      <c r="M5" s="1" t="n">
        <v>20</v>
      </c>
      <c r="Q5" t="inlineStr">
        <is>
          <t>60mL/3s/30s</t>
        </is>
      </c>
      <c r="U5" s="1">
        <f>IF(O5="", "", (N5-O5)*1000/M5)</f>
        <v/>
      </c>
      <c r="V5" s="1">
        <f>IF(U5="","",U5/R$2/3)</f>
        <v/>
      </c>
      <c r="X5" s="8">
        <f>IF(U5="","", IFERROR(((IF(U$5&lt;&gt;"", U$5*M$5, 0))/1000), ""))</f>
        <v/>
      </c>
      <c r="Y5" s="1" t="n">
        <v>20</v>
      </c>
      <c r="AC5" t="inlineStr">
        <is>
          <t>60mL/3s/30s</t>
        </is>
      </c>
      <c r="AG5" s="1">
        <f>IF(AA5="", "", (Z5-AA5)*1000/Y5)</f>
        <v/>
      </c>
      <c r="AH5" s="1">
        <f>IF(AG5="","",AG5/AD$2/3)</f>
        <v/>
      </c>
      <c r="AJ5" s="8">
        <f>IF(AG5="","", IFERROR(((IF(AG$5&lt;&gt;"", AG$5*Y$5, 0))/1000), ""))</f>
        <v/>
      </c>
      <c r="AK5" s="1" t="n">
        <v>20</v>
      </c>
      <c r="AO5" t="inlineStr">
        <is>
          <t>60mL/3s/30s</t>
        </is>
      </c>
      <c r="AS5" s="1">
        <f>IF(AM5="", "", (AL5-AM5)*1000/AK5)</f>
        <v/>
      </c>
      <c r="AT5" s="1">
        <f>IF(AS5="","",AS5/AP$2/3)</f>
        <v/>
      </c>
      <c r="AV5" s="8">
        <f>IF(AS5="","", IFERROR(((IF(AS$5&lt;&gt;"", AS$5*AK$5, 0))/1000), ""))</f>
        <v/>
      </c>
      <c r="AW5" s="1" t="n">
        <v>20</v>
      </c>
      <c r="BA5" t="inlineStr">
        <is>
          <t>60mL/3s/30s</t>
        </is>
      </c>
      <c r="BE5" s="1">
        <f>IF(AY5="", "", (AX5-AY5)*1000/AW5)</f>
        <v/>
      </c>
      <c r="BF5" s="1">
        <f>IF(BE5="","",BE5/BB$2/3)</f>
        <v/>
      </c>
      <c r="BH5" s="8">
        <f>IF(BE5="","", IFERROR(((IF(BE$5&lt;&gt;"", BE$5*AW$5, 0))/1000), ""))</f>
        <v/>
      </c>
      <c r="BI5" s="1" t="n">
        <v>20</v>
      </c>
      <c r="BM5" t="inlineStr">
        <is>
          <t>60mL/3s/30s</t>
        </is>
      </c>
      <c r="BQ5" s="1">
        <f>IF(BK5="", "", (BJ5-BK5)*1000/BI5)</f>
        <v/>
      </c>
      <c r="BR5" s="1">
        <f>IF(BQ5="","",BQ5/BN$2/3)</f>
        <v/>
      </c>
      <c r="BT5" s="8">
        <f>IF(BQ5="","", IFERROR(((IF(BQ$5&lt;&gt;"", BQ$5*BI$5, 0))/1000), ""))</f>
        <v/>
      </c>
      <c r="BU5" s="1" t="n">
        <v>20</v>
      </c>
      <c r="BY5" t="inlineStr">
        <is>
          <t>60mL/3s/30s</t>
        </is>
      </c>
      <c r="CC5" s="1">
        <f>IF(BW5="", "", (BV5-BW5)*1000/BU5)</f>
        <v/>
      </c>
      <c r="CD5" s="1">
        <f>IF(CC5="","",CC5/BZ$2/3)</f>
        <v/>
      </c>
      <c r="CF5" s="8">
        <f>IF(CC5="","", IFERROR(((IF(CC$5&lt;&gt;"", CC$5*BU$5, 0))/1000), ""))</f>
        <v/>
      </c>
      <c r="CG5" s="1" t="n">
        <v>20</v>
      </c>
      <c r="CK5" t="inlineStr">
        <is>
          <t>60mL/3s/30s</t>
        </is>
      </c>
      <c r="CO5" s="1">
        <f>IF(CI5="", "", (CH5-CI5)*1000/CG5)</f>
        <v/>
      </c>
      <c r="CP5" s="1">
        <f>IF(CO5="","",CO5/CL$2/3)</f>
        <v/>
      </c>
      <c r="CR5" s="8">
        <f>IF(CO5="","", IFERROR(((IF(CO$5&lt;&gt;"", CO$5*CG$5, 0))/1000), ""))</f>
        <v/>
      </c>
    </row>
    <row r="6">
      <c r="A6" s="1">
        <f>A5+20</f>
        <v/>
      </c>
      <c r="B6" s="1">
        <f>C5</f>
        <v/>
      </c>
      <c r="E6" t="inlineStr">
        <is>
          <t>60mL/3s/30s</t>
        </is>
      </c>
      <c r="I6" s="1">
        <f>IF(C6="", "", (B6-C6)*1000/(A6-A5))</f>
        <v/>
      </c>
      <c r="J6" s="1">
        <f>IF(I6="","",I6/F$2/3)</f>
        <v/>
      </c>
      <c r="K6" s="1">
        <f>IF(I6="","", 100*_xlfn.STDEV.P(I5:I6)/AVERAGE(I5:I6))</f>
        <v/>
      </c>
      <c r="L6" s="8">
        <f t="array" ref="L6">IF(I6="","", IFERROR(((IF(I$5&lt;&gt;"", I$5*A$5, 0) + SUMPRODUCT(--(I$6:I6&lt;&gt;""), I$6:I6, (A$6:A6-A$5:A5)))/1000), ""))</f>
        <v/>
      </c>
      <c r="M6" s="1">
        <f>M5+20</f>
        <v/>
      </c>
      <c r="N6" s="1">
        <f>O5</f>
        <v/>
      </c>
      <c r="Q6" t="inlineStr">
        <is>
          <t>60mL/3s/30s</t>
        </is>
      </c>
      <c r="U6" s="1">
        <f>IF(O6="", "", (N6-O6)*1000/(M6-M5))</f>
        <v/>
      </c>
      <c r="V6" s="1">
        <f>IF(U6="","",U6/R$2/3)</f>
        <v/>
      </c>
      <c r="W6" s="1">
        <f>IF(U6="","", 100*_xlfn.STDEV.P(U5:U6)/AVERAGE(U5:U6))</f>
        <v/>
      </c>
      <c r="X6" s="8">
        <f t="array" ref="X6">IF(U6="","", IFERROR(((IF(U$5&lt;&gt;"", U$5*M$5, 0) + SUMPRODUCT(--(U$6:U6&lt;&gt;""), U$6:U6, (M$6:M6-M$5:M5)))/1000), ""))</f>
        <v/>
      </c>
      <c r="Y6" s="1">
        <f>Y5+20</f>
        <v/>
      </c>
      <c r="Z6" s="1">
        <f>AA5</f>
        <v/>
      </c>
      <c r="AC6" t="inlineStr">
        <is>
          <t>60mL/3s/30s</t>
        </is>
      </c>
      <c r="AG6" s="1">
        <f>IF(AA6="", "", (Z6-AA6)*1000/(Y6-Y5))</f>
        <v/>
      </c>
      <c r="AH6" s="1">
        <f>IF(AG6="","",AG6/AD$2/3)</f>
        <v/>
      </c>
      <c r="AI6" s="1">
        <f>IF(AG6="","", 100*_xlfn.STDEV.P(AG5:AG6)/AVERAGE(AG5:AG6))</f>
        <v/>
      </c>
      <c r="AJ6" s="8">
        <f t="array" ref="AJ6">IF(AG6="","", IFERROR(((IF(AG$5&lt;&gt;"", AG$5*Y$5, 0) + SUMPRODUCT(--(AG$6:AG6&lt;&gt;""), AG$6:AG6, (Y$6:Y6-Y$5:Y5)))/1000), ""))</f>
        <v/>
      </c>
      <c r="AK6" s="1">
        <f>AK5+20</f>
        <v/>
      </c>
      <c r="AL6" s="1">
        <f>AM5</f>
        <v/>
      </c>
      <c r="AO6" t="inlineStr">
        <is>
          <t>60mL/3s/30s</t>
        </is>
      </c>
      <c r="AS6" s="1">
        <f>IF(AM6="", "", (AL6-AM6)*1000/(AK6-AK5))</f>
        <v/>
      </c>
      <c r="AT6" s="1">
        <f>IF(AS6="","",AS6/AP$2/3)</f>
        <v/>
      </c>
      <c r="AU6" s="1">
        <f>IF(AS6="","", 100*_xlfn.STDEV.P(AS5:AS6)/AVERAGE(AS5:AS6))</f>
        <v/>
      </c>
      <c r="AV6" s="8">
        <f t="array" ref="AV6">IF(AS6="","", IFERROR(((IF(AS$5&lt;&gt;"", AS$5*AK$5, 0) + SUMPRODUCT(--(AS$6:AS6&lt;&gt;""), AS$6:AS6, (AK$6:AK6-AK$5:AK5)))/1000), ""))</f>
        <v/>
      </c>
      <c r="AW6" s="1">
        <f>AW5+20</f>
        <v/>
      </c>
      <c r="AX6" s="1">
        <f>AY5</f>
        <v/>
      </c>
      <c r="BA6" t="inlineStr">
        <is>
          <t>60mL/3s/30s</t>
        </is>
      </c>
      <c r="BE6" s="1">
        <f>IF(AY6="", "", (AX6-AY6)*1000/(AW6-AW5))</f>
        <v/>
      </c>
      <c r="BF6" s="1">
        <f>IF(BE6="","",BE6/BB$2/3)</f>
        <v/>
      </c>
      <c r="BG6" s="1">
        <f>IF(BE6="","", 100*_xlfn.STDEV.P(BE5:BE6)/AVERAGE(BE5:BE6))</f>
        <v/>
      </c>
      <c r="BH6" s="8">
        <f t="array" ref="BH6">IF(BE6="","", IFERROR(((IF(BE$5&lt;&gt;"", BE$5*AW$5, 0) + SUMPRODUCT(--(BE$6:BE6&lt;&gt;""), BE$6:BE6, (AW$6:AW6-AW$5:AW5)))/1000), ""))</f>
        <v/>
      </c>
      <c r="BI6" s="1">
        <f>BI5+20</f>
        <v/>
      </c>
      <c r="BJ6" s="1">
        <f>BK5</f>
        <v/>
      </c>
      <c r="BM6" t="inlineStr">
        <is>
          <t>60mL/3s/30s</t>
        </is>
      </c>
      <c r="BQ6" s="1">
        <f>IF(BK6="", "", (BJ6-BK6)*1000/(BI6-BI5))</f>
        <v/>
      </c>
      <c r="BR6" s="1">
        <f>IF(BQ6="","",BQ6/BN$2/3)</f>
        <v/>
      </c>
      <c r="BS6" s="1">
        <f>IF(BQ6="","", 100*_xlfn.STDEV.P(BQ5:BQ6)/AVERAGE(BQ5:BQ6))</f>
        <v/>
      </c>
      <c r="BT6" s="8">
        <f t="array" ref="BT6">IF(BQ6="","", IFERROR(((IF(BQ$5&lt;&gt;"", BQ$5*BI$5, 0) + SUMPRODUCT(--(BQ$6:BQ6&lt;&gt;""), BQ$6:BQ6, (BI$6:BI6-BI$5:BI5)))/1000), ""))</f>
        <v/>
      </c>
      <c r="BU6" s="1">
        <f>BU5+20</f>
        <v/>
      </c>
      <c r="BV6" s="1">
        <f>BW5</f>
        <v/>
      </c>
      <c r="BY6" t="inlineStr">
        <is>
          <t>60mL/3s/30s</t>
        </is>
      </c>
      <c r="CC6" s="1">
        <f>IF(BW6="", "", (BV6-BW6)*1000/(BU6-BU5))</f>
        <v/>
      </c>
      <c r="CD6" s="1">
        <f>IF(CC6="","",CC6/BZ$2/3)</f>
        <v/>
      </c>
      <c r="CE6" s="1">
        <f>IF(CC6="","", 100*_xlfn.STDEV.P(CC5:CC6)/AVERAGE(CC5:CC6))</f>
        <v/>
      </c>
      <c r="CF6" s="8">
        <f t="array" ref="CF6">IF(CC6="","", IFERROR(((IF(CC$5&lt;&gt;"", CC$5*BU$5, 0) + SUMPRODUCT(--(CC$6:CC6&lt;&gt;""), CC$6:CC6, (BU$6:BU6-BU$5:BU5)))/1000), ""))</f>
        <v/>
      </c>
      <c r="CG6" s="1">
        <f>CG5+20</f>
        <v/>
      </c>
      <c r="CH6" s="1">
        <f>CI5</f>
        <v/>
      </c>
      <c r="CK6" t="inlineStr">
        <is>
          <t>60mL/3s/30s</t>
        </is>
      </c>
      <c r="CO6" s="1">
        <f>IF(CI6="", "", (CH6-CI6)*1000/(CG6-CG5))</f>
        <v/>
      </c>
      <c r="CP6" s="1">
        <f>IF(CO6="","",CO6/CL$2/3)</f>
        <v/>
      </c>
      <c r="CQ6" s="1">
        <f>IF(CO6="","", 100*_xlfn.STDEV.P(CO5:CO6)/AVERAGE(CO5:CO6))</f>
        <v/>
      </c>
      <c r="CR6" s="8">
        <f t="array" ref="CR6">IF(CO6="","", IFERROR(((IF(CO$5&lt;&gt;"", CO$5*CG$5, 0) + SUMPRODUCT(--(CO$6:CO6&lt;&gt;""), CO$6:CO6, (CG$6:CG6-CG$5:CG5)))/1000), ""))</f>
        <v/>
      </c>
    </row>
    <row r="7">
      <c r="A7" s="1">
        <f>A6+20</f>
        <v/>
      </c>
      <c r="B7" s="1">
        <f>C6</f>
        <v/>
      </c>
      <c r="E7" t="inlineStr">
        <is>
          <t>60mL/3s/30s</t>
        </is>
      </c>
      <c r="I7" s="1">
        <f>IF(C7="", "", (B7-C7)*1000/(A7-A6))</f>
        <v/>
      </c>
      <c r="J7" s="1">
        <f>IF(I7="","",I7/F$2/3)</f>
        <v/>
      </c>
      <c r="K7" s="1">
        <f>IF(I7="","", 100*_xlfn.STDEV.P(I6:I7)/AVERAGE(I6:I7))</f>
        <v/>
      </c>
      <c r="L7" s="8">
        <f t="array" ref="L7">IF(I7="","", IFERROR(((IF(I$5&lt;&gt;"", I$5*A$5, 0) + SUMPRODUCT(--(I$6:I7&lt;&gt;""), I$6:I7, (A$6:A7-A$5:A6)))/1000), ""))</f>
        <v/>
      </c>
      <c r="M7" s="1">
        <f>M6+20</f>
        <v/>
      </c>
      <c r="N7" s="1">
        <f>O6</f>
        <v/>
      </c>
      <c r="Q7" t="inlineStr">
        <is>
          <t>60mL/3s/30s</t>
        </is>
      </c>
      <c r="U7" s="1">
        <f>IF(O7="", "", (N7-O7)*1000/(M7-M6))</f>
        <v/>
      </c>
      <c r="V7" s="1">
        <f>IF(U7="","",U7/R$2/3)</f>
        <v/>
      </c>
      <c r="W7" s="1">
        <f>IF(U7="","", 100*_xlfn.STDEV.P(U6:U7)/AVERAGE(U6:U7))</f>
        <v/>
      </c>
      <c r="X7" s="8">
        <f t="array" ref="X7">IF(U7="","", IFERROR(((IF(U$5&lt;&gt;"", U$5*M$5, 0) + SUMPRODUCT(--(U$6:U7&lt;&gt;""), U$6:U7, (M$6:M7-M$5:M6)))/1000), ""))</f>
        <v/>
      </c>
      <c r="Y7" s="1">
        <f>Y6+20</f>
        <v/>
      </c>
      <c r="Z7" s="1">
        <f>AA6</f>
        <v/>
      </c>
      <c r="AC7" t="inlineStr">
        <is>
          <t>60mL/3s/30s</t>
        </is>
      </c>
      <c r="AG7" s="1">
        <f>IF(AA7="", "", (Z7-AA7)*1000/(Y7-Y6))</f>
        <v/>
      </c>
      <c r="AH7" s="1">
        <f>IF(AG7="","",AG7/AD$2/3)</f>
        <v/>
      </c>
      <c r="AI7" s="1">
        <f>IF(AG7="","", 100*_xlfn.STDEV.P(AG6:AG7)/AVERAGE(AG6:AG7))</f>
        <v/>
      </c>
      <c r="AJ7" s="8">
        <f t="array" ref="AJ7">IF(AG7="","", IFERROR(((IF(AG$5&lt;&gt;"", AG$5*Y$5, 0) + SUMPRODUCT(--(AG$6:AG7&lt;&gt;""), AG$6:AG7, (Y$6:Y7-Y$5:Y6)))/1000), ""))</f>
        <v/>
      </c>
      <c r="AK7" s="1">
        <f>AK6+20</f>
        <v/>
      </c>
      <c r="AL7" s="1">
        <f>AM6</f>
        <v/>
      </c>
      <c r="AO7" t="inlineStr">
        <is>
          <t>60mL/3s/30s</t>
        </is>
      </c>
      <c r="AS7" s="1">
        <f>IF(AM7="", "", (AL7-AM7)*1000/(AK7-AK6))</f>
        <v/>
      </c>
      <c r="AT7" s="1">
        <f>IF(AS7="","",AS7/AP$2/3)</f>
        <v/>
      </c>
      <c r="AU7" s="1">
        <f>IF(AS7="","", 100*_xlfn.STDEV.P(AS6:AS7)/AVERAGE(AS6:AS7))</f>
        <v/>
      </c>
      <c r="AV7" s="8">
        <f t="array" ref="AV7">IF(AS7="","", IFERROR(((IF(AS$5&lt;&gt;"", AS$5*AK$5, 0) + SUMPRODUCT(--(AS$6:AS7&lt;&gt;""), AS$6:AS7, (AK$6:AK7-AK$5:AK6)))/1000), ""))</f>
        <v/>
      </c>
      <c r="AW7" s="1">
        <f>AW6+20</f>
        <v/>
      </c>
      <c r="AX7" s="1">
        <f>AY6</f>
        <v/>
      </c>
      <c r="BA7" t="inlineStr">
        <is>
          <t>60mL/3s/30s</t>
        </is>
      </c>
      <c r="BE7" s="1">
        <f>IF(AY7="", "", (AX7-AY7)*1000/(AW7-AW6))</f>
        <v/>
      </c>
      <c r="BF7" s="1">
        <f>IF(BE7="","",BE7/BB$2/3)</f>
        <v/>
      </c>
      <c r="BG7" s="1">
        <f>IF(BE7="","", 100*_xlfn.STDEV.P(BE6:BE7)/AVERAGE(BE6:BE7))</f>
        <v/>
      </c>
      <c r="BH7" s="8">
        <f t="array" ref="BH7">IF(BE7="","", IFERROR(((IF(BE$5&lt;&gt;"", BE$5*AW$5, 0) + SUMPRODUCT(--(BE$6:BE7&lt;&gt;""), BE$6:BE7, (AW$6:AW7-AW$5:AW6)))/1000), ""))</f>
        <v/>
      </c>
      <c r="BI7" s="1">
        <f>BI6+20</f>
        <v/>
      </c>
      <c r="BJ7" s="1">
        <f>BK6</f>
        <v/>
      </c>
      <c r="BM7" t="inlineStr">
        <is>
          <t>60mL/3s/30s</t>
        </is>
      </c>
      <c r="BQ7" s="1">
        <f>IF(BK7="", "", (BJ7-BK7)*1000/(BI7-BI6))</f>
        <v/>
      </c>
      <c r="BR7" s="1">
        <f>IF(BQ7="","",BQ7/BN$2/3)</f>
        <v/>
      </c>
      <c r="BS7" s="1">
        <f>IF(BQ7="","", 100*_xlfn.STDEV.P(BQ6:BQ7)/AVERAGE(BQ6:BQ7))</f>
        <v/>
      </c>
      <c r="BT7" s="8">
        <f t="array" ref="BT7">IF(BQ7="","", IFERROR(((IF(BQ$5&lt;&gt;"", BQ$5*BI$5, 0) + SUMPRODUCT(--(BQ$6:BQ7&lt;&gt;""), BQ$6:BQ7, (BI$6:BI7-BI$5:BI6)))/1000), ""))</f>
        <v/>
      </c>
      <c r="BU7" s="1">
        <f>BU6+20</f>
        <v/>
      </c>
      <c r="BV7" s="1">
        <f>BW6</f>
        <v/>
      </c>
      <c r="BY7" t="inlineStr">
        <is>
          <t>60mL/3s/30s</t>
        </is>
      </c>
      <c r="CC7" s="1">
        <f>IF(BW7="", "", (BV7-BW7)*1000/(BU7-BU6))</f>
        <v/>
      </c>
      <c r="CD7" s="1">
        <f>IF(CC7="","",CC7/BZ$2/3)</f>
        <v/>
      </c>
      <c r="CE7" s="1">
        <f>IF(CC7="","", 100*_xlfn.STDEV.P(CC6:CC7)/AVERAGE(CC6:CC7))</f>
        <v/>
      </c>
      <c r="CF7" s="8">
        <f t="array" ref="CF7">IF(CC7="","", IFERROR(((IF(CC$5&lt;&gt;"", CC$5*BU$5, 0) + SUMPRODUCT(--(CC$6:CC7&lt;&gt;""), CC$6:CC7, (BU$6:BU7-BU$5:BU6)))/1000), ""))</f>
        <v/>
      </c>
      <c r="CG7" s="1">
        <f>CG6+20</f>
        <v/>
      </c>
      <c r="CH7" s="1">
        <f>CI6</f>
        <v/>
      </c>
      <c r="CK7" t="inlineStr">
        <is>
          <t>60mL/3s/30s</t>
        </is>
      </c>
      <c r="CO7" s="1">
        <f>IF(CI7="", "", (CH7-CI7)*1000/(CG7-CG6))</f>
        <v/>
      </c>
      <c r="CP7" s="1">
        <f>IF(CO7="","",CO7/CL$2/3)</f>
        <v/>
      </c>
      <c r="CQ7" s="1">
        <f>IF(CO7="","", 100*_xlfn.STDEV.P(CO6:CO7)/AVERAGE(CO6:CO7))</f>
        <v/>
      </c>
      <c r="CR7" s="8">
        <f t="array" ref="CR7">IF(CO7="","", IFERROR(((IF(CO$5&lt;&gt;"", CO$5*CG$5, 0) + SUMPRODUCT(--(CO$6:CO7&lt;&gt;""), CO$6:CO7, (CG$6:CG7-CG$5:CG6)))/1000), ""))</f>
        <v/>
      </c>
    </row>
    <row r="8">
      <c r="A8" s="1">
        <f>A7+20</f>
        <v/>
      </c>
      <c r="B8" s="1">
        <f>C7</f>
        <v/>
      </c>
      <c r="E8" t="inlineStr">
        <is>
          <t>60mL/3s/30s</t>
        </is>
      </c>
      <c r="I8" s="1">
        <f>IF(C8="", "", (B8-C8)*1000/(A8-A7))</f>
        <v/>
      </c>
      <c r="J8" s="1">
        <f>IF(I8="","",I8/F$2/3)</f>
        <v/>
      </c>
      <c r="K8" s="1">
        <f>IF(I8="","", 100*_xlfn.STDEV.P(I7:I8)/AVERAGE(I7:I8))</f>
        <v/>
      </c>
      <c r="L8" s="8">
        <f t="array" ref="L8">IF(I8="","", IFERROR(((IF(I$5&lt;&gt;"", I$5*A$5, 0) + SUMPRODUCT(--(I$6:I8&lt;&gt;""), I$6:I8, (A$6:A8-A$5:A7)))/1000), ""))</f>
        <v/>
      </c>
      <c r="M8" s="1">
        <f>M7+20</f>
        <v/>
      </c>
      <c r="N8" s="1">
        <f>O7</f>
        <v/>
      </c>
      <c r="Q8" t="inlineStr">
        <is>
          <t>60mL/3s/30s</t>
        </is>
      </c>
      <c r="U8" s="1">
        <f>IF(O8="", "", (N8-O8)*1000/(M8-M7))</f>
        <v/>
      </c>
      <c r="V8" s="1">
        <f>IF(U8="","",U8/R$2/3)</f>
        <v/>
      </c>
      <c r="W8" s="1">
        <f>IF(U8="","", 100*_xlfn.STDEV.P(U7:U8)/AVERAGE(U7:U8))</f>
        <v/>
      </c>
      <c r="X8" s="8">
        <f t="array" ref="X8">IF(U8="","", IFERROR(((IF(U$5&lt;&gt;"", U$5*M$5, 0) + SUMPRODUCT(--(U$6:U8&lt;&gt;""), U$6:U8, (M$6:M8-M$5:M7)))/1000), ""))</f>
        <v/>
      </c>
      <c r="Y8" s="1">
        <f>Y7+20</f>
        <v/>
      </c>
      <c r="Z8" s="1">
        <f>AA7</f>
        <v/>
      </c>
      <c r="AC8" t="inlineStr">
        <is>
          <t>60mL/3s/30s</t>
        </is>
      </c>
      <c r="AG8" s="1">
        <f>IF(AA8="", "", (Z8-AA8)*1000/(Y8-Y7))</f>
        <v/>
      </c>
      <c r="AH8" s="1">
        <f>IF(AG8="","",AG8/AD$2/3)</f>
        <v/>
      </c>
      <c r="AI8" s="1">
        <f>IF(AG8="","", 100*_xlfn.STDEV.P(AG7:AG8)/AVERAGE(AG7:AG8))</f>
        <v/>
      </c>
      <c r="AJ8" s="8">
        <f t="array" ref="AJ8">IF(AG8="","", IFERROR(((IF(AG$5&lt;&gt;"", AG$5*Y$5, 0) + SUMPRODUCT(--(AG$6:AG8&lt;&gt;""), AG$6:AG8, (Y$6:Y8-Y$5:Y7)))/1000), ""))</f>
        <v/>
      </c>
      <c r="AK8" s="1">
        <f>AK7+20</f>
        <v/>
      </c>
      <c r="AL8" s="1">
        <f>AM7</f>
        <v/>
      </c>
      <c r="AO8" t="inlineStr">
        <is>
          <t>60mL/3s/30s</t>
        </is>
      </c>
      <c r="AS8" s="1">
        <f>IF(AM8="", "", (AL8-AM8)*1000/(AK8-AK7))</f>
        <v/>
      </c>
      <c r="AT8" s="1">
        <f>IF(AS8="","",AS8/AP$2/3)</f>
        <v/>
      </c>
      <c r="AU8" s="1">
        <f>IF(AS8="","", 100*_xlfn.STDEV.P(AS7:AS8)/AVERAGE(AS7:AS8))</f>
        <v/>
      </c>
      <c r="AV8" s="8">
        <f t="array" ref="AV8">IF(AS8="","", IFERROR(((IF(AS$5&lt;&gt;"", AS$5*AK$5, 0) + SUMPRODUCT(--(AS$6:AS8&lt;&gt;""), AS$6:AS8, (AK$6:AK8-AK$5:AK7)))/1000), ""))</f>
        <v/>
      </c>
      <c r="AW8" s="1">
        <f>AW7+20</f>
        <v/>
      </c>
      <c r="AX8" s="1">
        <f>AY7</f>
        <v/>
      </c>
      <c r="BA8" t="inlineStr">
        <is>
          <t>60mL/3s/30s</t>
        </is>
      </c>
      <c r="BE8" s="1">
        <f>IF(AY8="", "", (AX8-AY8)*1000/(AW8-AW7))</f>
        <v/>
      </c>
      <c r="BF8" s="1">
        <f>IF(BE8="","",BE8/BB$2/3)</f>
        <v/>
      </c>
      <c r="BG8" s="1">
        <f>IF(BE8="","", 100*_xlfn.STDEV.P(BE7:BE8)/AVERAGE(BE7:BE8))</f>
        <v/>
      </c>
      <c r="BH8" s="8">
        <f t="array" ref="BH8">IF(BE8="","", IFERROR(((IF(BE$5&lt;&gt;"", BE$5*AW$5, 0) + SUMPRODUCT(--(BE$6:BE8&lt;&gt;""), BE$6:BE8, (AW$6:AW8-AW$5:AW7)))/1000), ""))</f>
        <v/>
      </c>
      <c r="BI8" s="1">
        <f>BI7+20</f>
        <v/>
      </c>
      <c r="BJ8" s="1">
        <f>BK7</f>
        <v/>
      </c>
      <c r="BM8" t="inlineStr">
        <is>
          <t>60mL/3s/30s</t>
        </is>
      </c>
      <c r="BQ8" s="1">
        <f>IF(BK8="", "", (BJ8-BK8)*1000/(BI8-BI7))</f>
        <v/>
      </c>
      <c r="BR8" s="1">
        <f>IF(BQ8="","",BQ8/BN$2/3)</f>
        <v/>
      </c>
      <c r="BS8" s="1">
        <f>IF(BQ8="","", 100*_xlfn.STDEV.P(BQ7:BQ8)/AVERAGE(BQ7:BQ8))</f>
        <v/>
      </c>
      <c r="BT8" s="8">
        <f t="array" ref="BT8">IF(BQ8="","", IFERROR(((IF(BQ$5&lt;&gt;"", BQ$5*BI$5, 0) + SUMPRODUCT(--(BQ$6:BQ8&lt;&gt;""), BQ$6:BQ8, (BI$6:BI8-BI$5:BI7)))/1000), ""))</f>
        <v/>
      </c>
      <c r="BU8" s="1">
        <f>BU7+20</f>
        <v/>
      </c>
      <c r="BV8" s="1">
        <f>BW7</f>
        <v/>
      </c>
      <c r="BY8" t="inlineStr">
        <is>
          <t>60mL/3s/30s</t>
        </is>
      </c>
      <c r="CC8" s="1">
        <f>IF(BW8="", "", (BV8-BW8)*1000/(BU8-BU7))</f>
        <v/>
      </c>
      <c r="CD8" s="1">
        <f>IF(CC8="","",CC8/BZ$2/3)</f>
        <v/>
      </c>
      <c r="CE8" s="1">
        <f>IF(CC8="","", 100*_xlfn.STDEV.P(CC7:CC8)/AVERAGE(CC7:CC8))</f>
        <v/>
      </c>
      <c r="CF8" s="8">
        <f t="array" ref="CF8">IF(CC8="","", IFERROR(((IF(CC$5&lt;&gt;"", CC$5*BU$5, 0) + SUMPRODUCT(--(CC$6:CC8&lt;&gt;""), CC$6:CC8, (BU$6:BU8-BU$5:BU7)))/1000), ""))</f>
        <v/>
      </c>
      <c r="CG8" s="1">
        <f>CG7+20</f>
        <v/>
      </c>
      <c r="CH8" s="1">
        <f>CI7</f>
        <v/>
      </c>
      <c r="CK8" t="inlineStr">
        <is>
          <t>60mL/3s/30s</t>
        </is>
      </c>
      <c r="CO8" s="1">
        <f>IF(CI8="", "", (CH8-CI8)*1000/(CG8-CG7))</f>
        <v/>
      </c>
      <c r="CP8" s="1">
        <f>IF(CO8="","",CO8/CL$2/3)</f>
        <v/>
      </c>
      <c r="CQ8" s="1">
        <f>IF(CO8="","", 100*_xlfn.STDEV.P(CO7:CO8)/AVERAGE(CO7:CO8))</f>
        <v/>
      </c>
      <c r="CR8" s="8">
        <f t="array" ref="CR8">IF(CO8="","", IFERROR(((IF(CO$5&lt;&gt;"", CO$5*CG$5, 0) + SUMPRODUCT(--(CO$6:CO8&lt;&gt;""), CO$6:CO8, (CG$6:CG8-CG$5:CG7)))/1000), ""))</f>
        <v/>
      </c>
    </row>
    <row r="9">
      <c r="A9" s="1">
        <f>A8+20</f>
        <v/>
      </c>
      <c r="B9" s="1">
        <f>C8</f>
        <v/>
      </c>
      <c r="E9" t="inlineStr">
        <is>
          <t>60mL/3s/30s</t>
        </is>
      </c>
      <c r="I9" s="1">
        <f>IF(C9="", "", (B9-C9)*1000/(A9-A8))</f>
        <v/>
      </c>
      <c r="J9" s="1">
        <f>IF(I9="","",I9/F$2/3)</f>
        <v/>
      </c>
      <c r="K9" s="1">
        <f>IF(I9="","", 100*_xlfn.STDEV.P(I8:I9)/AVERAGE(I8:I9))</f>
        <v/>
      </c>
      <c r="L9" s="8">
        <f t="array" ref="L9">IF(I9="","", IFERROR(((IF(I$5&lt;&gt;"", I$5*A$5, 0) + SUMPRODUCT(--(I$6:I9&lt;&gt;""), I$6:I9, (A$6:A9-A$5:A8)))/1000), ""))</f>
        <v/>
      </c>
      <c r="M9" s="1">
        <f>M8+20</f>
        <v/>
      </c>
      <c r="N9" s="1">
        <f>O8</f>
        <v/>
      </c>
      <c r="Q9" t="inlineStr">
        <is>
          <t>60mL/3s/30s</t>
        </is>
      </c>
      <c r="U9" s="1">
        <f>IF(O9="", "", (N9-O9)*1000/(M9-M8))</f>
        <v/>
      </c>
      <c r="V9" s="1">
        <f>IF(U9="","",U9/R$2/3)</f>
        <v/>
      </c>
      <c r="W9" s="1">
        <f>IF(U9="","", 100*_xlfn.STDEV.P(U8:U9)/AVERAGE(U8:U9))</f>
        <v/>
      </c>
      <c r="X9" s="8">
        <f t="array" ref="X9">IF(U9="","", IFERROR(((IF(U$5&lt;&gt;"", U$5*M$5, 0) + SUMPRODUCT(--(U$6:U9&lt;&gt;""), U$6:U9, (M$6:M9-M$5:M8)))/1000), ""))</f>
        <v/>
      </c>
      <c r="Y9" s="1">
        <f>Y8+20</f>
        <v/>
      </c>
      <c r="Z9" s="1">
        <f>AA8</f>
        <v/>
      </c>
      <c r="AC9" t="inlineStr">
        <is>
          <t>60mL/3s/30s</t>
        </is>
      </c>
      <c r="AG9" s="1">
        <f>IF(AA9="", "", (Z9-AA9)*1000/(Y9-Y8))</f>
        <v/>
      </c>
      <c r="AH9" s="1">
        <f>IF(AG9="","",AG9/AD$2/3)</f>
        <v/>
      </c>
      <c r="AI9" s="1">
        <f>IF(AG9="","", 100*_xlfn.STDEV.P(AG8:AG9)/AVERAGE(AG8:AG9))</f>
        <v/>
      </c>
      <c r="AJ9" s="8">
        <f t="array" ref="AJ9">IF(AG9="","", IFERROR(((IF(AG$5&lt;&gt;"", AG$5*Y$5, 0) + SUMPRODUCT(--(AG$6:AG9&lt;&gt;""), AG$6:AG9, (Y$6:Y9-Y$5:Y8)))/1000), ""))</f>
        <v/>
      </c>
      <c r="AK9" s="1">
        <f>AK8+20</f>
        <v/>
      </c>
      <c r="AL9" s="1">
        <f>AM8</f>
        <v/>
      </c>
      <c r="AO9" t="inlineStr">
        <is>
          <t>60mL/3s/30s</t>
        </is>
      </c>
      <c r="AS9" s="1">
        <f>IF(AM9="", "", (AL9-AM9)*1000/(AK9-AK8))</f>
        <v/>
      </c>
      <c r="AT9" s="1">
        <f>IF(AS9="","",AS9/AP$2/3)</f>
        <v/>
      </c>
      <c r="AU9" s="1">
        <f>IF(AS9="","", 100*_xlfn.STDEV.P(AS8:AS9)/AVERAGE(AS8:AS9))</f>
        <v/>
      </c>
      <c r="AV9" s="8">
        <f t="array" ref="AV9">IF(AS9="","", IFERROR(((IF(AS$5&lt;&gt;"", AS$5*AK$5, 0) + SUMPRODUCT(--(AS$6:AS9&lt;&gt;""), AS$6:AS9, (AK$6:AK9-AK$5:AK8)))/1000), ""))</f>
        <v/>
      </c>
      <c r="AW9" s="1">
        <f>AW8+20</f>
        <v/>
      </c>
      <c r="AX9" s="1">
        <f>AY8</f>
        <v/>
      </c>
      <c r="BA9" t="inlineStr">
        <is>
          <t>60mL/3s/30s</t>
        </is>
      </c>
      <c r="BE9" s="1">
        <f>IF(AY9="", "", (AX9-AY9)*1000/(AW9-AW8))</f>
        <v/>
      </c>
      <c r="BF9" s="1">
        <f>IF(BE9="","",BE9/BB$2/3)</f>
        <v/>
      </c>
      <c r="BG9" s="1">
        <f>IF(BE9="","", 100*_xlfn.STDEV.P(BE8:BE9)/AVERAGE(BE8:BE9))</f>
        <v/>
      </c>
      <c r="BH9" s="8">
        <f t="array" ref="BH9">IF(BE9="","", IFERROR(((IF(BE$5&lt;&gt;"", BE$5*AW$5, 0) + SUMPRODUCT(--(BE$6:BE9&lt;&gt;""), BE$6:BE9, (AW$6:AW9-AW$5:AW8)))/1000), ""))</f>
        <v/>
      </c>
      <c r="BI9" s="1">
        <f>BI8+20</f>
        <v/>
      </c>
      <c r="BJ9" s="1">
        <f>BK8</f>
        <v/>
      </c>
      <c r="BM9" t="inlineStr">
        <is>
          <t>60mL/3s/30s</t>
        </is>
      </c>
      <c r="BQ9" s="1">
        <f>IF(BK9="", "", (BJ9-BK9)*1000/(BI9-BI8))</f>
        <v/>
      </c>
      <c r="BR9" s="1">
        <f>IF(BQ9="","",BQ9/BN$2/3)</f>
        <v/>
      </c>
      <c r="BS9" s="1">
        <f>IF(BQ9="","", 100*_xlfn.STDEV.P(BQ8:BQ9)/AVERAGE(BQ8:BQ9))</f>
        <v/>
      </c>
      <c r="BT9" s="8">
        <f t="array" ref="BT9">IF(BQ9="","", IFERROR(((IF(BQ$5&lt;&gt;"", BQ$5*BI$5, 0) + SUMPRODUCT(--(BQ$6:BQ9&lt;&gt;""), BQ$6:BQ9, (BI$6:BI9-BI$5:BI8)))/1000), ""))</f>
        <v/>
      </c>
      <c r="BU9" s="1">
        <f>BU8+20</f>
        <v/>
      </c>
      <c r="BV9" s="1">
        <f>BW8</f>
        <v/>
      </c>
      <c r="BY9" t="inlineStr">
        <is>
          <t>60mL/3s/30s</t>
        </is>
      </c>
      <c r="CC9" s="1">
        <f>IF(BW9="", "", (BV9-BW9)*1000/(BU9-BU8))</f>
        <v/>
      </c>
      <c r="CD9" s="1">
        <f>IF(CC9="","",CC9/BZ$2/3)</f>
        <v/>
      </c>
      <c r="CE9" s="1">
        <f>IF(CC9="","", 100*_xlfn.STDEV.P(CC8:CC9)/AVERAGE(CC8:CC9))</f>
        <v/>
      </c>
      <c r="CF9" s="8">
        <f t="array" ref="CF9">IF(CC9="","", IFERROR(((IF(CC$5&lt;&gt;"", CC$5*BU$5, 0) + SUMPRODUCT(--(CC$6:CC9&lt;&gt;""), CC$6:CC9, (BU$6:BU9-BU$5:BU8)))/1000), ""))</f>
        <v/>
      </c>
      <c r="CG9" s="1">
        <f>CG8+20</f>
        <v/>
      </c>
      <c r="CH9" s="1">
        <f>CI8</f>
        <v/>
      </c>
      <c r="CK9" t="inlineStr">
        <is>
          <t>60mL/3s/30s</t>
        </is>
      </c>
      <c r="CO9" s="1">
        <f>IF(CI9="", "", (CH9-CI9)*1000/(CG9-CG8))</f>
        <v/>
      </c>
      <c r="CP9" s="1">
        <f>IF(CO9="","",CO9/CL$2/3)</f>
        <v/>
      </c>
      <c r="CQ9" s="1">
        <f>IF(CO9="","", 100*_xlfn.STDEV.P(CO8:CO9)/AVERAGE(CO8:CO9))</f>
        <v/>
      </c>
      <c r="CR9" s="8">
        <f t="array" ref="CR9">IF(CO9="","", IFERROR(((IF(CO$5&lt;&gt;"", CO$5*CG$5, 0) + SUMPRODUCT(--(CO$6:CO9&lt;&gt;""), CO$6:CO9, (CG$6:CG9-CG$5:CG8)))/1000), ""))</f>
        <v/>
      </c>
    </row>
    <row r="10">
      <c r="A10" s="1">
        <f>A9+20</f>
        <v/>
      </c>
      <c r="B10" s="1">
        <f>C9</f>
        <v/>
      </c>
      <c r="E10" t="inlineStr">
        <is>
          <t>60mL/3s/30s</t>
        </is>
      </c>
      <c r="I10" s="1">
        <f>IF(C10="", "", (B10-C10)*1000/(A10-A9))</f>
        <v/>
      </c>
      <c r="J10" s="1">
        <f>IF(I10="","",I10/F$2/3)</f>
        <v/>
      </c>
      <c r="K10" s="1">
        <f>IF(I10="","", 100*_xlfn.STDEV.P(I9:I10)/AVERAGE(I9:I10))</f>
        <v/>
      </c>
      <c r="L10" s="8">
        <f t="array" ref="L10">IF(I10="","", IFERROR(((IF(I$5&lt;&gt;"", I$5*A$5, 0) + SUMPRODUCT(--(I$6:I10&lt;&gt;""), I$6:I10, (A$6:A10-A$5:A9)))/1000), ""))</f>
        <v/>
      </c>
      <c r="M10" s="1">
        <f>M9+20</f>
        <v/>
      </c>
      <c r="N10" s="1">
        <f>O9</f>
        <v/>
      </c>
      <c r="Q10" t="inlineStr">
        <is>
          <t>60mL/3s/30s</t>
        </is>
      </c>
      <c r="U10" s="1">
        <f>IF(O10="", "", (N10-O10)*1000/(M10-M9))</f>
        <v/>
      </c>
      <c r="V10" s="1">
        <f>IF(U10="","",U10/R$2/3)</f>
        <v/>
      </c>
      <c r="W10" s="1">
        <f>IF(U10="","", 100*_xlfn.STDEV.P(U9:U10)/AVERAGE(U9:U10))</f>
        <v/>
      </c>
      <c r="X10" s="8">
        <f t="array" ref="X10">IF(U10="","", IFERROR(((IF(U$5&lt;&gt;"", U$5*M$5, 0) + SUMPRODUCT(--(U$6:U10&lt;&gt;""), U$6:U10, (M$6:M10-M$5:M9)))/1000), ""))</f>
        <v/>
      </c>
      <c r="Y10" s="1">
        <f>Y9+20</f>
        <v/>
      </c>
      <c r="Z10" s="1">
        <f>AA9</f>
        <v/>
      </c>
      <c r="AC10" t="inlineStr">
        <is>
          <t>60mL/3s/30s</t>
        </is>
      </c>
      <c r="AG10" s="1">
        <f>IF(AA10="", "", (Z10-AA10)*1000/(Y10-Y9))</f>
        <v/>
      </c>
      <c r="AH10" s="1">
        <f>IF(AG10="","",AG10/AD$2/3)</f>
        <v/>
      </c>
      <c r="AI10" s="1">
        <f>IF(AG10="","", 100*_xlfn.STDEV.P(AG9:AG10)/AVERAGE(AG9:AG10))</f>
        <v/>
      </c>
      <c r="AJ10" s="8">
        <f t="array" ref="AJ10">IF(AG10="","", IFERROR(((IF(AG$5&lt;&gt;"", AG$5*Y$5, 0) + SUMPRODUCT(--(AG$6:AG10&lt;&gt;""), AG$6:AG10, (Y$6:Y10-Y$5:Y9)))/1000), ""))</f>
        <v/>
      </c>
      <c r="AK10" s="1">
        <f>AK9+20</f>
        <v/>
      </c>
      <c r="AL10" s="1">
        <f>AM9</f>
        <v/>
      </c>
      <c r="AO10" t="inlineStr">
        <is>
          <t>60mL/3s/30s</t>
        </is>
      </c>
      <c r="AS10" s="1">
        <f>IF(AM10="", "", (AL10-AM10)*1000/(AK10-AK9))</f>
        <v/>
      </c>
      <c r="AT10" s="1">
        <f>IF(AS10="","",AS10/AP$2/3)</f>
        <v/>
      </c>
      <c r="AU10" s="1">
        <f>IF(AS10="","", 100*_xlfn.STDEV.P(AS9:AS10)/AVERAGE(AS9:AS10))</f>
        <v/>
      </c>
      <c r="AV10" s="8">
        <f t="array" ref="AV10">IF(AS10="","", IFERROR(((IF(AS$5&lt;&gt;"", AS$5*AK$5, 0) + SUMPRODUCT(--(AS$6:AS10&lt;&gt;""), AS$6:AS10, (AK$6:AK10-AK$5:AK9)))/1000), ""))</f>
        <v/>
      </c>
      <c r="AW10" s="1">
        <f>AW9+20</f>
        <v/>
      </c>
      <c r="AX10" s="1">
        <f>AY9</f>
        <v/>
      </c>
      <c r="BA10" t="inlineStr">
        <is>
          <t>60mL/3s/30s</t>
        </is>
      </c>
      <c r="BE10" s="1">
        <f>IF(AY10="", "", (AX10-AY10)*1000/(AW10-AW9))</f>
        <v/>
      </c>
      <c r="BF10" s="1">
        <f>IF(BE10="","",BE10/BB$2/3)</f>
        <v/>
      </c>
      <c r="BG10" s="1">
        <f>IF(BE10="","", 100*_xlfn.STDEV.P(BE9:BE10)/AVERAGE(BE9:BE10))</f>
        <v/>
      </c>
      <c r="BH10" s="8">
        <f t="array" ref="BH10">IF(BE10="","", IFERROR(((IF(BE$5&lt;&gt;"", BE$5*AW$5, 0) + SUMPRODUCT(--(BE$6:BE10&lt;&gt;""), BE$6:BE10, (AW$6:AW10-AW$5:AW9)))/1000), ""))</f>
        <v/>
      </c>
      <c r="BI10" s="1">
        <f>BI9+20</f>
        <v/>
      </c>
      <c r="BJ10" s="1">
        <f>BK9</f>
        <v/>
      </c>
      <c r="BM10" t="inlineStr">
        <is>
          <t>60mL/3s/30s</t>
        </is>
      </c>
      <c r="BQ10" s="1">
        <f>IF(BK10="", "", (BJ10-BK10)*1000/(BI10-BI9))</f>
        <v/>
      </c>
      <c r="BR10" s="1">
        <f>IF(BQ10="","",BQ10/BN$2/3)</f>
        <v/>
      </c>
      <c r="BS10" s="1">
        <f>IF(BQ10="","", 100*_xlfn.STDEV.P(BQ9:BQ10)/AVERAGE(BQ9:BQ10))</f>
        <v/>
      </c>
      <c r="BT10" s="8">
        <f t="array" ref="BT10">IF(BQ10="","", IFERROR(((IF(BQ$5&lt;&gt;"", BQ$5*BI$5, 0) + SUMPRODUCT(--(BQ$6:BQ10&lt;&gt;""), BQ$6:BQ10, (BI$6:BI10-BI$5:BI9)))/1000), ""))</f>
        <v/>
      </c>
      <c r="BU10" s="1">
        <f>BU9+20</f>
        <v/>
      </c>
      <c r="BV10" s="1">
        <f>BW9</f>
        <v/>
      </c>
      <c r="BY10" t="inlineStr">
        <is>
          <t>60mL/3s/30s</t>
        </is>
      </c>
      <c r="CC10" s="1">
        <f>IF(BW10="", "", (BV10-BW10)*1000/(BU10-BU9))</f>
        <v/>
      </c>
      <c r="CD10" s="1">
        <f>IF(CC10="","",CC10/BZ$2/3)</f>
        <v/>
      </c>
      <c r="CE10" s="1">
        <f>IF(CC10="","", 100*_xlfn.STDEV.P(CC9:CC10)/AVERAGE(CC9:CC10))</f>
        <v/>
      </c>
      <c r="CF10" s="8">
        <f t="array" ref="CF10">IF(CC10="","", IFERROR(((IF(CC$5&lt;&gt;"", CC$5*BU$5, 0) + SUMPRODUCT(--(CC$6:CC10&lt;&gt;""), CC$6:CC10, (BU$6:BU10-BU$5:BU9)))/1000), ""))</f>
        <v/>
      </c>
      <c r="CG10" s="1">
        <f>CG9+20</f>
        <v/>
      </c>
      <c r="CH10" s="1">
        <f>CI9</f>
        <v/>
      </c>
      <c r="CK10" t="inlineStr">
        <is>
          <t>60mL/3s/30s</t>
        </is>
      </c>
      <c r="CO10" s="1">
        <f>IF(CI10="", "", (CH10-CI10)*1000/(CG10-CG9))</f>
        <v/>
      </c>
      <c r="CP10" s="1">
        <f>IF(CO10="","",CO10/CL$2/3)</f>
        <v/>
      </c>
      <c r="CQ10" s="1">
        <f>IF(CO10="","", 100*_xlfn.STDEV.P(CO9:CO10)/AVERAGE(CO9:CO10))</f>
        <v/>
      </c>
      <c r="CR10" s="8">
        <f t="array" ref="CR10">IF(CO10="","", IFERROR(((IF(CO$5&lt;&gt;"", CO$5*CG$5, 0) + SUMPRODUCT(--(CO$6:CO10&lt;&gt;""), CO$6:CO10, (CG$6:CG10-CG$5:CG9)))/1000), ""))</f>
        <v/>
      </c>
    </row>
    <row r="11">
      <c r="A11" s="1">
        <f>A10+20</f>
        <v/>
      </c>
      <c r="B11" s="1">
        <f>C10</f>
        <v/>
      </c>
      <c r="E11" t="inlineStr">
        <is>
          <t>60mL/3s/30s</t>
        </is>
      </c>
      <c r="I11" s="1">
        <f>IF(C11="", "", (B11-C11)*1000/(A11-A10))</f>
        <v/>
      </c>
      <c r="J11" s="1">
        <f>IF(I11="","",I11/F$2/3)</f>
        <v/>
      </c>
      <c r="K11" s="1">
        <f>IF(I11="","", 100*_xlfn.STDEV.P(I10:I11)/AVERAGE(I10:I11))</f>
        <v/>
      </c>
      <c r="L11" s="8">
        <f t="array" ref="L11">IF(I11="","", IFERROR(((IF(I$5&lt;&gt;"", I$5*A$5, 0) + SUMPRODUCT(--(I$6:I11&lt;&gt;""), I$6:I11, (A$6:A11-A$5:A10)))/1000), ""))</f>
        <v/>
      </c>
      <c r="M11" s="1">
        <f>M10+20</f>
        <v/>
      </c>
      <c r="N11" s="1">
        <f>O10</f>
        <v/>
      </c>
      <c r="Q11" t="inlineStr">
        <is>
          <t>60mL/3s/30s</t>
        </is>
      </c>
      <c r="U11" s="1">
        <f>IF(O11="", "", (N11-O11)*1000/(M11-M10))</f>
        <v/>
      </c>
      <c r="V11" s="1">
        <f>IF(U11="","",U11/R$2/3)</f>
        <v/>
      </c>
      <c r="W11" s="1">
        <f>IF(U11="","", 100*_xlfn.STDEV.P(U10:U11)/AVERAGE(U10:U11))</f>
        <v/>
      </c>
      <c r="X11" s="8">
        <f t="array" ref="X11">IF(U11="","", IFERROR(((IF(U$5&lt;&gt;"", U$5*M$5, 0) + SUMPRODUCT(--(U$6:U11&lt;&gt;""), U$6:U11, (M$6:M11-M$5:M10)))/1000), ""))</f>
        <v/>
      </c>
      <c r="Y11" s="1">
        <f>Y10+20</f>
        <v/>
      </c>
      <c r="Z11" s="1">
        <f>AA10</f>
        <v/>
      </c>
      <c r="AC11" t="inlineStr">
        <is>
          <t>60mL/3s/30s</t>
        </is>
      </c>
      <c r="AG11" s="1">
        <f>IF(AA11="", "", (Z11-AA11)*1000/(Y11-Y10))</f>
        <v/>
      </c>
      <c r="AH11" s="1">
        <f>IF(AG11="","",AG11/AD$2/3)</f>
        <v/>
      </c>
      <c r="AI11" s="1">
        <f>IF(AG11="","", 100*_xlfn.STDEV.P(AG10:AG11)/AVERAGE(AG10:AG11))</f>
        <v/>
      </c>
      <c r="AJ11" s="8">
        <f t="array" ref="AJ11">IF(AG11="","", IFERROR(((IF(AG$5&lt;&gt;"", AG$5*Y$5, 0) + SUMPRODUCT(--(AG$6:AG11&lt;&gt;""), AG$6:AG11, (Y$6:Y11-Y$5:Y10)))/1000), ""))</f>
        <v/>
      </c>
      <c r="AK11" s="1">
        <f>AK10+20</f>
        <v/>
      </c>
      <c r="AL11" s="1">
        <f>AM10</f>
        <v/>
      </c>
      <c r="AO11" t="inlineStr">
        <is>
          <t>60mL/3s/30s</t>
        </is>
      </c>
      <c r="AS11" s="1">
        <f>IF(AM11="", "", (AL11-AM11)*1000/(AK11-AK10))</f>
        <v/>
      </c>
      <c r="AT11" s="1">
        <f>IF(AS11="","",AS11/AP$2/3)</f>
        <v/>
      </c>
      <c r="AU11" s="1">
        <f>IF(AS11="","", 100*_xlfn.STDEV.P(AS10:AS11)/AVERAGE(AS10:AS11))</f>
        <v/>
      </c>
      <c r="AV11" s="8">
        <f t="array" ref="AV11">IF(AS11="","", IFERROR(((IF(AS$5&lt;&gt;"", AS$5*AK$5, 0) + SUMPRODUCT(--(AS$6:AS11&lt;&gt;""), AS$6:AS11, (AK$6:AK11-AK$5:AK10)))/1000), ""))</f>
        <v/>
      </c>
      <c r="AW11" s="1">
        <f>AW10+20</f>
        <v/>
      </c>
      <c r="AX11" s="1">
        <f>AY10</f>
        <v/>
      </c>
      <c r="BA11" t="inlineStr">
        <is>
          <t>60mL/3s/30s</t>
        </is>
      </c>
      <c r="BE11" s="1">
        <f>IF(AY11="", "", (AX11-AY11)*1000/(AW11-AW10))</f>
        <v/>
      </c>
      <c r="BF11" s="1">
        <f>IF(BE11="","",BE11/BB$2/3)</f>
        <v/>
      </c>
      <c r="BG11" s="1">
        <f>IF(BE11="","", 100*_xlfn.STDEV.P(BE10:BE11)/AVERAGE(BE10:BE11))</f>
        <v/>
      </c>
      <c r="BH11" s="8">
        <f t="array" ref="BH11">IF(BE11="","", IFERROR(((IF(BE$5&lt;&gt;"", BE$5*AW$5, 0) + SUMPRODUCT(--(BE$6:BE11&lt;&gt;""), BE$6:BE11, (AW$6:AW11-AW$5:AW10)))/1000), ""))</f>
        <v/>
      </c>
      <c r="BI11" s="1">
        <f>BI10+20</f>
        <v/>
      </c>
      <c r="BJ11" s="1">
        <f>BK10</f>
        <v/>
      </c>
      <c r="BM11" t="inlineStr">
        <is>
          <t>60mL/3s/30s</t>
        </is>
      </c>
      <c r="BQ11" s="1">
        <f>IF(BK11="", "", (BJ11-BK11)*1000/(BI11-BI10))</f>
        <v/>
      </c>
      <c r="BR11" s="1">
        <f>IF(BQ11="","",BQ11/BN$2/3)</f>
        <v/>
      </c>
      <c r="BS11" s="1">
        <f>IF(BQ11="","", 100*_xlfn.STDEV.P(BQ10:BQ11)/AVERAGE(BQ10:BQ11))</f>
        <v/>
      </c>
      <c r="BT11" s="8">
        <f t="array" ref="BT11">IF(BQ11="","", IFERROR(((IF(BQ$5&lt;&gt;"", BQ$5*BI$5, 0) + SUMPRODUCT(--(BQ$6:BQ11&lt;&gt;""), BQ$6:BQ11, (BI$6:BI11-BI$5:BI10)))/1000), ""))</f>
        <v/>
      </c>
      <c r="BU11" s="1">
        <f>BU10+20</f>
        <v/>
      </c>
      <c r="BV11" s="1">
        <f>BW10</f>
        <v/>
      </c>
      <c r="BY11" t="inlineStr">
        <is>
          <t>60mL/3s/30s</t>
        </is>
      </c>
      <c r="CC11" s="1">
        <f>IF(BW11="", "", (BV11-BW11)*1000/(BU11-BU10))</f>
        <v/>
      </c>
      <c r="CD11" s="1">
        <f>IF(CC11="","",CC11/BZ$2/3)</f>
        <v/>
      </c>
      <c r="CE11" s="1">
        <f>IF(CC11="","", 100*_xlfn.STDEV.P(CC10:CC11)/AVERAGE(CC10:CC11))</f>
        <v/>
      </c>
      <c r="CF11" s="8">
        <f t="array" ref="CF11">IF(CC11="","", IFERROR(((IF(CC$5&lt;&gt;"", CC$5*BU$5, 0) + SUMPRODUCT(--(CC$6:CC11&lt;&gt;""), CC$6:CC11, (BU$6:BU11-BU$5:BU10)))/1000), ""))</f>
        <v/>
      </c>
      <c r="CG11" s="1">
        <f>CG10+20</f>
        <v/>
      </c>
      <c r="CH11" s="1">
        <f>CI10</f>
        <v/>
      </c>
      <c r="CK11" t="inlineStr">
        <is>
          <t>60mL/3s/30s</t>
        </is>
      </c>
      <c r="CO11" s="1">
        <f>IF(CI11="", "", (CH11-CI11)*1000/(CG11-CG10))</f>
        <v/>
      </c>
      <c r="CP11" s="1">
        <f>IF(CO11="","",CO11/CL$2/3)</f>
        <v/>
      </c>
      <c r="CQ11" s="1">
        <f>IF(CO11="","", 100*_xlfn.STDEV.P(CO10:CO11)/AVERAGE(CO10:CO11))</f>
        <v/>
      </c>
      <c r="CR11" s="8">
        <f t="array" ref="CR11">IF(CO11="","", IFERROR(((IF(CO$5&lt;&gt;"", CO$5*CG$5, 0) + SUMPRODUCT(--(CO$6:CO11&lt;&gt;""), CO$6:CO11, (CG$6:CG11-CG$5:CG10)))/1000), ""))</f>
        <v/>
      </c>
    </row>
    <row r="12">
      <c r="A12" s="1">
        <f>A11+20</f>
        <v/>
      </c>
      <c r="B12" s="1">
        <f>C11</f>
        <v/>
      </c>
      <c r="E12" t="inlineStr">
        <is>
          <t>60mL/3s/30s</t>
        </is>
      </c>
      <c r="I12" s="1">
        <f>IF(C12="", "", (B12-C12)*1000/(A12-A11))</f>
        <v/>
      </c>
      <c r="J12" s="1">
        <f>IF(I12="","",I12/F$2/3)</f>
        <v/>
      </c>
      <c r="K12" s="1">
        <f>IF(I12="","", 100*_xlfn.STDEV.P(I11:I12)/AVERAGE(I11:I12))</f>
        <v/>
      </c>
      <c r="L12" s="8">
        <f t="array" ref="L12">IF(I12="","", IFERROR(((IF(I$5&lt;&gt;"", I$5*A$5, 0) + SUMPRODUCT(--(I$6:I12&lt;&gt;""), I$6:I12, (A$6:A12-A$5:A11)))/1000), ""))</f>
        <v/>
      </c>
      <c r="M12" s="1">
        <f>M11+20</f>
        <v/>
      </c>
      <c r="N12" s="1">
        <f>O11</f>
        <v/>
      </c>
      <c r="Q12" t="inlineStr">
        <is>
          <t>60mL/3s/30s</t>
        </is>
      </c>
      <c r="U12" s="1">
        <f>IF(O12="", "", (N12-O12)*1000/(M12-M11))</f>
        <v/>
      </c>
      <c r="V12" s="1">
        <f>IF(U12="","",U12/R$2/3)</f>
        <v/>
      </c>
      <c r="W12" s="1">
        <f>IF(U12="","", 100*_xlfn.STDEV.P(U11:U12)/AVERAGE(U11:U12))</f>
        <v/>
      </c>
      <c r="X12" s="8">
        <f t="array" ref="X12">IF(U12="","", IFERROR(((IF(U$5&lt;&gt;"", U$5*M$5, 0) + SUMPRODUCT(--(U$6:U12&lt;&gt;""), U$6:U12, (M$6:M12-M$5:M11)))/1000), ""))</f>
        <v/>
      </c>
      <c r="Y12" s="1">
        <f>Y11+20</f>
        <v/>
      </c>
      <c r="Z12" s="1">
        <f>AA11</f>
        <v/>
      </c>
      <c r="AC12" t="inlineStr">
        <is>
          <t>60mL/3s/30s</t>
        </is>
      </c>
      <c r="AG12" s="1">
        <f>IF(AA12="", "", (Z12-AA12)*1000/(Y12-Y11))</f>
        <v/>
      </c>
      <c r="AH12" s="1">
        <f>IF(AG12="","",AG12/AD$2/3)</f>
        <v/>
      </c>
      <c r="AI12" s="1">
        <f>IF(AG12="","", 100*_xlfn.STDEV.P(AG11:AG12)/AVERAGE(AG11:AG12))</f>
        <v/>
      </c>
      <c r="AJ12" s="8">
        <f t="array" ref="AJ12">IF(AG12="","", IFERROR(((IF(AG$5&lt;&gt;"", AG$5*Y$5, 0) + SUMPRODUCT(--(AG$6:AG12&lt;&gt;""), AG$6:AG12, (Y$6:Y12-Y$5:Y11)))/1000), ""))</f>
        <v/>
      </c>
      <c r="AK12" s="1">
        <f>AK11+20</f>
        <v/>
      </c>
      <c r="AL12" s="1">
        <f>AM11</f>
        <v/>
      </c>
      <c r="AO12" t="inlineStr">
        <is>
          <t>60mL/3s/30s</t>
        </is>
      </c>
      <c r="AS12" s="1">
        <f>IF(AM12="", "", (AL12-AM12)*1000/(AK12-AK11))</f>
        <v/>
      </c>
      <c r="AT12" s="1">
        <f>IF(AS12="","",AS12/AP$2/3)</f>
        <v/>
      </c>
      <c r="AU12" s="1">
        <f>IF(AS12="","", 100*_xlfn.STDEV.P(AS11:AS12)/AVERAGE(AS11:AS12))</f>
        <v/>
      </c>
      <c r="AV12" s="8">
        <f t="array" ref="AV12">IF(AS12="","", IFERROR(((IF(AS$5&lt;&gt;"", AS$5*AK$5, 0) + SUMPRODUCT(--(AS$6:AS12&lt;&gt;""), AS$6:AS12, (AK$6:AK12-AK$5:AK11)))/1000), ""))</f>
        <v/>
      </c>
      <c r="AW12" s="1">
        <f>AW11+20</f>
        <v/>
      </c>
      <c r="AX12" s="1">
        <f>AY11</f>
        <v/>
      </c>
      <c r="BA12" t="inlineStr">
        <is>
          <t>60mL/3s/30s</t>
        </is>
      </c>
      <c r="BE12" s="1">
        <f>IF(AY12="", "", (AX12-AY12)*1000/(AW12-AW11))</f>
        <v/>
      </c>
      <c r="BF12" s="1">
        <f>IF(BE12="","",BE12/BB$2/3)</f>
        <v/>
      </c>
      <c r="BG12" s="1">
        <f>IF(BE12="","", 100*_xlfn.STDEV.P(BE11:BE12)/AVERAGE(BE11:BE12))</f>
        <v/>
      </c>
      <c r="BH12" s="8">
        <f t="array" ref="BH12">IF(BE12="","", IFERROR(((IF(BE$5&lt;&gt;"", BE$5*AW$5, 0) + SUMPRODUCT(--(BE$6:BE12&lt;&gt;""), BE$6:BE12, (AW$6:AW12-AW$5:AW11)))/1000), ""))</f>
        <v/>
      </c>
      <c r="BI12" s="1">
        <f>BI11+20</f>
        <v/>
      </c>
      <c r="BJ12" s="1">
        <f>BK11</f>
        <v/>
      </c>
      <c r="BM12" t="inlineStr">
        <is>
          <t>60mL/3s/30s</t>
        </is>
      </c>
      <c r="BQ12" s="1">
        <f>IF(BK12="", "", (BJ12-BK12)*1000/(BI12-BI11))</f>
        <v/>
      </c>
      <c r="BR12" s="1">
        <f>IF(BQ12="","",BQ12/BN$2/3)</f>
        <v/>
      </c>
      <c r="BS12" s="1">
        <f>IF(BQ12="","", 100*_xlfn.STDEV.P(BQ11:BQ12)/AVERAGE(BQ11:BQ12))</f>
        <v/>
      </c>
      <c r="BT12" s="8">
        <f t="array" ref="BT12">IF(BQ12="","", IFERROR(((IF(BQ$5&lt;&gt;"", BQ$5*BI$5, 0) + SUMPRODUCT(--(BQ$6:BQ12&lt;&gt;""), BQ$6:BQ12, (BI$6:BI12-BI$5:BI11)))/1000), ""))</f>
        <v/>
      </c>
      <c r="BU12" s="1">
        <f>BU11+20</f>
        <v/>
      </c>
      <c r="BV12" s="1">
        <f>BW11</f>
        <v/>
      </c>
      <c r="BY12" t="inlineStr">
        <is>
          <t>60mL/3s/30s</t>
        </is>
      </c>
      <c r="CC12" s="1">
        <f>IF(BW12="", "", (BV12-BW12)*1000/(BU12-BU11))</f>
        <v/>
      </c>
      <c r="CD12" s="1">
        <f>IF(CC12="","",CC12/BZ$2/3)</f>
        <v/>
      </c>
      <c r="CE12" s="1">
        <f>IF(CC12="","", 100*_xlfn.STDEV.P(CC11:CC12)/AVERAGE(CC11:CC12))</f>
        <v/>
      </c>
      <c r="CF12" s="8">
        <f t="array" ref="CF12">IF(CC12="","", IFERROR(((IF(CC$5&lt;&gt;"", CC$5*BU$5, 0) + SUMPRODUCT(--(CC$6:CC12&lt;&gt;""), CC$6:CC12, (BU$6:BU12-BU$5:BU11)))/1000), ""))</f>
        <v/>
      </c>
      <c r="CG12" s="1">
        <f>CG11+20</f>
        <v/>
      </c>
      <c r="CH12" s="1">
        <f>CI11</f>
        <v/>
      </c>
      <c r="CK12" t="inlineStr">
        <is>
          <t>60mL/3s/30s</t>
        </is>
      </c>
      <c r="CO12" s="1">
        <f>IF(CI12="", "", (CH12-CI12)*1000/(CG12-CG11))</f>
        <v/>
      </c>
      <c r="CP12" s="1">
        <f>IF(CO12="","",CO12/CL$2/3)</f>
        <v/>
      </c>
      <c r="CQ12" s="1">
        <f>IF(CO12="","", 100*_xlfn.STDEV.P(CO11:CO12)/AVERAGE(CO11:CO12))</f>
        <v/>
      </c>
      <c r="CR12" s="8">
        <f t="array" ref="CR12">IF(CO12="","", IFERROR(((IF(CO$5&lt;&gt;"", CO$5*CG$5, 0) + SUMPRODUCT(--(CO$6:CO12&lt;&gt;""), CO$6:CO12, (CG$6:CG12-CG$5:CG11)))/1000), ""))</f>
        <v/>
      </c>
    </row>
    <row r="13">
      <c r="A13" s="1">
        <f>A12+20</f>
        <v/>
      </c>
      <c r="B13" s="1">
        <f>C12</f>
        <v/>
      </c>
      <c r="E13" t="inlineStr">
        <is>
          <t>60mL/3s/30s</t>
        </is>
      </c>
      <c r="I13" s="1">
        <f>IF(C13="", "", (B13-C13)*1000/(A13-A12))</f>
        <v/>
      </c>
      <c r="J13" s="1">
        <f>IF(I13="","",I13/F$2/3)</f>
        <v/>
      </c>
      <c r="K13" s="1">
        <f>IF(I13="","", 100*_xlfn.STDEV.P(I12:I13)/AVERAGE(I12:I13))</f>
        <v/>
      </c>
      <c r="L13" s="8">
        <f t="array" ref="L13">IF(I13="","", IFERROR(((IF(I$5&lt;&gt;"", I$5*A$5, 0) + SUMPRODUCT(--(I$6:I13&lt;&gt;""), I$6:I13, (A$6:A13-A$5:A12)))/1000), ""))</f>
        <v/>
      </c>
      <c r="M13" s="1">
        <f>M12+20</f>
        <v/>
      </c>
      <c r="N13" s="1">
        <f>O12</f>
        <v/>
      </c>
      <c r="Q13" t="inlineStr">
        <is>
          <t>60mL/3s/30s</t>
        </is>
      </c>
      <c r="U13" s="1">
        <f>IF(O13="", "", (N13-O13)*1000/(M13-M12))</f>
        <v/>
      </c>
      <c r="V13" s="1">
        <f>IF(U13="","",U13/R$2/3)</f>
        <v/>
      </c>
      <c r="W13" s="1">
        <f>IF(U13="","", 100*_xlfn.STDEV.P(U12:U13)/AVERAGE(U12:U13))</f>
        <v/>
      </c>
      <c r="X13" s="8">
        <f t="array" ref="X13">IF(U13="","", IFERROR(((IF(U$5&lt;&gt;"", U$5*M$5, 0) + SUMPRODUCT(--(U$6:U13&lt;&gt;""), U$6:U13, (M$6:M13-M$5:M12)))/1000), ""))</f>
        <v/>
      </c>
      <c r="Y13" s="1">
        <f>Y12+20</f>
        <v/>
      </c>
      <c r="Z13" s="1">
        <f>AA12</f>
        <v/>
      </c>
      <c r="AC13" t="inlineStr">
        <is>
          <t>60mL/3s/30s</t>
        </is>
      </c>
      <c r="AG13" s="1">
        <f>IF(AA13="", "", (Z13-AA13)*1000/(Y13-Y12))</f>
        <v/>
      </c>
      <c r="AH13" s="1">
        <f>IF(AG13="","",AG13/AD$2/3)</f>
        <v/>
      </c>
      <c r="AI13" s="1">
        <f>IF(AG13="","", 100*_xlfn.STDEV.P(AG12:AG13)/AVERAGE(AG12:AG13))</f>
        <v/>
      </c>
      <c r="AJ13" s="8">
        <f t="array" ref="AJ13">IF(AG13="","", IFERROR(((IF(AG$5&lt;&gt;"", AG$5*Y$5, 0) + SUMPRODUCT(--(AG$6:AG13&lt;&gt;""), AG$6:AG13, (Y$6:Y13-Y$5:Y12)))/1000), ""))</f>
        <v/>
      </c>
      <c r="AK13" s="1">
        <f>AK12+20</f>
        <v/>
      </c>
      <c r="AL13" s="1">
        <f>AM12</f>
        <v/>
      </c>
      <c r="AO13" t="inlineStr">
        <is>
          <t>60mL/3s/30s</t>
        </is>
      </c>
      <c r="AS13" s="1">
        <f>IF(AM13="", "", (AL13-AM13)*1000/(AK13-AK12))</f>
        <v/>
      </c>
      <c r="AT13" s="1">
        <f>IF(AS13="","",AS13/AP$2/3)</f>
        <v/>
      </c>
      <c r="AU13" s="1">
        <f>IF(AS13="","", 100*_xlfn.STDEV.P(AS12:AS13)/AVERAGE(AS12:AS13))</f>
        <v/>
      </c>
      <c r="AV13" s="8">
        <f t="array" ref="AV13">IF(AS13="","", IFERROR(((IF(AS$5&lt;&gt;"", AS$5*AK$5, 0) + SUMPRODUCT(--(AS$6:AS13&lt;&gt;""), AS$6:AS13, (AK$6:AK13-AK$5:AK12)))/1000), ""))</f>
        <v/>
      </c>
      <c r="AW13" s="1">
        <f>AW12+20</f>
        <v/>
      </c>
      <c r="AX13" s="1">
        <f>AY12</f>
        <v/>
      </c>
      <c r="BA13" t="inlineStr">
        <is>
          <t>60mL/3s/30s</t>
        </is>
      </c>
      <c r="BE13" s="1">
        <f>IF(AY13="", "", (AX13-AY13)*1000/(AW13-AW12))</f>
        <v/>
      </c>
      <c r="BF13" s="1">
        <f>IF(BE13="","",BE13/BB$2/3)</f>
        <v/>
      </c>
      <c r="BG13" s="1">
        <f>IF(BE13="","", 100*_xlfn.STDEV.P(BE12:BE13)/AVERAGE(BE12:BE13))</f>
        <v/>
      </c>
      <c r="BH13" s="8">
        <f t="array" ref="BH13">IF(BE13="","", IFERROR(((IF(BE$5&lt;&gt;"", BE$5*AW$5, 0) + SUMPRODUCT(--(BE$6:BE13&lt;&gt;""), BE$6:BE13, (AW$6:AW13-AW$5:AW12)))/1000), ""))</f>
        <v/>
      </c>
      <c r="BI13" s="1">
        <f>BI12+20</f>
        <v/>
      </c>
      <c r="BJ13" s="1">
        <f>BK12</f>
        <v/>
      </c>
      <c r="BM13" t="inlineStr">
        <is>
          <t>60mL/3s/30s</t>
        </is>
      </c>
      <c r="BQ13" s="1">
        <f>IF(BK13="", "", (BJ13-BK13)*1000/(BI13-BI12))</f>
        <v/>
      </c>
      <c r="BR13" s="1">
        <f>IF(BQ13="","",BQ13/BN$2/3)</f>
        <v/>
      </c>
      <c r="BS13" s="1">
        <f>IF(BQ13="","", 100*_xlfn.STDEV.P(BQ12:BQ13)/AVERAGE(BQ12:BQ13))</f>
        <v/>
      </c>
      <c r="BT13" s="8">
        <f t="array" ref="BT13">IF(BQ13="","", IFERROR(((IF(BQ$5&lt;&gt;"", BQ$5*BI$5, 0) + SUMPRODUCT(--(BQ$6:BQ13&lt;&gt;""), BQ$6:BQ13, (BI$6:BI13-BI$5:BI12)))/1000), ""))</f>
        <v/>
      </c>
      <c r="BU13" s="1">
        <f>BU12+20</f>
        <v/>
      </c>
      <c r="BV13" s="1">
        <f>BW12</f>
        <v/>
      </c>
      <c r="BY13" t="inlineStr">
        <is>
          <t>60mL/3s/30s</t>
        </is>
      </c>
      <c r="CC13" s="1">
        <f>IF(BW13="", "", (BV13-BW13)*1000/(BU13-BU12))</f>
        <v/>
      </c>
      <c r="CD13" s="1">
        <f>IF(CC13="","",CC13/BZ$2/3)</f>
        <v/>
      </c>
      <c r="CE13" s="1">
        <f>IF(CC13="","", 100*_xlfn.STDEV.P(CC12:CC13)/AVERAGE(CC12:CC13))</f>
        <v/>
      </c>
      <c r="CF13" s="8">
        <f t="array" ref="CF13">IF(CC13="","", IFERROR(((IF(CC$5&lt;&gt;"", CC$5*BU$5, 0) + SUMPRODUCT(--(CC$6:CC13&lt;&gt;""), CC$6:CC13, (BU$6:BU13-BU$5:BU12)))/1000), ""))</f>
        <v/>
      </c>
      <c r="CG13" s="1">
        <f>CG12+20</f>
        <v/>
      </c>
      <c r="CH13" s="1">
        <f>CI12</f>
        <v/>
      </c>
      <c r="CK13" t="inlineStr">
        <is>
          <t>60mL/3s/30s</t>
        </is>
      </c>
      <c r="CO13" s="1">
        <f>IF(CI13="", "", (CH13-CI13)*1000/(CG13-CG12))</f>
        <v/>
      </c>
      <c r="CP13" s="1">
        <f>IF(CO13="","",CO13/CL$2/3)</f>
        <v/>
      </c>
      <c r="CQ13" s="1">
        <f>IF(CO13="","", 100*_xlfn.STDEV.P(CO12:CO13)/AVERAGE(CO12:CO13))</f>
        <v/>
      </c>
      <c r="CR13" s="8">
        <f t="array" ref="CR13">IF(CO13="","", IFERROR(((IF(CO$5&lt;&gt;"", CO$5*CG$5, 0) + SUMPRODUCT(--(CO$6:CO13&lt;&gt;""), CO$6:CO13, (CG$6:CG13-CG$5:CG12)))/1000), ""))</f>
        <v/>
      </c>
    </row>
    <row r="14">
      <c r="A14" s="1">
        <f>A13+20</f>
        <v/>
      </c>
      <c r="B14" s="1">
        <f>C13</f>
        <v/>
      </c>
      <c r="E14" t="inlineStr">
        <is>
          <t>60mL/3s/30s</t>
        </is>
      </c>
      <c r="I14" s="1">
        <f>IF(C14="", "", (B14-C14)*1000/(A14-A13))</f>
        <v/>
      </c>
      <c r="J14" s="1">
        <f>IF(I14="","",I14/F$2/3)</f>
        <v/>
      </c>
      <c r="K14" s="1">
        <f>IF(I14="","", 100*_xlfn.STDEV.P(I13:I14)/AVERAGE(I13:I14))</f>
        <v/>
      </c>
      <c r="L14" s="8">
        <f t="array" ref="L14">IF(I14="","", IFERROR(((IF(I$5&lt;&gt;"", I$5*A$5, 0) + SUMPRODUCT(--(I$6:I14&lt;&gt;""), I$6:I14, (A$6:A14-A$5:A13)))/1000), ""))</f>
        <v/>
      </c>
      <c r="M14" s="1">
        <f>M13+20</f>
        <v/>
      </c>
      <c r="N14" s="1">
        <f>O13</f>
        <v/>
      </c>
      <c r="Q14" t="inlineStr">
        <is>
          <t>60mL/3s/30s</t>
        </is>
      </c>
      <c r="U14" s="1">
        <f>IF(O14="", "", (N14-O14)*1000/(M14-M13))</f>
        <v/>
      </c>
      <c r="V14" s="1">
        <f>IF(U14="","",U14/R$2/3)</f>
        <v/>
      </c>
      <c r="W14" s="1">
        <f>IF(U14="","", 100*_xlfn.STDEV.P(U13:U14)/AVERAGE(U13:U14))</f>
        <v/>
      </c>
      <c r="X14" s="8">
        <f t="array" ref="X14">IF(U14="","", IFERROR(((IF(U$5&lt;&gt;"", U$5*M$5, 0) + SUMPRODUCT(--(U$6:U14&lt;&gt;""), U$6:U14, (M$6:M14-M$5:M13)))/1000), ""))</f>
        <v/>
      </c>
      <c r="Y14" s="1">
        <f>Y13+20</f>
        <v/>
      </c>
      <c r="Z14" s="1">
        <f>AA13</f>
        <v/>
      </c>
      <c r="AC14" t="inlineStr">
        <is>
          <t>60mL/3s/30s</t>
        </is>
      </c>
      <c r="AG14" s="1">
        <f>IF(AA14="", "", (Z14-AA14)*1000/(Y14-Y13))</f>
        <v/>
      </c>
      <c r="AH14" s="1">
        <f>IF(AG14="","",AG14/AD$2/3)</f>
        <v/>
      </c>
      <c r="AI14" s="1">
        <f>IF(AG14="","", 100*_xlfn.STDEV.P(AG13:AG14)/AVERAGE(AG13:AG14))</f>
        <v/>
      </c>
      <c r="AJ14" s="8">
        <f t="array" ref="AJ14">IF(AG14="","", IFERROR(((IF(AG$5&lt;&gt;"", AG$5*Y$5, 0) + SUMPRODUCT(--(AG$6:AG14&lt;&gt;""), AG$6:AG14, (Y$6:Y14-Y$5:Y13)))/1000), ""))</f>
        <v/>
      </c>
      <c r="AK14" s="1">
        <f>AK13+20</f>
        <v/>
      </c>
      <c r="AL14" s="1">
        <f>AM13</f>
        <v/>
      </c>
      <c r="AO14" t="inlineStr">
        <is>
          <t>60mL/3s/30s</t>
        </is>
      </c>
      <c r="AS14" s="1">
        <f>IF(AM14="", "", (AL14-AM14)*1000/(AK14-AK13))</f>
        <v/>
      </c>
      <c r="AT14" s="1">
        <f>IF(AS14="","",AS14/AP$2/3)</f>
        <v/>
      </c>
      <c r="AU14" s="1">
        <f>IF(AS14="","", 100*_xlfn.STDEV.P(AS13:AS14)/AVERAGE(AS13:AS14))</f>
        <v/>
      </c>
      <c r="AV14" s="8">
        <f t="array" ref="AV14">IF(AS14="","", IFERROR(((IF(AS$5&lt;&gt;"", AS$5*AK$5, 0) + SUMPRODUCT(--(AS$6:AS14&lt;&gt;""), AS$6:AS14, (AK$6:AK14-AK$5:AK13)))/1000), ""))</f>
        <v/>
      </c>
      <c r="AW14" s="1">
        <f>AW13+20</f>
        <v/>
      </c>
      <c r="AX14" s="1">
        <f>AY13</f>
        <v/>
      </c>
      <c r="BA14" t="inlineStr">
        <is>
          <t>60mL/3s/30s</t>
        </is>
      </c>
      <c r="BE14" s="1">
        <f>IF(AY14="", "", (AX14-AY14)*1000/(AW14-AW13))</f>
        <v/>
      </c>
      <c r="BF14" s="1">
        <f>IF(BE14="","",BE14/BB$2/3)</f>
        <v/>
      </c>
      <c r="BG14" s="1">
        <f>IF(BE14="","", 100*_xlfn.STDEV.P(BE13:BE14)/AVERAGE(BE13:BE14))</f>
        <v/>
      </c>
      <c r="BH14" s="8">
        <f t="array" ref="BH14">IF(BE14="","", IFERROR(((IF(BE$5&lt;&gt;"", BE$5*AW$5, 0) + SUMPRODUCT(--(BE$6:BE14&lt;&gt;""), BE$6:BE14, (AW$6:AW14-AW$5:AW13)))/1000), ""))</f>
        <v/>
      </c>
      <c r="BI14" s="1">
        <f>BI13+20</f>
        <v/>
      </c>
      <c r="BJ14" s="1">
        <f>BK13</f>
        <v/>
      </c>
      <c r="BM14" t="inlineStr">
        <is>
          <t>60mL/3s/30s</t>
        </is>
      </c>
      <c r="BQ14" s="1">
        <f>IF(BK14="", "", (BJ14-BK14)*1000/(BI14-BI13))</f>
        <v/>
      </c>
      <c r="BR14" s="1">
        <f>IF(BQ14="","",BQ14/BN$2/3)</f>
        <v/>
      </c>
      <c r="BS14" s="1">
        <f>IF(BQ14="","", 100*_xlfn.STDEV.P(BQ13:BQ14)/AVERAGE(BQ13:BQ14))</f>
        <v/>
      </c>
      <c r="BT14" s="8">
        <f t="array" ref="BT14">IF(BQ14="","", IFERROR(((IF(BQ$5&lt;&gt;"", BQ$5*BI$5, 0) + SUMPRODUCT(--(BQ$6:BQ14&lt;&gt;""), BQ$6:BQ14, (BI$6:BI14-BI$5:BI13)))/1000), ""))</f>
        <v/>
      </c>
      <c r="BU14" s="1">
        <f>BU13+20</f>
        <v/>
      </c>
      <c r="BV14" s="1">
        <f>BW13</f>
        <v/>
      </c>
      <c r="BY14" t="inlineStr">
        <is>
          <t>60mL/3s/30s</t>
        </is>
      </c>
      <c r="CC14" s="1">
        <f>IF(BW14="", "", (BV14-BW14)*1000/(BU14-BU13))</f>
        <v/>
      </c>
      <c r="CD14" s="1">
        <f>IF(CC14="","",CC14/BZ$2/3)</f>
        <v/>
      </c>
      <c r="CE14" s="1">
        <f>IF(CC14="","", 100*_xlfn.STDEV.P(CC13:CC14)/AVERAGE(CC13:CC14))</f>
        <v/>
      </c>
      <c r="CF14" s="8">
        <f t="array" ref="CF14">IF(CC14="","", IFERROR(((IF(CC$5&lt;&gt;"", CC$5*BU$5, 0) + SUMPRODUCT(--(CC$6:CC14&lt;&gt;""), CC$6:CC14, (BU$6:BU14-BU$5:BU13)))/1000), ""))</f>
        <v/>
      </c>
      <c r="CG14" s="1">
        <f>CG13+20</f>
        <v/>
      </c>
      <c r="CH14" s="1">
        <f>CI13</f>
        <v/>
      </c>
      <c r="CK14" t="inlineStr">
        <is>
          <t>60mL/3s/30s</t>
        </is>
      </c>
      <c r="CO14" s="1">
        <f>IF(CI14="", "", (CH14-CI14)*1000/(CG14-CG13))</f>
        <v/>
      </c>
      <c r="CP14" s="1">
        <f>IF(CO14="","",CO14/CL$2/3)</f>
        <v/>
      </c>
      <c r="CQ14" s="1">
        <f>IF(CO14="","", 100*_xlfn.STDEV.P(CO13:CO14)/AVERAGE(CO13:CO14))</f>
        <v/>
      </c>
      <c r="CR14" s="8">
        <f t="array" ref="CR14">IF(CO14="","", IFERROR(((IF(CO$5&lt;&gt;"", CO$5*CG$5, 0) + SUMPRODUCT(--(CO$6:CO14&lt;&gt;""), CO$6:CO14, (CG$6:CG14-CG$5:CG13)))/1000), ""))</f>
        <v/>
      </c>
    </row>
    <row r="15">
      <c r="A15" s="1">
        <f>A14+20</f>
        <v/>
      </c>
      <c r="B15" s="1">
        <f>C14</f>
        <v/>
      </c>
      <c r="E15" t="inlineStr">
        <is>
          <t>60mL/3s/30s</t>
        </is>
      </c>
      <c r="I15" s="1">
        <f>IF(C15="", "", (B15-C15)*1000/(A15-A14))</f>
        <v/>
      </c>
      <c r="J15" s="1">
        <f>IF(I15="","",I15/F$2/3)</f>
        <v/>
      </c>
      <c r="K15" s="1">
        <f>IF(I15="","", 100*_xlfn.STDEV.P(I14:I15)/AVERAGE(I14:I15))</f>
        <v/>
      </c>
      <c r="L15" s="8">
        <f t="array" ref="L15">IF(I15="","", IFERROR(((IF(I$5&lt;&gt;"", I$5*A$5, 0) + SUMPRODUCT(--(I$6:I15&lt;&gt;""), I$6:I15, (A$6:A15-A$5:A14)))/1000), ""))</f>
        <v/>
      </c>
      <c r="M15" s="1">
        <f>M14+20</f>
        <v/>
      </c>
      <c r="N15" s="1">
        <f>O14</f>
        <v/>
      </c>
      <c r="Q15" t="inlineStr">
        <is>
          <t>60mL/3s/30s</t>
        </is>
      </c>
      <c r="U15" s="1">
        <f>IF(O15="", "", (N15-O15)*1000/(M15-M14))</f>
        <v/>
      </c>
      <c r="V15" s="1">
        <f>IF(U15="","",U15/R$2/3)</f>
        <v/>
      </c>
      <c r="W15" s="1">
        <f>IF(U15="","", 100*_xlfn.STDEV.P(U14:U15)/AVERAGE(U14:U15))</f>
        <v/>
      </c>
      <c r="X15" s="8">
        <f t="array" ref="X15">IF(U15="","", IFERROR(((IF(U$5&lt;&gt;"", U$5*M$5, 0) + SUMPRODUCT(--(U$6:U15&lt;&gt;""), U$6:U15, (M$6:M15-M$5:M14)))/1000), ""))</f>
        <v/>
      </c>
      <c r="Y15" s="1">
        <f>Y14+20</f>
        <v/>
      </c>
      <c r="Z15" s="1">
        <f>AA14</f>
        <v/>
      </c>
      <c r="AC15" t="inlineStr">
        <is>
          <t>60mL/3s/30s</t>
        </is>
      </c>
      <c r="AG15" s="1">
        <f>IF(AA15="", "", (Z15-AA15)*1000/(Y15-Y14))</f>
        <v/>
      </c>
      <c r="AH15" s="1">
        <f>IF(AG15="","",AG15/AD$2/3)</f>
        <v/>
      </c>
      <c r="AI15" s="1">
        <f>IF(AG15="","", 100*_xlfn.STDEV.P(AG14:AG15)/AVERAGE(AG14:AG15))</f>
        <v/>
      </c>
      <c r="AJ15" s="8">
        <f t="array" ref="AJ15">IF(AG15="","", IFERROR(((IF(AG$5&lt;&gt;"", AG$5*Y$5, 0) + SUMPRODUCT(--(AG$6:AG15&lt;&gt;""), AG$6:AG15, (Y$6:Y15-Y$5:Y14)))/1000), ""))</f>
        <v/>
      </c>
      <c r="AK15" s="1">
        <f>AK14+20</f>
        <v/>
      </c>
      <c r="AL15" s="1">
        <f>AM14</f>
        <v/>
      </c>
      <c r="AO15" t="inlineStr">
        <is>
          <t>60mL/3s/30s</t>
        </is>
      </c>
      <c r="AS15" s="1">
        <f>IF(AM15="", "", (AL15-AM15)*1000/(AK15-AK14))</f>
        <v/>
      </c>
      <c r="AT15" s="1">
        <f>IF(AS15="","",AS15/AP$2/3)</f>
        <v/>
      </c>
      <c r="AU15" s="1">
        <f>IF(AS15="","", 100*_xlfn.STDEV.P(AS14:AS15)/AVERAGE(AS14:AS15))</f>
        <v/>
      </c>
      <c r="AV15" s="8">
        <f t="array" ref="AV15">IF(AS15="","", IFERROR(((IF(AS$5&lt;&gt;"", AS$5*AK$5, 0) + SUMPRODUCT(--(AS$6:AS15&lt;&gt;""), AS$6:AS15, (AK$6:AK15-AK$5:AK14)))/1000), ""))</f>
        <v/>
      </c>
      <c r="AW15" s="1">
        <f>AW14+20</f>
        <v/>
      </c>
      <c r="AX15" s="1">
        <f>AY14</f>
        <v/>
      </c>
      <c r="BA15" t="inlineStr">
        <is>
          <t>60mL/3s/30s</t>
        </is>
      </c>
      <c r="BE15" s="1">
        <f>IF(AY15="", "", (AX15-AY15)*1000/(AW15-AW14))</f>
        <v/>
      </c>
      <c r="BF15" s="1">
        <f>IF(BE15="","",BE15/BB$2/3)</f>
        <v/>
      </c>
      <c r="BG15" s="1">
        <f>IF(BE15="","", 100*_xlfn.STDEV.P(BE14:BE15)/AVERAGE(BE14:BE15))</f>
        <v/>
      </c>
      <c r="BH15" s="8">
        <f t="array" ref="BH15">IF(BE15="","", IFERROR(((IF(BE$5&lt;&gt;"", BE$5*AW$5, 0) + SUMPRODUCT(--(BE$6:BE15&lt;&gt;""), BE$6:BE15, (AW$6:AW15-AW$5:AW14)))/1000), ""))</f>
        <v/>
      </c>
      <c r="BI15" s="1">
        <f>BI14+20</f>
        <v/>
      </c>
      <c r="BJ15" s="1">
        <f>BK14</f>
        <v/>
      </c>
      <c r="BM15" t="inlineStr">
        <is>
          <t>60mL/3s/30s</t>
        </is>
      </c>
      <c r="BQ15" s="1">
        <f>IF(BK15="", "", (BJ15-BK15)*1000/(BI15-BI14))</f>
        <v/>
      </c>
      <c r="BR15" s="1">
        <f>IF(BQ15="","",BQ15/BN$2/3)</f>
        <v/>
      </c>
      <c r="BS15" s="1">
        <f>IF(BQ15="","", 100*_xlfn.STDEV.P(BQ14:BQ15)/AVERAGE(BQ14:BQ15))</f>
        <v/>
      </c>
      <c r="BT15" s="8">
        <f t="array" ref="BT15">IF(BQ15="","", IFERROR(((IF(BQ$5&lt;&gt;"", BQ$5*BI$5, 0) + SUMPRODUCT(--(BQ$6:BQ15&lt;&gt;""), BQ$6:BQ15, (BI$6:BI15-BI$5:BI14)))/1000), ""))</f>
        <v/>
      </c>
      <c r="BU15" s="1">
        <f>BU14+20</f>
        <v/>
      </c>
      <c r="BV15" s="1">
        <f>BW14</f>
        <v/>
      </c>
      <c r="BY15" t="inlineStr">
        <is>
          <t>60mL/3s/30s</t>
        </is>
      </c>
      <c r="CC15" s="1">
        <f>IF(BW15="", "", (BV15-BW15)*1000/(BU15-BU14))</f>
        <v/>
      </c>
      <c r="CD15" s="1">
        <f>IF(CC15="","",CC15/BZ$2/3)</f>
        <v/>
      </c>
      <c r="CE15" s="1">
        <f>IF(CC15="","", 100*_xlfn.STDEV.P(CC14:CC15)/AVERAGE(CC14:CC15))</f>
        <v/>
      </c>
      <c r="CF15" s="8">
        <f t="array" ref="CF15">IF(CC15="","", IFERROR(((IF(CC$5&lt;&gt;"", CC$5*BU$5, 0) + SUMPRODUCT(--(CC$6:CC15&lt;&gt;""), CC$6:CC15, (BU$6:BU15-BU$5:BU14)))/1000), ""))</f>
        <v/>
      </c>
      <c r="CG15" s="1">
        <f>CG14+20</f>
        <v/>
      </c>
      <c r="CH15" s="1">
        <f>CI14</f>
        <v/>
      </c>
      <c r="CK15" t="inlineStr">
        <is>
          <t>60mL/3s/30s</t>
        </is>
      </c>
      <c r="CO15" s="1">
        <f>IF(CI15="", "", (CH15-CI15)*1000/(CG15-CG14))</f>
        <v/>
      </c>
      <c r="CP15" s="1">
        <f>IF(CO15="","",CO15/CL$2/3)</f>
        <v/>
      </c>
      <c r="CQ15" s="1">
        <f>IF(CO15="","", 100*_xlfn.STDEV.P(CO14:CO15)/AVERAGE(CO14:CO15))</f>
        <v/>
      </c>
      <c r="CR15" s="8">
        <f t="array" ref="CR15">IF(CO15="","", IFERROR(((IF(CO$5&lt;&gt;"", CO$5*CG$5, 0) + SUMPRODUCT(--(CO$6:CO15&lt;&gt;""), CO$6:CO15, (CG$6:CG15-CG$5:CG14)))/1000), ""))</f>
        <v/>
      </c>
    </row>
    <row r="16">
      <c r="A16" s="1">
        <f>A15+20</f>
        <v/>
      </c>
      <c r="B16" s="1">
        <f>C15</f>
        <v/>
      </c>
      <c r="E16" t="inlineStr">
        <is>
          <t>60mL/3s/30s</t>
        </is>
      </c>
      <c r="I16" s="1">
        <f>IF(C16="", "", (B16-C16)*1000/(A16-A15))</f>
        <v/>
      </c>
      <c r="J16" s="1">
        <f>IF(I16="","",I16/F$2/3)</f>
        <v/>
      </c>
      <c r="K16" s="1">
        <f>IF(I16="","", 100*_xlfn.STDEV.P(I15:I16)/AVERAGE(I15:I16))</f>
        <v/>
      </c>
      <c r="L16" s="8">
        <f t="array" ref="L16">IF(I16="","", IFERROR(((IF(I$5&lt;&gt;"", I$5*A$5, 0) + SUMPRODUCT(--(I$6:I16&lt;&gt;""), I$6:I16, (A$6:A16-A$5:A15)))/1000), ""))</f>
        <v/>
      </c>
      <c r="M16" s="1">
        <f>M15+20</f>
        <v/>
      </c>
      <c r="N16" s="1">
        <f>O15</f>
        <v/>
      </c>
      <c r="Q16" t="inlineStr">
        <is>
          <t>60mL/3s/30s</t>
        </is>
      </c>
      <c r="U16" s="1">
        <f>IF(O16="", "", (N16-O16)*1000/(M16-M15))</f>
        <v/>
      </c>
      <c r="V16" s="1">
        <f>IF(U16="","",U16/R$2/3)</f>
        <v/>
      </c>
      <c r="W16" s="1">
        <f>IF(U16="","", 100*_xlfn.STDEV.P(U15:U16)/AVERAGE(U15:U16))</f>
        <v/>
      </c>
      <c r="X16" s="8">
        <f t="array" ref="X16">IF(U16="","", IFERROR(((IF(U$5&lt;&gt;"", U$5*M$5, 0) + SUMPRODUCT(--(U$6:U16&lt;&gt;""), U$6:U16, (M$6:M16-M$5:M15)))/1000), ""))</f>
        <v/>
      </c>
      <c r="Y16" s="1">
        <f>Y15+20</f>
        <v/>
      </c>
      <c r="Z16" s="1">
        <f>AA15</f>
        <v/>
      </c>
      <c r="AC16" t="inlineStr">
        <is>
          <t>60mL/3s/30s</t>
        </is>
      </c>
      <c r="AG16" s="1">
        <f>IF(AA16="", "", (Z16-AA16)*1000/(Y16-Y15))</f>
        <v/>
      </c>
      <c r="AH16" s="1">
        <f>IF(AG16="","",AG16/AD$2/3)</f>
        <v/>
      </c>
      <c r="AI16" s="1">
        <f>IF(AG16="","", 100*_xlfn.STDEV.P(AG15:AG16)/AVERAGE(AG15:AG16))</f>
        <v/>
      </c>
      <c r="AJ16" s="8">
        <f t="array" ref="AJ16">IF(AG16="","", IFERROR(((IF(AG$5&lt;&gt;"", AG$5*Y$5, 0) + SUMPRODUCT(--(AG$6:AG16&lt;&gt;""), AG$6:AG16, (Y$6:Y16-Y$5:Y15)))/1000), ""))</f>
        <v/>
      </c>
      <c r="AK16" s="1">
        <f>AK15+20</f>
        <v/>
      </c>
      <c r="AL16" s="1">
        <f>AM15</f>
        <v/>
      </c>
      <c r="AO16" t="inlineStr">
        <is>
          <t>60mL/3s/30s</t>
        </is>
      </c>
      <c r="AS16" s="1">
        <f>IF(AM16="", "", (AL16-AM16)*1000/(AK16-AK15))</f>
        <v/>
      </c>
      <c r="AT16" s="1">
        <f>IF(AS16="","",AS16/AP$2/3)</f>
        <v/>
      </c>
      <c r="AU16" s="1">
        <f>IF(AS16="","", 100*_xlfn.STDEV.P(AS15:AS16)/AVERAGE(AS15:AS16))</f>
        <v/>
      </c>
      <c r="AV16" s="8">
        <f t="array" ref="AV16">IF(AS16="","", IFERROR(((IF(AS$5&lt;&gt;"", AS$5*AK$5, 0) + SUMPRODUCT(--(AS$6:AS16&lt;&gt;""), AS$6:AS16, (AK$6:AK16-AK$5:AK15)))/1000), ""))</f>
        <v/>
      </c>
      <c r="AW16" s="1">
        <f>AW15+20</f>
        <v/>
      </c>
      <c r="AX16" s="1">
        <f>AY15</f>
        <v/>
      </c>
      <c r="BA16" t="inlineStr">
        <is>
          <t>60mL/3s/30s</t>
        </is>
      </c>
      <c r="BE16" s="1">
        <f>IF(AY16="", "", (AX16-AY16)*1000/(AW16-AW15))</f>
        <v/>
      </c>
      <c r="BF16" s="1">
        <f>IF(BE16="","",BE16/BB$2/3)</f>
        <v/>
      </c>
      <c r="BG16" s="1">
        <f>IF(BE16="","", 100*_xlfn.STDEV.P(BE15:BE16)/AVERAGE(BE15:BE16))</f>
        <v/>
      </c>
      <c r="BH16" s="8">
        <f t="array" ref="BH16">IF(BE16="","", IFERROR(((IF(BE$5&lt;&gt;"", BE$5*AW$5, 0) + SUMPRODUCT(--(BE$6:BE16&lt;&gt;""), BE$6:BE16, (AW$6:AW16-AW$5:AW15)))/1000), ""))</f>
        <v/>
      </c>
      <c r="BI16" s="1">
        <f>BI15+20</f>
        <v/>
      </c>
      <c r="BJ16" s="1">
        <f>BK15</f>
        <v/>
      </c>
      <c r="BM16" t="inlineStr">
        <is>
          <t>60mL/3s/30s</t>
        </is>
      </c>
      <c r="BQ16" s="1">
        <f>IF(BK16="", "", (BJ16-BK16)*1000/(BI16-BI15))</f>
        <v/>
      </c>
      <c r="BR16" s="1">
        <f>IF(BQ16="","",BQ16/BN$2/3)</f>
        <v/>
      </c>
      <c r="BS16" s="1">
        <f>IF(BQ16="","", 100*_xlfn.STDEV.P(BQ15:BQ16)/AVERAGE(BQ15:BQ16))</f>
        <v/>
      </c>
      <c r="BT16" s="8">
        <f t="array" ref="BT16">IF(BQ16="","", IFERROR(((IF(BQ$5&lt;&gt;"", BQ$5*BI$5, 0) + SUMPRODUCT(--(BQ$6:BQ16&lt;&gt;""), BQ$6:BQ16, (BI$6:BI16-BI$5:BI15)))/1000), ""))</f>
        <v/>
      </c>
      <c r="BU16" s="1">
        <f>BU15+20</f>
        <v/>
      </c>
      <c r="BV16" s="1">
        <f>BW15</f>
        <v/>
      </c>
      <c r="BY16" t="inlineStr">
        <is>
          <t>60mL/3s/30s</t>
        </is>
      </c>
      <c r="CC16" s="1">
        <f>IF(BW16="", "", (BV16-BW16)*1000/(BU16-BU15))</f>
        <v/>
      </c>
      <c r="CD16" s="1">
        <f>IF(CC16="","",CC16/BZ$2/3)</f>
        <v/>
      </c>
      <c r="CE16" s="1">
        <f>IF(CC16="","", 100*_xlfn.STDEV.P(CC15:CC16)/AVERAGE(CC15:CC16))</f>
        <v/>
      </c>
      <c r="CF16" s="8">
        <f t="array" ref="CF16">IF(CC16="","", IFERROR(((IF(CC$5&lt;&gt;"", CC$5*BU$5, 0) + SUMPRODUCT(--(CC$6:CC16&lt;&gt;""), CC$6:CC16, (BU$6:BU16-BU$5:BU15)))/1000), ""))</f>
        <v/>
      </c>
      <c r="CG16" s="1">
        <f>CG15+20</f>
        <v/>
      </c>
      <c r="CH16" s="1">
        <f>CI15</f>
        <v/>
      </c>
      <c r="CK16" t="inlineStr">
        <is>
          <t>60mL/3s/30s</t>
        </is>
      </c>
      <c r="CO16" s="1">
        <f>IF(CI16="", "", (CH16-CI16)*1000/(CG16-CG15))</f>
        <v/>
      </c>
      <c r="CP16" s="1">
        <f>IF(CO16="","",CO16/CL$2/3)</f>
        <v/>
      </c>
      <c r="CQ16" s="1">
        <f>IF(CO16="","", 100*_xlfn.STDEV.P(CO15:CO16)/AVERAGE(CO15:CO16))</f>
        <v/>
      </c>
      <c r="CR16" s="8">
        <f t="array" ref="CR16">IF(CO16="","", IFERROR(((IF(CO$5&lt;&gt;"", CO$5*CG$5, 0) + SUMPRODUCT(--(CO$6:CO16&lt;&gt;""), CO$6:CO16, (CG$6:CG16-CG$5:CG15)))/1000), ""))</f>
        <v/>
      </c>
    </row>
    <row r="17">
      <c r="A17" s="1">
        <f>A16+20</f>
        <v/>
      </c>
      <c r="B17" s="1">
        <f>C16</f>
        <v/>
      </c>
      <c r="E17" t="inlineStr">
        <is>
          <t>60mL/3s/30s</t>
        </is>
      </c>
      <c r="I17" s="1">
        <f>IF(C17="", "", (B17-C17)*1000/(A17-A16))</f>
        <v/>
      </c>
      <c r="J17" s="1">
        <f>IF(I17="","",I17/F$2/3)</f>
        <v/>
      </c>
      <c r="K17" s="1">
        <f>IF(I17="","", 100*_xlfn.STDEV.P(I16:I17)/AVERAGE(I16:I17))</f>
        <v/>
      </c>
      <c r="L17" s="8">
        <f t="array" ref="L17">IF(I17="","", IFERROR(((IF(I$5&lt;&gt;"", I$5*A$5, 0) + SUMPRODUCT(--(I$6:I17&lt;&gt;""), I$6:I17, (A$6:A17-A$5:A16)))/1000), ""))</f>
        <v/>
      </c>
      <c r="M17" s="1">
        <f>M16+20</f>
        <v/>
      </c>
      <c r="N17" s="1">
        <f>O16</f>
        <v/>
      </c>
      <c r="Q17" t="inlineStr">
        <is>
          <t>60mL/3s/30s</t>
        </is>
      </c>
      <c r="U17" s="1">
        <f>IF(O17="", "", (N17-O17)*1000/(M17-M16))</f>
        <v/>
      </c>
      <c r="V17" s="1">
        <f>IF(U17="","",U17/R$2/3)</f>
        <v/>
      </c>
      <c r="W17" s="1">
        <f>IF(U17="","", 100*_xlfn.STDEV.P(U16:U17)/AVERAGE(U16:U17))</f>
        <v/>
      </c>
      <c r="X17" s="8">
        <f t="array" ref="X17">IF(U17="","", IFERROR(((IF(U$5&lt;&gt;"", U$5*M$5, 0) + SUMPRODUCT(--(U$6:U17&lt;&gt;""), U$6:U17, (M$6:M17-M$5:M16)))/1000), ""))</f>
        <v/>
      </c>
      <c r="Y17" s="1">
        <f>Y16+20</f>
        <v/>
      </c>
      <c r="Z17" s="1">
        <f>AA16</f>
        <v/>
      </c>
      <c r="AC17" t="inlineStr">
        <is>
          <t>60mL/3s/30s</t>
        </is>
      </c>
      <c r="AG17" s="1">
        <f>IF(AA17="", "", (Z17-AA17)*1000/(Y17-Y16))</f>
        <v/>
      </c>
      <c r="AH17" s="1">
        <f>IF(AG17="","",AG17/AD$2/3)</f>
        <v/>
      </c>
      <c r="AI17" s="1">
        <f>IF(AG17="","", 100*_xlfn.STDEV.P(AG16:AG17)/AVERAGE(AG16:AG17))</f>
        <v/>
      </c>
      <c r="AJ17" s="8">
        <f t="array" ref="AJ17">IF(AG17="","", IFERROR(((IF(AG$5&lt;&gt;"", AG$5*Y$5, 0) + SUMPRODUCT(--(AG$6:AG17&lt;&gt;""), AG$6:AG17, (Y$6:Y17-Y$5:Y16)))/1000), ""))</f>
        <v/>
      </c>
      <c r="AK17" s="1">
        <f>AK16+20</f>
        <v/>
      </c>
      <c r="AL17" s="1">
        <f>AM16</f>
        <v/>
      </c>
      <c r="AO17" t="inlineStr">
        <is>
          <t>60mL/3s/30s</t>
        </is>
      </c>
      <c r="AS17" s="1">
        <f>IF(AM17="", "", (AL17-AM17)*1000/(AK17-AK16))</f>
        <v/>
      </c>
      <c r="AT17" s="1">
        <f>IF(AS17="","",AS17/AP$2/3)</f>
        <v/>
      </c>
      <c r="AU17" s="1">
        <f>IF(AS17="","", 100*_xlfn.STDEV.P(AS16:AS17)/AVERAGE(AS16:AS17))</f>
        <v/>
      </c>
      <c r="AV17" s="8">
        <f t="array" ref="AV17">IF(AS17="","", IFERROR(((IF(AS$5&lt;&gt;"", AS$5*AK$5, 0) + SUMPRODUCT(--(AS$6:AS17&lt;&gt;""), AS$6:AS17, (AK$6:AK17-AK$5:AK16)))/1000), ""))</f>
        <v/>
      </c>
      <c r="AW17" s="1">
        <f>AW16+20</f>
        <v/>
      </c>
      <c r="AX17" s="1">
        <f>AY16</f>
        <v/>
      </c>
      <c r="BA17" t="inlineStr">
        <is>
          <t>60mL/3s/30s</t>
        </is>
      </c>
      <c r="BE17" s="1">
        <f>IF(AY17="", "", (AX17-AY17)*1000/(AW17-AW16))</f>
        <v/>
      </c>
      <c r="BF17" s="1">
        <f>IF(BE17="","",BE17/BB$2/3)</f>
        <v/>
      </c>
      <c r="BG17" s="1">
        <f>IF(BE17="","", 100*_xlfn.STDEV.P(BE16:BE17)/AVERAGE(BE16:BE17))</f>
        <v/>
      </c>
      <c r="BH17" s="8">
        <f t="array" ref="BH17">IF(BE17="","", IFERROR(((IF(BE$5&lt;&gt;"", BE$5*AW$5, 0) + SUMPRODUCT(--(BE$6:BE17&lt;&gt;""), BE$6:BE17, (AW$6:AW17-AW$5:AW16)))/1000), ""))</f>
        <v/>
      </c>
      <c r="BI17" s="1">
        <f>BI16+20</f>
        <v/>
      </c>
      <c r="BJ17" s="1">
        <f>BK16</f>
        <v/>
      </c>
      <c r="BM17" t="inlineStr">
        <is>
          <t>60mL/3s/30s</t>
        </is>
      </c>
      <c r="BQ17" s="1">
        <f>IF(BK17="", "", (BJ17-BK17)*1000/(BI17-BI16))</f>
        <v/>
      </c>
      <c r="BR17" s="1">
        <f>IF(BQ17="","",BQ17/BN$2/3)</f>
        <v/>
      </c>
      <c r="BS17" s="1">
        <f>IF(BQ17="","", 100*_xlfn.STDEV.P(BQ16:BQ17)/AVERAGE(BQ16:BQ17))</f>
        <v/>
      </c>
      <c r="BT17" s="8">
        <f t="array" ref="BT17">IF(BQ17="","", IFERROR(((IF(BQ$5&lt;&gt;"", BQ$5*BI$5, 0) + SUMPRODUCT(--(BQ$6:BQ17&lt;&gt;""), BQ$6:BQ17, (BI$6:BI17-BI$5:BI16)))/1000), ""))</f>
        <v/>
      </c>
      <c r="BU17" s="1">
        <f>BU16+20</f>
        <v/>
      </c>
      <c r="BV17" s="1">
        <f>BW16</f>
        <v/>
      </c>
      <c r="BY17" t="inlineStr">
        <is>
          <t>60mL/3s/30s</t>
        </is>
      </c>
      <c r="CC17" s="1">
        <f>IF(BW17="", "", (BV17-BW17)*1000/(BU17-BU16))</f>
        <v/>
      </c>
      <c r="CD17" s="1">
        <f>IF(CC17="","",CC17/BZ$2/3)</f>
        <v/>
      </c>
      <c r="CE17" s="1">
        <f>IF(CC17="","", 100*_xlfn.STDEV.P(CC16:CC17)/AVERAGE(CC16:CC17))</f>
        <v/>
      </c>
      <c r="CF17" s="8">
        <f t="array" ref="CF17">IF(CC17="","", IFERROR(((IF(CC$5&lt;&gt;"", CC$5*BU$5, 0) + SUMPRODUCT(--(CC$6:CC17&lt;&gt;""), CC$6:CC17, (BU$6:BU17-BU$5:BU16)))/1000), ""))</f>
        <v/>
      </c>
      <c r="CG17" s="1">
        <f>CG16+20</f>
        <v/>
      </c>
      <c r="CH17" s="1">
        <f>CI16</f>
        <v/>
      </c>
      <c r="CK17" t="inlineStr">
        <is>
          <t>60mL/3s/30s</t>
        </is>
      </c>
      <c r="CO17" s="1">
        <f>IF(CI17="", "", (CH17-CI17)*1000/(CG17-CG16))</f>
        <v/>
      </c>
      <c r="CP17" s="1">
        <f>IF(CO17="","",CO17/CL$2/3)</f>
        <v/>
      </c>
      <c r="CQ17" s="1">
        <f>IF(CO17="","", 100*_xlfn.STDEV.P(CO16:CO17)/AVERAGE(CO16:CO17))</f>
        <v/>
      </c>
      <c r="CR17" s="8">
        <f t="array" ref="CR17">IF(CO17="","", IFERROR(((IF(CO$5&lt;&gt;"", CO$5*CG$5, 0) + SUMPRODUCT(--(CO$6:CO17&lt;&gt;""), CO$6:CO17, (CG$6:CG17-CG$5:CG16)))/1000), ""))</f>
        <v/>
      </c>
    </row>
    <row r="18">
      <c r="A18" s="1">
        <f>A17+20</f>
        <v/>
      </c>
      <c r="B18" s="1">
        <f>C17</f>
        <v/>
      </c>
      <c r="E18" t="inlineStr">
        <is>
          <t>60mL/3s/30s</t>
        </is>
      </c>
      <c r="I18" s="1">
        <f>IF(C18="", "", (B18-C18)*1000/(A18-A17))</f>
        <v/>
      </c>
      <c r="J18" s="1">
        <f>IF(I18="","",I18/F$2/3)</f>
        <v/>
      </c>
      <c r="K18" s="1">
        <f>IF(I18="","", 100*_xlfn.STDEV.P(I17:I18)/AVERAGE(I17:I18))</f>
        <v/>
      </c>
      <c r="L18" s="8">
        <f t="array" ref="L18">IF(I18="","", IFERROR(((IF(I$5&lt;&gt;"", I$5*A$5, 0) + SUMPRODUCT(--(I$6:I18&lt;&gt;""), I$6:I18, (A$6:A18-A$5:A17)))/1000), ""))</f>
        <v/>
      </c>
      <c r="M18" s="1">
        <f>M17+20</f>
        <v/>
      </c>
      <c r="N18" s="1">
        <f>O17</f>
        <v/>
      </c>
      <c r="Q18" t="inlineStr">
        <is>
          <t>60mL/3s/30s</t>
        </is>
      </c>
      <c r="U18" s="1">
        <f>IF(O18="", "", (N18-O18)*1000/(M18-M17))</f>
        <v/>
      </c>
      <c r="V18" s="1">
        <f>IF(U18="","",U18/R$2/3)</f>
        <v/>
      </c>
      <c r="W18" s="1">
        <f>IF(U18="","", 100*_xlfn.STDEV.P(U17:U18)/AVERAGE(U17:U18))</f>
        <v/>
      </c>
      <c r="X18" s="8">
        <f t="array" ref="X18">IF(U18="","", IFERROR(((IF(U$5&lt;&gt;"", U$5*M$5, 0) + SUMPRODUCT(--(U$6:U18&lt;&gt;""), U$6:U18, (M$6:M18-M$5:M17)))/1000), ""))</f>
        <v/>
      </c>
      <c r="Y18" s="1">
        <f>Y17+20</f>
        <v/>
      </c>
      <c r="Z18" s="1">
        <f>AA17</f>
        <v/>
      </c>
      <c r="AC18" t="inlineStr">
        <is>
          <t>60mL/3s/30s</t>
        </is>
      </c>
      <c r="AG18" s="1">
        <f>IF(AA18="", "", (Z18-AA18)*1000/(Y18-Y17))</f>
        <v/>
      </c>
      <c r="AH18" s="1">
        <f>IF(AG18="","",AG18/AD$2/3)</f>
        <v/>
      </c>
      <c r="AI18" s="1">
        <f>IF(AG18="","", 100*_xlfn.STDEV.P(AG17:AG18)/AVERAGE(AG17:AG18))</f>
        <v/>
      </c>
      <c r="AJ18" s="8">
        <f t="array" ref="AJ18">IF(AG18="","", IFERROR(((IF(AG$5&lt;&gt;"", AG$5*Y$5, 0) + SUMPRODUCT(--(AG$6:AG18&lt;&gt;""), AG$6:AG18, (Y$6:Y18-Y$5:Y17)))/1000), ""))</f>
        <v/>
      </c>
      <c r="AK18" s="1">
        <f>AK17+20</f>
        <v/>
      </c>
      <c r="AL18" s="1">
        <f>AM17</f>
        <v/>
      </c>
      <c r="AO18" t="inlineStr">
        <is>
          <t>60mL/3s/30s</t>
        </is>
      </c>
      <c r="AS18" s="1">
        <f>IF(AM18="", "", (AL18-AM18)*1000/(AK18-AK17))</f>
        <v/>
      </c>
      <c r="AT18" s="1">
        <f>IF(AS18="","",AS18/AP$2/3)</f>
        <v/>
      </c>
      <c r="AU18" s="1">
        <f>IF(AS18="","", 100*_xlfn.STDEV.P(AS17:AS18)/AVERAGE(AS17:AS18))</f>
        <v/>
      </c>
      <c r="AV18" s="8">
        <f t="array" ref="AV18">IF(AS18="","", IFERROR(((IF(AS$5&lt;&gt;"", AS$5*AK$5, 0) + SUMPRODUCT(--(AS$6:AS18&lt;&gt;""), AS$6:AS18, (AK$6:AK18-AK$5:AK17)))/1000), ""))</f>
        <v/>
      </c>
      <c r="AW18" s="1">
        <f>AW17+20</f>
        <v/>
      </c>
      <c r="AX18" s="1">
        <f>AY17</f>
        <v/>
      </c>
      <c r="BA18" t="inlineStr">
        <is>
          <t>60mL/3s/30s</t>
        </is>
      </c>
      <c r="BE18" s="1">
        <f>IF(AY18="", "", (AX18-AY18)*1000/(AW18-AW17))</f>
        <v/>
      </c>
      <c r="BF18" s="1">
        <f>IF(BE18="","",BE18/BB$2/3)</f>
        <v/>
      </c>
      <c r="BG18" s="1">
        <f>IF(BE18="","", 100*_xlfn.STDEV.P(BE17:BE18)/AVERAGE(BE17:BE18))</f>
        <v/>
      </c>
      <c r="BH18" s="8">
        <f t="array" ref="BH18">IF(BE18="","", IFERROR(((IF(BE$5&lt;&gt;"", BE$5*AW$5, 0) + SUMPRODUCT(--(BE$6:BE18&lt;&gt;""), BE$6:BE18, (AW$6:AW18-AW$5:AW17)))/1000), ""))</f>
        <v/>
      </c>
      <c r="BI18" s="1">
        <f>BI17+20</f>
        <v/>
      </c>
      <c r="BJ18" s="1">
        <f>BK17</f>
        <v/>
      </c>
      <c r="BM18" t="inlineStr">
        <is>
          <t>60mL/3s/30s</t>
        </is>
      </c>
      <c r="BQ18" s="1">
        <f>IF(BK18="", "", (BJ18-BK18)*1000/(BI18-BI17))</f>
        <v/>
      </c>
      <c r="BR18" s="1">
        <f>IF(BQ18="","",BQ18/BN$2/3)</f>
        <v/>
      </c>
      <c r="BS18" s="1">
        <f>IF(BQ18="","", 100*_xlfn.STDEV.P(BQ17:BQ18)/AVERAGE(BQ17:BQ18))</f>
        <v/>
      </c>
      <c r="BT18" s="8">
        <f t="array" ref="BT18">IF(BQ18="","", IFERROR(((IF(BQ$5&lt;&gt;"", BQ$5*BI$5, 0) + SUMPRODUCT(--(BQ$6:BQ18&lt;&gt;""), BQ$6:BQ18, (BI$6:BI18-BI$5:BI17)))/1000), ""))</f>
        <v/>
      </c>
      <c r="BU18" s="1">
        <f>BU17+20</f>
        <v/>
      </c>
      <c r="BV18" s="1">
        <f>BW17</f>
        <v/>
      </c>
      <c r="BY18" t="inlineStr">
        <is>
          <t>60mL/3s/30s</t>
        </is>
      </c>
      <c r="CC18" s="1">
        <f>IF(BW18="", "", (BV18-BW18)*1000/(BU18-BU17))</f>
        <v/>
      </c>
      <c r="CD18" s="1">
        <f>IF(CC18="","",CC18/BZ$2/3)</f>
        <v/>
      </c>
      <c r="CE18" s="1">
        <f>IF(CC18="","", 100*_xlfn.STDEV.P(CC17:CC18)/AVERAGE(CC17:CC18))</f>
        <v/>
      </c>
      <c r="CF18" s="8">
        <f t="array" ref="CF18">IF(CC18="","", IFERROR(((IF(CC$5&lt;&gt;"", CC$5*BU$5, 0) + SUMPRODUCT(--(CC$6:CC18&lt;&gt;""), CC$6:CC18, (BU$6:BU18-BU$5:BU17)))/1000), ""))</f>
        <v/>
      </c>
      <c r="CG18" s="1">
        <f>CG17+20</f>
        <v/>
      </c>
      <c r="CH18" s="1">
        <f>CI17</f>
        <v/>
      </c>
      <c r="CK18" t="inlineStr">
        <is>
          <t>60mL/3s/30s</t>
        </is>
      </c>
      <c r="CO18" s="1">
        <f>IF(CI18="", "", (CH18-CI18)*1000/(CG18-CG17))</f>
        <v/>
      </c>
      <c r="CP18" s="1">
        <f>IF(CO18="","",CO18/CL$2/3)</f>
        <v/>
      </c>
      <c r="CQ18" s="1">
        <f>IF(CO18="","", 100*_xlfn.STDEV.P(CO17:CO18)/AVERAGE(CO17:CO18))</f>
        <v/>
      </c>
      <c r="CR18" s="8">
        <f t="array" ref="CR18">IF(CO18="","", IFERROR(((IF(CO$5&lt;&gt;"", CO$5*CG$5, 0) + SUMPRODUCT(--(CO$6:CO18&lt;&gt;""), CO$6:CO18, (CG$6:CG18-CG$5:CG17)))/1000), ""))</f>
        <v/>
      </c>
    </row>
    <row r="19">
      <c r="A19" s="1">
        <f>A18+20</f>
        <v/>
      </c>
      <c r="B19" s="1">
        <f>C18</f>
        <v/>
      </c>
      <c r="E19" t="inlineStr">
        <is>
          <t>60mL/3s/30s</t>
        </is>
      </c>
      <c r="I19" s="1">
        <f>IF(C19="", "", (B19-C19)*1000/(A19-A18))</f>
        <v/>
      </c>
      <c r="J19" s="1">
        <f>IF(I19="","",I19/F$2/3)</f>
        <v/>
      </c>
      <c r="K19" s="1">
        <f>IF(I19="","", 100*_xlfn.STDEV.P(I18:I19)/AVERAGE(I18:I19))</f>
        <v/>
      </c>
      <c r="L19" s="8">
        <f t="array" ref="L19">IF(I19="","", IFERROR(((IF(I$5&lt;&gt;"", I$5*A$5, 0) + SUMPRODUCT(--(I$6:I19&lt;&gt;""), I$6:I19, (A$6:A19-A$5:A18)))/1000), ""))</f>
        <v/>
      </c>
      <c r="M19" s="1">
        <f>M18+20</f>
        <v/>
      </c>
      <c r="N19" s="1">
        <f>O18</f>
        <v/>
      </c>
      <c r="Q19" t="inlineStr">
        <is>
          <t>60mL/3s/30s</t>
        </is>
      </c>
      <c r="U19" s="1">
        <f>IF(O19="", "", (N19-O19)*1000/(M19-M18))</f>
        <v/>
      </c>
      <c r="V19" s="1">
        <f>IF(U19="","",U19/R$2/3)</f>
        <v/>
      </c>
      <c r="W19" s="1">
        <f>IF(U19="","", 100*_xlfn.STDEV.P(U18:U19)/AVERAGE(U18:U19))</f>
        <v/>
      </c>
      <c r="X19" s="8">
        <f t="array" ref="X19">IF(U19="","", IFERROR(((IF(U$5&lt;&gt;"", U$5*M$5, 0) + SUMPRODUCT(--(U$6:U19&lt;&gt;""), U$6:U19, (M$6:M19-M$5:M18)))/1000), ""))</f>
        <v/>
      </c>
      <c r="Y19" s="1">
        <f>Y18+20</f>
        <v/>
      </c>
      <c r="Z19" s="1">
        <f>AA18</f>
        <v/>
      </c>
      <c r="AC19" t="inlineStr">
        <is>
          <t>60mL/3s/30s</t>
        </is>
      </c>
      <c r="AG19" s="1">
        <f>IF(AA19="", "", (Z19-AA19)*1000/(Y19-Y18))</f>
        <v/>
      </c>
      <c r="AH19" s="1">
        <f>IF(AG19="","",AG19/AD$2/3)</f>
        <v/>
      </c>
      <c r="AI19" s="1">
        <f>IF(AG19="","", 100*_xlfn.STDEV.P(AG18:AG19)/AVERAGE(AG18:AG19))</f>
        <v/>
      </c>
      <c r="AJ19" s="8">
        <f t="array" ref="AJ19">IF(AG19="","", IFERROR(((IF(AG$5&lt;&gt;"", AG$5*Y$5, 0) + SUMPRODUCT(--(AG$6:AG19&lt;&gt;""), AG$6:AG19, (Y$6:Y19-Y$5:Y18)))/1000), ""))</f>
        <v/>
      </c>
      <c r="AK19" s="1">
        <f>AK18+20</f>
        <v/>
      </c>
      <c r="AL19" s="1">
        <f>AM18</f>
        <v/>
      </c>
      <c r="AO19" t="inlineStr">
        <is>
          <t>60mL/3s/30s</t>
        </is>
      </c>
      <c r="AS19" s="1">
        <f>IF(AM19="", "", (AL19-AM19)*1000/(AK19-AK18))</f>
        <v/>
      </c>
      <c r="AT19" s="1">
        <f>IF(AS19="","",AS19/AP$2/3)</f>
        <v/>
      </c>
      <c r="AU19" s="1">
        <f>IF(AS19="","", 100*_xlfn.STDEV.P(AS18:AS19)/AVERAGE(AS18:AS19))</f>
        <v/>
      </c>
      <c r="AV19" s="8">
        <f t="array" ref="AV19">IF(AS19="","", IFERROR(((IF(AS$5&lt;&gt;"", AS$5*AK$5, 0) + SUMPRODUCT(--(AS$6:AS19&lt;&gt;""), AS$6:AS19, (AK$6:AK19-AK$5:AK18)))/1000), ""))</f>
        <v/>
      </c>
      <c r="AW19" s="1">
        <f>AW18+20</f>
        <v/>
      </c>
      <c r="AX19" s="1">
        <f>AY18</f>
        <v/>
      </c>
      <c r="BA19" t="inlineStr">
        <is>
          <t>60mL/3s/30s</t>
        </is>
      </c>
      <c r="BE19" s="1">
        <f>IF(AY19="", "", (AX19-AY19)*1000/(AW19-AW18))</f>
        <v/>
      </c>
      <c r="BF19" s="1">
        <f>IF(BE19="","",BE19/BB$2/3)</f>
        <v/>
      </c>
      <c r="BG19" s="1">
        <f>IF(BE19="","", 100*_xlfn.STDEV.P(BE18:BE19)/AVERAGE(BE18:BE19))</f>
        <v/>
      </c>
      <c r="BH19" s="8">
        <f t="array" ref="BH19">IF(BE19="","", IFERROR(((IF(BE$5&lt;&gt;"", BE$5*AW$5, 0) + SUMPRODUCT(--(BE$6:BE19&lt;&gt;""), BE$6:BE19, (AW$6:AW19-AW$5:AW18)))/1000), ""))</f>
        <v/>
      </c>
      <c r="BI19" s="1">
        <f>BI18+20</f>
        <v/>
      </c>
      <c r="BJ19" s="1">
        <f>BK18</f>
        <v/>
      </c>
      <c r="BM19" t="inlineStr">
        <is>
          <t>60mL/3s/30s</t>
        </is>
      </c>
      <c r="BQ19" s="1">
        <f>IF(BK19="", "", (BJ19-BK19)*1000/(BI19-BI18))</f>
        <v/>
      </c>
      <c r="BR19" s="1">
        <f>IF(BQ19="","",BQ19/BN$2/3)</f>
        <v/>
      </c>
      <c r="BS19" s="1">
        <f>IF(BQ19="","", 100*_xlfn.STDEV.P(BQ18:BQ19)/AVERAGE(BQ18:BQ19))</f>
        <v/>
      </c>
      <c r="BT19" s="8">
        <f t="array" ref="BT19">IF(BQ19="","", IFERROR(((IF(BQ$5&lt;&gt;"", BQ$5*BI$5, 0) + SUMPRODUCT(--(BQ$6:BQ19&lt;&gt;""), BQ$6:BQ19, (BI$6:BI19-BI$5:BI18)))/1000), ""))</f>
        <v/>
      </c>
      <c r="BU19" s="1">
        <f>BU18+20</f>
        <v/>
      </c>
      <c r="BV19" s="1">
        <f>BW18</f>
        <v/>
      </c>
      <c r="BY19" t="inlineStr">
        <is>
          <t>60mL/3s/30s</t>
        </is>
      </c>
      <c r="CC19" s="1">
        <f>IF(BW19="", "", (BV19-BW19)*1000/(BU19-BU18))</f>
        <v/>
      </c>
      <c r="CD19" s="1">
        <f>IF(CC19="","",CC19/BZ$2/3)</f>
        <v/>
      </c>
      <c r="CE19" s="1">
        <f>IF(CC19="","", 100*_xlfn.STDEV.P(CC18:CC19)/AVERAGE(CC18:CC19))</f>
        <v/>
      </c>
      <c r="CF19" s="8">
        <f t="array" ref="CF19">IF(CC19="","", IFERROR(((IF(CC$5&lt;&gt;"", CC$5*BU$5, 0) + SUMPRODUCT(--(CC$6:CC19&lt;&gt;""), CC$6:CC19, (BU$6:BU19-BU$5:BU18)))/1000), ""))</f>
        <v/>
      </c>
      <c r="CG19" s="1">
        <f>CG18+20</f>
        <v/>
      </c>
      <c r="CH19" s="1">
        <f>CI18</f>
        <v/>
      </c>
      <c r="CK19" t="inlineStr">
        <is>
          <t>60mL/3s/30s</t>
        </is>
      </c>
      <c r="CO19" s="1">
        <f>IF(CI19="", "", (CH19-CI19)*1000/(CG19-CG18))</f>
        <v/>
      </c>
      <c r="CP19" s="1">
        <f>IF(CO19="","",CO19/CL$2/3)</f>
        <v/>
      </c>
      <c r="CQ19" s="1">
        <f>IF(CO19="","", 100*_xlfn.STDEV.P(CO18:CO19)/AVERAGE(CO18:CO19))</f>
        <v/>
      </c>
      <c r="CR19" s="8">
        <f t="array" ref="CR19">IF(CO19="","", IFERROR(((IF(CO$5&lt;&gt;"", CO$5*CG$5, 0) + SUMPRODUCT(--(CO$6:CO19&lt;&gt;""), CO$6:CO19, (CG$6:CG19-CG$5:CG18)))/1000), ""))</f>
        <v/>
      </c>
    </row>
    <row r="20">
      <c r="A20" s="1">
        <f>A19+20</f>
        <v/>
      </c>
      <c r="B20" s="1">
        <f>C19</f>
        <v/>
      </c>
      <c r="E20" t="inlineStr">
        <is>
          <t>60mL/3s/30s</t>
        </is>
      </c>
      <c r="I20" s="1">
        <f>IF(C20="", "", (B20-C20)*1000/(A20-A19))</f>
        <v/>
      </c>
      <c r="J20" s="1">
        <f>IF(I20="","",I20/F$2/3)</f>
        <v/>
      </c>
      <c r="K20" s="1">
        <f>IF(I20="","", 100*_xlfn.STDEV.P(I19:I20)/AVERAGE(I19:I20))</f>
        <v/>
      </c>
      <c r="L20" s="8">
        <f t="array" ref="L20">IF(I20="","", IFERROR(((IF(I$5&lt;&gt;"", I$5*A$5, 0) + SUMPRODUCT(--(I$6:I20&lt;&gt;""), I$6:I20, (A$6:A20-A$5:A19)))/1000), ""))</f>
        <v/>
      </c>
      <c r="M20" s="1">
        <f>M19+20</f>
        <v/>
      </c>
      <c r="N20" s="1">
        <f>O19</f>
        <v/>
      </c>
      <c r="Q20" t="inlineStr">
        <is>
          <t>60mL/3s/30s</t>
        </is>
      </c>
      <c r="U20" s="1">
        <f>IF(O20="", "", (N20-O20)*1000/(M20-M19))</f>
        <v/>
      </c>
      <c r="V20" s="1">
        <f>IF(U20="","",U20/R$2/3)</f>
        <v/>
      </c>
      <c r="W20" s="1">
        <f>IF(U20="","", 100*_xlfn.STDEV.P(U19:U20)/AVERAGE(U19:U20))</f>
        <v/>
      </c>
      <c r="X20" s="8">
        <f t="array" ref="X20">IF(U20="","", IFERROR(((IF(U$5&lt;&gt;"", U$5*M$5, 0) + SUMPRODUCT(--(U$6:U20&lt;&gt;""), U$6:U20, (M$6:M20-M$5:M19)))/1000), ""))</f>
        <v/>
      </c>
      <c r="Y20" s="1">
        <f>Y19+20</f>
        <v/>
      </c>
      <c r="Z20" s="1">
        <f>AA19</f>
        <v/>
      </c>
      <c r="AC20" t="inlineStr">
        <is>
          <t>60mL/3s/30s</t>
        </is>
      </c>
      <c r="AG20" s="1">
        <f>IF(AA20="", "", (Z20-AA20)*1000/(Y20-Y19))</f>
        <v/>
      </c>
      <c r="AH20" s="1">
        <f>IF(AG20="","",AG20/AD$2/3)</f>
        <v/>
      </c>
      <c r="AI20" s="1">
        <f>IF(AG20="","", 100*_xlfn.STDEV.P(AG19:AG20)/AVERAGE(AG19:AG20))</f>
        <v/>
      </c>
      <c r="AJ20" s="8">
        <f t="array" ref="AJ20">IF(AG20="","", IFERROR(((IF(AG$5&lt;&gt;"", AG$5*Y$5, 0) + SUMPRODUCT(--(AG$6:AG20&lt;&gt;""), AG$6:AG20, (Y$6:Y20-Y$5:Y19)))/1000), ""))</f>
        <v/>
      </c>
      <c r="AK20" s="1">
        <f>AK19+20</f>
        <v/>
      </c>
      <c r="AL20" s="1">
        <f>AM19</f>
        <v/>
      </c>
      <c r="AO20" t="inlineStr">
        <is>
          <t>60mL/3s/30s</t>
        </is>
      </c>
      <c r="AS20" s="1">
        <f>IF(AM20="", "", (AL20-AM20)*1000/(AK20-AK19))</f>
        <v/>
      </c>
      <c r="AT20" s="1">
        <f>IF(AS20="","",AS20/AP$2/3)</f>
        <v/>
      </c>
      <c r="AU20" s="1">
        <f>IF(AS20="","", 100*_xlfn.STDEV.P(AS19:AS20)/AVERAGE(AS19:AS20))</f>
        <v/>
      </c>
      <c r="AV20" s="8">
        <f t="array" ref="AV20">IF(AS20="","", IFERROR(((IF(AS$5&lt;&gt;"", AS$5*AK$5, 0) + SUMPRODUCT(--(AS$6:AS20&lt;&gt;""), AS$6:AS20, (AK$6:AK20-AK$5:AK19)))/1000), ""))</f>
        <v/>
      </c>
      <c r="AW20" s="1">
        <f>AW19+20</f>
        <v/>
      </c>
      <c r="AX20" s="1">
        <f>AY19</f>
        <v/>
      </c>
      <c r="BA20" t="inlineStr">
        <is>
          <t>60mL/3s/30s</t>
        </is>
      </c>
      <c r="BE20" s="1">
        <f>IF(AY20="", "", (AX20-AY20)*1000/(AW20-AW19))</f>
        <v/>
      </c>
      <c r="BF20" s="1">
        <f>IF(BE20="","",BE20/BB$2/3)</f>
        <v/>
      </c>
      <c r="BG20" s="1">
        <f>IF(BE20="","", 100*_xlfn.STDEV.P(BE19:BE20)/AVERAGE(BE19:BE20))</f>
        <v/>
      </c>
      <c r="BH20" s="8">
        <f t="array" ref="BH20">IF(BE20="","", IFERROR(((IF(BE$5&lt;&gt;"", BE$5*AW$5, 0) + SUMPRODUCT(--(BE$6:BE20&lt;&gt;""), BE$6:BE20, (AW$6:AW20-AW$5:AW19)))/1000), ""))</f>
        <v/>
      </c>
      <c r="BI20" s="1">
        <f>BI19+20</f>
        <v/>
      </c>
      <c r="BJ20" s="1">
        <f>BK19</f>
        <v/>
      </c>
      <c r="BM20" t="inlineStr">
        <is>
          <t>60mL/3s/30s</t>
        </is>
      </c>
      <c r="BQ20" s="1">
        <f>IF(BK20="", "", (BJ20-BK20)*1000/(BI20-BI19))</f>
        <v/>
      </c>
      <c r="BR20" s="1">
        <f>IF(BQ20="","",BQ20/BN$2/3)</f>
        <v/>
      </c>
      <c r="BS20" s="1">
        <f>IF(BQ20="","", 100*_xlfn.STDEV.P(BQ19:BQ20)/AVERAGE(BQ19:BQ20))</f>
        <v/>
      </c>
      <c r="BT20" s="8">
        <f t="array" ref="BT20">IF(BQ20="","", IFERROR(((IF(BQ$5&lt;&gt;"", BQ$5*BI$5, 0) + SUMPRODUCT(--(BQ$6:BQ20&lt;&gt;""), BQ$6:BQ20, (BI$6:BI20-BI$5:BI19)))/1000), ""))</f>
        <v/>
      </c>
      <c r="BU20" s="1">
        <f>BU19+20</f>
        <v/>
      </c>
      <c r="BV20" s="1">
        <f>BW19</f>
        <v/>
      </c>
      <c r="BY20" t="inlineStr">
        <is>
          <t>60mL/3s/30s</t>
        </is>
      </c>
      <c r="CC20" s="1">
        <f>IF(BW20="", "", (BV20-BW20)*1000/(BU20-BU19))</f>
        <v/>
      </c>
      <c r="CD20" s="1">
        <f>IF(CC20="","",CC20/BZ$2/3)</f>
        <v/>
      </c>
      <c r="CE20" s="1">
        <f>IF(CC20="","", 100*_xlfn.STDEV.P(CC19:CC20)/AVERAGE(CC19:CC20))</f>
        <v/>
      </c>
      <c r="CF20" s="8">
        <f t="array" ref="CF20">IF(CC20="","", IFERROR(((IF(CC$5&lt;&gt;"", CC$5*BU$5, 0) + SUMPRODUCT(--(CC$6:CC20&lt;&gt;""), CC$6:CC20, (BU$6:BU20-BU$5:BU19)))/1000), ""))</f>
        <v/>
      </c>
      <c r="CG20" s="1">
        <f>CG19+20</f>
        <v/>
      </c>
      <c r="CH20" s="1">
        <f>CI19</f>
        <v/>
      </c>
      <c r="CK20" t="inlineStr">
        <is>
          <t>60mL/3s/30s</t>
        </is>
      </c>
      <c r="CO20" s="1">
        <f>IF(CI20="", "", (CH20-CI20)*1000/(CG20-CG19))</f>
        <v/>
      </c>
      <c r="CP20" s="1">
        <f>IF(CO20="","",CO20/CL$2/3)</f>
        <v/>
      </c>
      <c r="CQ20" s="1">
        <f>IF(CO20="","", 100*_xlfn.STDEV.P(CO19:CO20)/AVERAGE(CO19:CO20))</f>
        <v/>
      </c>
      <c r="CR20" s="8">
        <f t="array" ref="CR20">IF(CO20="","", IFERROR(((IF(CO$5&lt;&gt;"", CO$5*CG$5, 0) + SUMPRODUCT(--(CO$6:CO20&lt;&gt;""), CO$6:CO20, (CG$6:CG20-CG$5:CG19)))/1000), ""))</f>
        <v/>
      </c>
    </row>
    <row r="21">
      <c r="A21" s="1">
        <f>A20+20</f>
        <v/>
      </c>
      <c r="B21" s="1">
        <f>C20</f>
        <v/>
      </c>
      <c r="E21" t="inlineStr">
        <is>
          <t>60mL/3s/30s</t>
        </is>
      </c>
      <c r="I21" s="1">
        <f>IF(C21="", "", (B21-C21)*1000/(A21-A20))</f>
        <v/>
      </c>
      <c r="J21" s="1">
        <f>IF(I21="","",I21/F$2/3)</f>
        <v/>
      </c>
      <c r="K21" s="1">
        <f>IF(I21="","", 100*_xlfn.STDEV.P(I20:I21)/AVERAGE(I20:I21))</f>
        <v/>
      </c>
      <c r="L21" s="8">
        <f t="array" ref="L21">IF(I21="","", IFERROR(((IF(I$5&lt;&gt;"", I$5*A$5, 0) + SUMPRODUCT(--(I$6:I21&lt;&gt;""), I$6:I21, (A$6:A21-A$5:A20)))/1000), ""))</f>
        <v/>
      </c>
      <c r="M21" s="1">
        <f>M20+20</f>
        <v/>
      </c>
      <c r="N21" s="1">
        <f>O20</f>
        <v/>
      </c>
      <c r="Q21" t="inlineStr">
        <is>
          <t>60mL/3s/30s</t>
        </is>
      </c>
      <c r="U21" s="1">
        <f>IF(O21="", "", (N21-O21)*1000/(M21-M20))</f>
        <v/>
      </c>
      <c r="V21" s="1">
        <f>IF(U21="","",U21/R$2/3)</f>
        <v/>
      </c>
      <c r="W21" s="1">
        <f>IF(U21="","", 100*_xlfn.STDEV.P(U20:U21)/AVERAGE(U20:U21))</f>
        <v/>
      </c>
      <c r="X21" s="8">
        <f t="array" ref="X21">IF(U21="","", IFERROR(((IF(U$5&lt;&gt;"", U$5*M$5, 0) + SUMPRODUCT(--(U$6:U21&lt;&gt;""), U$6:U21, (M$6:M21-M$5:M20)))/1000), ""))</f>
        <v/>
      </c>
      <c r="Y21" s="1">
        <f>Y20+20</f>
        <v/>
      </c>
      <c r="Z21" s="1">
        <f>AA20</f>
        <v/>
      </c>
      <c r="AC21" t="inlineStr">
        <is>
          <t>60mL/3s/30s</t>
        </is>
      </c>
      <c r="AG21" s="1">
        <f>IF(AA21="", "", (Z21-AA21)*1000/(Y21-Y20))</f>
        <v/>
      </c>
      <c r="AH21" s="1">
        <f>IF(AG21="","",AG21/AD$2/3)</f>
        <v/>
      </c>
      <c r="AI21" s="1">
        <f>IF(AG21="","", 100*_xlfn.STDEV.P(AG20:AG21)/AVERAGE(AG20:AG21))</f>
        <v/>
      </c>
      <c r="AJ21" s="8">
        <f t="array" ref="AJ21">IF(AG21="","", IFERROR(((IF(AG$5&lt;&gt;"", AG$5*Y$5, 0) + SUMPRODUCT(--(AG$6:AG21&lt;&gt;""), AG$6:AG21, (Y$6:Y21-Y$5:Y20)))/1000), ""))</f>
        <v/>
      </c>
      <c r="AK21" s="1">
        <f>AK20+20</f>
        <v/>
      </c>
      <c r="AL21" s="1">
        <f>AM20</f>
        <v/>
      </c>
      <c r="AO21" t="inlineStr">
        <is>
          <t>60mL/3s/30s</t>
        </is>
      </c>
      <c r="AS21" s="1">
        <f>IF(AM21="", "", (AL21-AM21)*1000/(AK21-AK20))</f>
        <v/>
      </c>
      <c r="AT21" s="1">
        <f>IF(AS21="","",AS21/AP$2/3)</f>
        <v/>
      </c>
      <c r="AU21" s="1">
        <f>IF(AS21="","", 100*_xlfn.STDEV.P(AS20:AS21)/AVERAGE(AS20:AS21))</f>
        <v/>
      </c>
      <c r="AV21" s="8">
        <f t="array" ref="AV21">IF(AS21="","", IFERROR(((IF(AS$5&lt;&gt;"", AS$5*AK$5, 0) + SUMPRODUCT(--(AS$6:AS21&lt;&gt;""), AS$6:AS21, (AK$6:AK21-AK$5:AK20)))/1000), ""))</f>
        <v/>
      </c>
      <c r="AW21" s="1">
        <f>AW20+20</f>
        <v/>
      </c>
      <c r="AX21" s="1">
        <f>AY20</f>
        <v/>
      </c>
      <c r="BA21" t="inlineStr">
        <is>
          <t>60mL/3s/30s</t>
        </is>
      </c>
      <c r="BE21" s="1">
        <f>IF(AY21="", "", (AX21-AY21)*1000/(AW21-AW20))</f>
        <v/>
      </c>
      <c r="BF21" s="1">
        <f>IF(BE21="","",BE21/BB$2/3)</f>
        <v/>
      </c>
      <c r="BG21" s="1">
        <f>IF(BE21="","", 100*_xlfn.STDEV.P(BE20:BE21)/AVERAGE(BE20:BE21))</f>
        <v/>
      </c>
      <c r="BH21" s="8">
        <f t="array" ref="BH21">IF(BE21="","", IFERROR(((IF(BE$5&lt;&gt;"", BE$5*AW$5, 0) + SUMPRODUCT(--(BE$6:BE21&lt;&gt;""), BE$6:BE21, (AW$6:AW21-AW$5:AW20)))/1000), ""))</f>
        <v/>
      </c>
      <c r="BI21" s="1">
        <f>BI20+20</f>
        <v/>
      </c>
      <c r="BJ21" s="1">
        <f>BK20</f>
        <v/>
      </c>
      <c r="BM21" t="inlineStr">
        <is>
          <t>60mL/3s/30s</t>
        </is>
      </c>
      <c r="BQ21" s="1">
        <f>IF(BK21="", "", (BJ21-BK21)*1000/(BI21-BI20))</f>
        <v/>
      </c>
      <c r="BR21" s="1">
        <f>IF(BQ21="","",BQ21/BN$2/3)</f>
        <v/>
      </c>
      <c r="BS21" s="1">
        <f>IF(BQ21="","", 100*_xlfn.STDEV.P(BQ20:BQ21)/AVERAGE(BQ20:BQ21))</f>
        <v/>
      </c>
      <c r="BT21" s="8">
        <f t="array" ref="BT21">IF(BQ21="","", IFERROR(((IF(BQ$5&lt;&gt;"", BQ$5*BI$5, 0) + SUMPRODUCT(--(BQ$6:BQ21&lt;&gt;""), BQ$6:BQ21, (BI$6:BI21-BI$5:BI20)))/1000), ""))</f>
        <v/>
      </c>
      <c r="BU21" s="1">
        <f>BU20+20</f>
        <v/>
      </c>
      <c r="BV21" s="1">
        <f>BW20</f>
        <v/>
      </c>
      <c r="BY21" t="inlineStr">
        <is>
          <t>60mL/3s/30s</t>
        </is>
      </c>
      <c r="CC21" s="1">
        <f>IF(BW21="", "", (BV21-BW21)*1000/(BU21-BU20))</f>
        <v/>
      </c>
      <c r="CD21" s="1">
        <f>IF(CC21="","",CC21/BZ$2/3)</f>
        <v/>
      </c>
      <c r="CE21" s="1">
        <f>IF(CC21="","", 100*_xlfn.STDEV.P(CC20:CC21)/AVERAGE(CC20:CC21))</f>
        <v/>
      </c>
      <c r="CF21" s="8">
        <f t="array" ref="CF21">IF(CC21="","", IFERROR(((IF(CC$5&lt;&gt;"", CC$5*BU$5, 0) + SUMPRODUCT(--(CC$6:CC21&lt;&gt;""), CC$6:CC21, (BU$6:BU21-BU$5:BU20)))/1000), ""))</f>
        <v/>
      </c>
      <c r="CG21" s="1">
        <f>CG20+20</f>
        <v/>
      </c>
      <c r="CH21" s="1">
        <f>CI20</f>
        <v/>
      </c>
      <c r="CK21" t="inlineStr">
        <is>
          <t>60mL/3s/30s</t>
        </is>
      </c>
      <c r="CO21" s="1">
        <f>IF(CI21="", "", (CH21-CI21)*1000/(CG21-CG20))</f>
        <v/>
      </c>
      <c r="CP21" s="1">
        <f>IF(CO21="","",CO21/CL$2/3)</f>
        <v/>
      </c>
      <c r="CQ21" s="1">
        <f>IF(CO21="","", 100*_xlfn.STDEV.P(CO20:CO21)/AVERAGE(CO20:CO21))</f>
        <v/>
      </c>
      <c r="CR21" s="8">
        <f t="array" ref="CR21">IF(CO21="","", IFERROR(((IF(CO$5&lt;&gt;"", CO$5*CG$5, 0) + SUMPRODUCT(--(CO$6:CO21&lt;&gt;""), CO$6:CO21, (CG$6:CG21-CG$5:CG20)))/1000), ""))</f>
        <v/>
      </c>
    </row>
    <row r="22">
      <c r="A22" s="1">
        <f>A21+20</f>
        <v/>
      </c>
      <c r="B22" s="1">
        <f>C21</f>
        <v/>
      </c>
      <c r="E22" t="inlineStr">
        <is>
          <t>60mL/3s/30s</t>
        </is>
      </c>
      <c r="I22" s="1">
        <f>IF(C22="", "", (B22-C22)*1000/(A22-A21))</f>
        <v/>
      </c>
      <c r="J22" s="1">
        <f>IF(I22="","",I22/F$2/3)</f>
        <v/>
      </c>
      <c r="K22" s="1">
        <f>IF(I22="","", 100*_xlfn.STDEV.P(I21:I22)/AVERAGE(I21:I22))</f>
        <v/>
      </c>
      <c r="L22" s="8">
        <f t="array" ref="L22">IF(I22="","", IFERROR(((IF(I$5&lt;&gt;"", I$5*A$5, 0) + SUMPRODUCT(--(I$6:I22&lt;&gt;""), I$6:I22, (A$6:A22-A$5:A21)))/1000), ""))</f>
        <v/>
      </c>
      <c r="M22" s="1">
        <f>M21+20</f>
        <v/>
      </c>
      <c r="N22" s="1">
        <f>O21</f>
        <v/>
      </c>
      <c r="Q22" t="inlineStr">
        <is>
          <t>60mL/3s/30s</t>
        </is>
      </c>
      <c r="U22" s="1">
        <f>IF(O22="", "", (N22-O22)*1000/(M22-M21))</f>
        <v/>
      </c>
      <c r="V22" s="1">
        <f>IF(U22="","",U22/R$2/3)</f>
        <v/>
      </c>
      <c r="W22" s="1">
        <f>IF(U22="","", 100*_xlfn.STDEV.P(U21:U22)/AVERAGE(U21:U22))</f>
        <v/>
      </c>
      <c r="X22" s="8">
        <f t="array" ref="X22">IF(U22="","", IFERROR(((IF(U$5&lt;&gt;"", U$5*M$5, 0) + SUMPRODUCT(--(U$6:U22&lt;&gt;""), U$6:U22, (M$6:M22-M$5:M21)))/1000), ""))</f>
        <v/>
      </c>
      <c r="Y22" s="1">
        <f>Y21+20</f>
        <v/>
      </c>
      <c r="Z22" s="1">
        <f>AA21</f>
        <v/>
      </c>
      <c r="AC22" t="inlineStr">
        <is>
          <t>60mL/3s/30s</t>
        </is>
      </c>
      <c r="AG22" s="1">
        <f>IF(AA22="", "", (Z22-AA22)*1000/(Y22-Y21))</f>
        <v/>
      </c>
      <c r="AH22" s="1">
        <f>IF(AG22="","",AG22/AD$2/3)</f>
        <v/>
      </c>
      <c r="AI22" s="1">
        <f>IF(AG22="","", 100*_xlfn.STDEV.P(AG21:AG22)/AVERAGE(AG21:AG22))</f>
        <v/>
      </c>
      <c r="AJ22" s="8">
        <f t="array" ref="AJ22">IF(AG22="","", IFERROR(((IF(AG$5&lt;&gt;"", AG$5*Y$5, 0) + SUMPRODUCT(--(AG$6:AG22&lt;&gt;""), AG$6:AG22, (Y$6:Y22-Y$5:Y21)))/1000), ""))</f>
        <v/>
      </c>
      <c r="AK22" s="1">
        <f>AK21+20</f>
        <v/>
      </c>
      <c r="AL22" s="1">
        <f>AM21</f>
        <v/>
      </c>
      <c r="AO22" t="inlineStr">
        <is>
          <t>60mL/3s/30s</t>
        </is>
      </c>
      <c r="AS22" s="1">
        <f>IF(AM22="", "", (AL22-AM22)*1000/(AK22-AK21))</f>
        <v/>
      </c>
      <c r="AT22" s="1">
        <f>IF(AS22="","",AS22/AP$2/3)</f>
        <v/>
      </c>
      <c r="AU22" s="1">
        <f>IF(AS22="","", 100*_xlfn.STDEV.P(AS21:AS22)/AVERAGE(AS21:AS22))</f>
        <v/>
      </c>
      <c r="AV22" s="8">
        <f t="array" ref="AV22">IF(AS22="","", IFERROR(((IF(AS$5&lt;&gt;"", AS$5*AK$5, 0) + SUMPRODUCT(--(AS$6:AS22&lt;&gt;""), AS$6:AS22, (AK$6:AK22-AK$5:AK21)))/1000), ""))</f>
        <v/>
      </c>
      <c r="AW22" s="1">
        <f>AW21+20</f>
        <v/>
      </c>
      <c r="AX22" s="1">
        <f>AY21</f>
        <v/>
      </c>
      <c r="BA22" t="inlineStr">
        <is>
          <t>60mL/3s/30s</t>
        </is>
      </c>
      <c r="BE22" s="1">
        <f>IF(AY22="", "", (AX22-AY22)*1000/(AW22-AW21))</f>
        <v/>
      </c>
      <c r="BF22" s="1">
        <f>IF(BE22="","",BE22/BB$2/3)</f>
        <v/>
      </c>
      <c r="BG22" s="1">
        <f>IF(BE22="","", 100*_xlfn.STDEV.P(BE21:BE22)/AVERAGE(BE21:BE22))</f>
        <v/>
      </c>
      <c r="BH22" s="8">
        <f t="array" ref="BH22">IF(BE22="","", IFERROR(((IF(BE$5&lt;&gt;"", BE$5*AW$5, 0) + SUMPRODUCT(--(BE$6:BE22&lt;&gt;""), BE$6:BE22, (AW$6:AW22-AW$5:AW21)))/1000), ""))</f>
        <v/>
      </c>
      <c r="BI22" s="1">
        <f>BI21+20</f>
        <v/>
      </c>
      <c r="BJ22" s="1">
        <f>BK21</f>
        <v/>
      </c>
      <c r="BM22" t="inlineStr">
        <is>
          <t>60mL/3s/30s</t>
        </is>
      </c>
      <c r="BQ22" s="1">
        <f>IF(BK22="", "", (BJ22-BK22)*1000/(BI22-BI21))</f>
        <v/>
      </c>
      <c r="BR22" s="1">
        <f>IF(BQ22="","",BQ22/BN$2/3)</f>
        <v/>
      </c>
      <c r="BS22" s="1">
        <f>IF(BQ22="","", 100*_xlfn.STDEV.P(BQ21:BQ22)/AVERAGE(BQ21:BQ22))</f>
        <v/>
      </c>
      <c r="BT22" s="8">
        <f t="array" ref="BT22">IF(BQ22="","", IFERROR(((IF(BQ$5&lt;&gt;"", BQ$5*BI$5, 0) + SUMPRODUCT(--(BQ$6:BQ22&lt;&gt;""), BQ$6:BQ22, (BI$6:BI22-BI$5:BI21)))/1000), ""))</f>
        <v/>
      </c>
      <c r="BU22" s="1">
        <f>BU21+20</f>
        <v/>
      </c>
      <c r="BV22" s="1">
        <f>BW21</f>
        <v/>
      </c>
      <c r="BY22" t="inlineStr">
        <is>
          <t>60mL/3s/30s</t>
        </is>
      </c>
      <c r="CC22" s="1">
        <f>IF(BW22="", "", (BV22-BW22)*1000/(BU22-BU21))</f>
        <v/>
      </c>
      <c r="CD22" s="1">
        <f>IF(CC22="","",CC22/BZ$2/3)</f>
        <v/>
      </c>
      <c r="CE22" s="1">
        <f>IF(CC22="","", 100*_xlfn.STDEV.P(CC21:CC22)/AVERAGE(CC21:CC22))</f>
        <v/>
      </c>
      <c r="CF22" s="8">
        <f t="array" ref="CF22">IF(CC22="","", IFERROR(((IF(CC$5&lt;&gt;"", CC$5*BU$5, 0) + SUMPRODUCT(--(CC$6:CC22&lt;&gt;""), CC$6:CC22, (BU$6:BU22-BU$5:BU21)))/1000), ""))</f>
        <v/>
      </c>
      <c r="CG22" s="1">
        <f>CG21+20</f>
        <v/>
      </c>
      <c r="CH22" s="1">
        <f>CI21</f>
        <v/>
      </c>
      <c r="CK22" t="inlineStr">
        <is>
          <t>60mL/3s/30s</t>
        </is>
      </c>
      <c r="CO22" s="1">
        <f>IF(CI22="", "", (CH22-CI22)*1000/(CG22-CG21))</f>
        <v/>
      </c>
      <c r="CP22" s="1">
        <f>IF(CO22="","",CO22/CL$2/3)</f>
        <v/>
      </c>
      <c r="CQ22" s="1">
        <f>IF(CO22="","", 100*_xlfn.STDEV.P(CO21:CO22)/AVERAGE(CO21:CO22))</f>
        <v/>
      </c>
      <c r="CR22" s="8">
        <f t="array" ref="CR22">IF(CO22="","", IFERROR(((IF(CO$5&lt;&gt;"", CO$5*CG$5, 0) + SUMPRODUCT(--(CO$6:CO22&lt;&gt;""), CO$6:CO22, (CG$6:CG22-CG$5:CG21)))/1000), ""))</f>
        <v/>
      </c>
    </row>
    <row r="23">
      <c r="A23" s="1">
        <f>A22+20</f>
        <v/>
      </c>
      <c r="B23" s="1">
        <f>C22</f>
        <v/>
      </c>
      <c r="E23" t="inlineStr">
        <is>
          <t>60mL/3s/30s</t>
        </is>
      </c>
      <c r="I23" s="1">
        <f>IF(C23="", "", (B23-C23)*1000/(A23-A22))</f>
        <v/>
      </c>
      <c r="J23" s="1">
        <f>IF(I23="","",I23/F$2/3)</f>
        <v/>
      </c>
      <c r="K23" s="1">
        <f>IF(I23="","", 100*_xlfn.STDEV.P(I22:I23)/AVERAGE(I22:I23))</f>
        <v/>
      </c>
      <c r="L23" s="8">
        <f t="array" ref="L23">IF(I23="","", IFERROR(((IF(I$5&lt;&gt;"", I$5*A$5, 0) + SUMPRODUCT(--(I$6:I23&lt;&gt;""), I$6:I23, (A$6:A23-A$5:A22)))/1000), ""))</f>
        <v/>
      </c>
      <c r="M23" s="1">
        <f>M22+20</f>
        <v/>
      </c>
      <c r="N23" s="1">
        <f>O22</f>
        <v/>
      </c>
      <c r="Q23" t="inlineStr">
        <is>
          <t>60mL/3s/30s</t>
        </is>
      </c>
      <c r="U23" s="1">
        <f>IF(O23="", "", (N23-O23)*1000/(M23-M22))</f>
        <v/>
      </c>
      <c r="V23" s="1">
        <f>IF(U23="","",U23/R$2/3)</f>
        <v/>
      </c>
      <c r="W23" s="1">
        <f>IF(U23="","", 100*_xlfn.STDEV.P(U22:U23)/AVERAGE(U22:U23))</f>
        <v/>
      </c>
      <c r="X23" s="8">
        <f t="array" ref="X23">IF(U23="","", IFERROR(((IF(U$5&lt;&gt;"", U$5*M$5, 0) + SUMPRODUCT(--(U$6:U23&lt;&gt;""), U$6:U23, (M$6:M23-M$5:M22)))/1000), ""))</f>
        <v/>
      </c>
      <c r="Y23" s="1">
        <f>Y22+20</f>
        <v/>
      </c>
      <c r="Z23" s="1">
        <f>AA22</f>
        <v/>
      </c>
      <c r="AC23" t="inlineStr">
        <is>
          <t>60mL/3s/30s</t>
        </is>
      </c>
      <c r="AG23" s="1">
        <f>IF(AA23="", "", (Z23-AA23)*1000/(Y23-Y22))</f>
        <v/>
      </c>
      <c r="AH23" s="1">
        <f>IF(AG23="","",AG23/AD$2/3)</f>
        <v/>
      </c>
      <c r="AI23" s="1">
        <f>IF(AG23="","", 100*_xlfn.STDEV.P(AG22:AG23)/AVERAGE(AG22:AG23))</f>
        <v/>
      </c>
      <c r="AJ23" s="8">
        <f t="array" ref="AJ23">IF(AG23="","", IFERROR(((IF(AG$5&lt;&gt;"", AG$5*Y$5, 0) + SUMPRODUCT(--(AG$6:AG23&lt;&gt;""), AG$6:AG23, (Y$6:Y23-Y$5:Y22)))/1000), ""))</f>
        <v/>
      </c>
      <c r="AK23" s="1">
        <f>AK22+20</f>
        <v/>
      </c>
      <c r="AL23" s="1">
        <f>AM22</f>
        <v/>
      </c>
      <c r="AO23" t="inlineStr">
        <is>
          <t>60mL/3s/30s</t>
        </is>
      </c>
      <c r="AS23" s="1">
        <f>IF(AM23="", "", (AL23-AM23)*1000/(AK23-AK22))</f>
        <v/>
      </c>
      <c r="AT23" s="1">
        <f>IF(AS23="","",AS23/AP$2/3)</f>
        <v/>
      </c>
      <c r="AU23" s="1">
        <f>IF(AS23="","", 100*_xlfn.STDEV.P(AS22:AS23)/AVERAGE(AS22:AS23))</f>
        <v/>
      </c>
      <c r="AV23" s="8">
        <f t="array" ref="AV23">IF(AS23="","", IFERROR(((IF(AS$5&lt;&gt;"", AS$5*AK$5, 0) + SUMPRODUCT(--(AS$6:AS23&lt;&gt;""), AS$6:AS23, (AK$6:AK23-AK$5:AK22)))/1000), ""))</f>
        <v/>
      </c>
      <c r="AW23" s="1">
        <f>AW22+20</f>
        <v/>
      </c>
      <c r="AX23" s="1">
        <f>AY22</f>
        <v/>
      </c>
      <c r="BA23" t="inlineStr">
        <is>
          <t>60mL/3s/30s</t>
        </is>
      </c>
      <c r="BE23" s="1">
        <f>IF(AY23="", "", (AX23-AY23)*1000/(AW23-AW22))</f>
        <v/>
      </c>
      <c r="BF23" s="1">
        <f>IF(BE23="","",BE23/BB$2/3)</f>
        <v/>
      </c>
      <c r="BG23" s="1">
        <f>IF(BE23="","", 100*_xlfn.STDEV.P(BE22:BE23)/AVERAGE(BE22:BE23))</f>
        <v/>
      </c>
      <c r="BH23" s="8">
        <f t="array" ref="BH23">IF(BE23="","", IFERROR(((IF(BE$5&lt;&gt;"", BE$5*AW$5, 0) + SUMPRODUCT(--(BE$6:BE23&lt;&gt;""), BE$6:BE23, (AW$6:AW23-AW$5:AW22)))/1000), ""))</f>
        <v/>
      </c>
      <c r="BI23" s="1">
        <f>BI22+20</f>
        <v/>
      </c>
      <c r="BJ23" s="1">
        <f>BK22</f>
        <v/>
      </c>
      <c r="BM23" t="inlineStr">
        <is>
          <t>60mL/3s/30s</t>
        </is>
      </c>
      <c r="BQ23" s="1">
        <f>IF(BK23="", "", (BJ23-BK23)*1000/(BI23-BI22))</f>
        <v/>
      </c>
      <c r="BR23" s="1">
        <f>IF(BQ23="","",BQ23/BN$2/3)</f>
        <v/>
      </c>
      <c r="BS23" s="1">
        <f>IF(BQ23="","", 100*_xlfn.STDEV.P(BQ22:BQ23)/AVERAGE(BQ22:BQ23))</f>
        <v/>
      </c>
      <c r="BT23" s="8">
        <f t="array" ref="BT23">IF(BQ23="","", IFERROR(((IF(BQ$5&lt;&gt;"", BQ$5*BI$5, 0) + SUMPRODUCT(--(BQ$6:BQ23&lt;&gt;""), BQ$6:BQ23, (BI$6:BI23-BI$5:BI22)))/1000), ""))</f>
        <v/>
      </c>
      <c r="BU23" s="1">
        <f>BU22+20</f>
        <v/>
      </c>
      <c r="BV23" s="1">
        <f>BW22</f>
        <v/>
      </c>
      <c r="BY23" t="inlineStr">
        <is>
          <t>60mL/3s/30s</t>
        </is>
      </c>
      <c r="CC23" s="1">
        <f>IF(BW23="", "", (BV23-BW23)*1000/(BU23-BU22))</f>
        <v/>
      </c>
      <c r="CD23" s="1">
        <f>IF(CC23="","",CC23/BZ$2/3)</f>
        <v/>
      </c>
      <c r="CE23" s="1">
        <f>IF(CC23="","", 100*_xlfn.STDEV.P(CC22:CC23)/AVERAGE(CC22:CC23))</f>
        <v/>
      </c>
      <c r="CF23" s="8">
        <f t="array" ref="CF23">IF(CC23="","", IFERROR(((IF(CC$5&lt;&gt;"", CC$5*BU$5, 0) + SUMPRODUCT(--(CC$6:CC23&lt;&gt;""), CC$6:CC23, (BU$6:BU23-BU$5:BU22)))/1000), ""))</f>
        <v/>
      </c>
      <c r="CG23" s="1">
        <f>CG22+20</f>
        <v/>
      </c>
      <c r="CH23" s="1">
        <f>CI22</f>
        <v/>
      </c>
      <c r="CK23" t="inlineStr">
        <is>
          <t>60mL/3s/30s</t>
        </is>
      </c>
      <c r="CO23" s="1">
        <f>IF(CI23="", "", (CH23-CI23)*1000/(CG23-CG22))</f>
        <v/>
      </c>
      <c r="CP23" s="1">
        <f>IF(CO23="","",CO23/CL$2/3)</f>
        <v/>
      </c>
      <c r="CQ23" s="1">
        <f>IF(CO23="","", 100*_xlfn.STDEV.P(CO22:CO23)/AVERAGE(CO22:CO23))</f>
        <v/>
      </c>
      <c r="CR23" s="8">
        <f t="array" ref="CR23">IF(CO23="","", IFERROR(((IF(CO$5&lt;&gt;"", CO$5*CG$5, 0) + SUMPRODUCT(--(CO$6:CO23&lt;&gt;""), CO$6:CO23, (CG$6:CG23-CG$5:CG22)))/1000), ""))</f>
        <v/>
      </c>
    </row>
    <row r="24">
      <c r="A24" s="1">
        <f>A23+20</f>
        <v/>
      </c>
      <c r="B24" s="1">
        <f>C23</f>
        <v/>
      </c>
      <c r="E24" t="inlineStr">
        <is>
          <t>60mL/3s/30s</t>
        </is>
      </c>
      <c r="I24" s="1">
        <f>IF(C24="", "", (B24-C24)*1000/(A24-A23))</f>
        <v/>
      </c>
      <c r="J24" s="1">
        <f>IF(I24="","",I24/F$2/3)</f>
        <v/>
      </c>
      <c r="K24" s="1">
        <f>IF(I24="","", 100*_xlfn.STDEV.P(I23:I24)/AVERAGE(I23:I24))</f>
        <v/>
      </c>
      <c r="L24" s="8">
        <f t="array" ref="L24">IF(I24="","", IFERROR(((IF(I$5&lt;&gt;"", I$5*A$5, 0) + SUMPRODUCT(--(I$6:I24&lt;&gt;""), I$6:I24, (A$6:A24-A$5:A23)))/1000), ""))</f>
        <v/>
      </c>
      <c r="M24" s="1">
        <f>M23+20</f>
        <v/>
      </c>
      <c r="N24" s="1">
        <f>O23</f>
        <v/>
      </c>
      <c r="Q24" t="inlineStr">
        <is>
          <t>60mL/3s/30s</t>
        </is>
      </c>
      <c r="U24" s="1">
        <f>IF(O24="", "", (N24-O24)*1000/(M24-M23))</f>
        <v/>
      </c>
      <c r="V24" s="1">
        <f>IF(U24="","",U24/R$2/3)</f>
        <v/>
      </c>
      <c r="W24" s="1">
        <f>IF(U24="","", 100*_xlfn.STDEV.P(U23:U24)/AVERAGE(U23:U24))</f>
        <v/>
      </c>
      <c r="X24" s="8">
        <f t="array" ref="X24">IF(U24="","", IFERROR(((IF(U$5&lt;&gt;"", U$5*M$5, 0) + SUMPRODUCT(--(U$6:U24&lt;&gt;""), U$6:U24, (M$6:M24-M$5:M23)))/1000), ""))</f>
        <v/>
      </c>
      <c r="Y24" s="1">
        <f>Y23+20</f>
        <v/>
      </c>
      <c r="Z24" s="1">
        <f>AA23</f>
        <v/>
      </c>
      <c r="AC24" t="inlineStr">
        <is>
          <t>60mL/3s/30s</t>
        </is>
      </c>
      <c r="AG24" s="1">
        <f>IF(AA24="", "", (Z24-AA24)*1000/(Y24-Y23))</f>
        <v/>
      </c>
      <c r="AH24" s="1">
        <f>IF(AG24="","",AG24/AD$2/3)</f>
        <v/>
      </c>
      <c r="AI24" s="1">
        <f>IF(AG24="","", 100*_xlfn.STDEV.P(AG23:AG24)/AVERAGE(AG23:AG24))</f>
        <v/>
      </c>
      <c r="AJ24" s="8">
        <f t="array" ref="AJ24">IF(AG24="","", IFERROR(((IF(AG$5&lt;&gt;"", AG$5*Y$5, 0) + SUMPRODUCT(--(AG$6:AG24&lt;&gt;""), AG$6:AG24, (Y$6:Y24-Y$5:Y23)))/1000), ""))</f>
        <v/>
      </c>
      <c r="AK24" s="1">
        <f>AK23+20</f>
        <v/>
      </c>
      <c r="AL24" s="1">
        <f>AM23</f>
        <v/>
      </c>
      <c r="AO24" t="inlineStr">
        <is>
          <t>60mL/3s/30s</t>
        </is>
      </c>
      <c r="AS24" s="1">
        <f>IF(AM24="", "", (AL24-AM24)*1000/(AK24-AK23))</f>
        <v/>
      </c>
      <c r="AT24" s="1">
        <f>IF(AS24="","",AS24/AP$2/3)</f>
        <v/>
      </c>
      <c r="AU24" s="1">
        <f>IF(AS24="","", 100*_xlfn.STDEV.P(AS23:AS24)/AVERAGE(AS23:AS24))</f>
        <v/>
      </c>
      <c r="AV24" s="8">
        <f t="array" ref="AV24">IF(AS24="","", IFERROR(((IF(AS$5&lt;&gt;"", AS$5*AK$5, 0) + SUMPRODUCT(--(AS$6:AS24&lt;&gt;""), AS$6:AS24, (AK$6:AK24-AK$5:AK23)))/1000), ""))</f>
        <v/>
      </c>
      <c r="AW24" s="1">
        <f>AW23+20</f>
        <v/>
      </c>
      <c r="AX24" s="1">
        <f>AY23</f>
        <v/>
      </c>
      <c r="BA24" t="inlineStr">
        <is>
          <t>60mL/3s/30s</t>
        </is>
      </c>
      <c r="BE24" s="1">
        <f>IF(AY24="", "", (AX24-AY24)*1000/(AW24-AW23))</f>
        <v/>
      </c>
      <c r="BF24" s="1">
        <f>IF(BE24="","",BE24/BB$2/3)</f>
        <v/>
      </c>
      <c r="BG24" s="1">
        <f>IF(BE24="","", 100*_xlfn.STDEV.P(BE23:BE24)/AVERAGE(BE23:BE24))</f>
        <v/>
      </c>
      <c r="BH24" s="8">
        <f t="array" ref="BH24">IF(BE24="","", IFERROR(((IF(BE$5&lt;&gt;"", BE$5*AW$5, 0) + SUMPRODUCT(--(BE$6:BE24&lt;&gt;""), BE$6:BE24, (AW$6:AW24-AW$5:AW23)))/1000), ""))</f>
        <v/>
      </c>
      <c r="BI24" s="1">
        <f>BI23+20</f>
        <v/>
      </c>
      <c r="BJ24" s="1">
        <f>BK23</f>
        <v/>
      </c>
      <c r="BM24" t="inlineStr">
        <is>
          <t>60mL/3s/30s</t>
        </is>
      </c>
      <c r="BQ24" s="1">
        <f>IF(BK24="", "", (BJ24-BK24)*1000/(BI24-BI23))</f>
        <v/>
      </c>
      <c r="BR24" s="1">
        <f>IF(BQ24="","",BQ24/BN$2/3)</f>
        <v/>
      </c>
      <c r="BS24" s="1">
        <f>IF(BQ24="","", 100*_xlfn.STDEV.P(BQ23:BQ24)/AVERAGE(BQ23:BQ24))</f>
        <v/>
      </c>
      <c r="BT24" s="8">
        <f t="array" ref="BT24">IF(BQ24="","", IFERROR(((IF(BQ$5&lt;&gt;"", BQ$5*BI$5, 0) + SUMPRODUCT(--(BQ$6:BQ24&lt;&gt;""), BQ$6:BQ24, (BI$6:BI24-BI$5:BI23)))/1000), ""))</f>
        <v/>
      </c>
      <c r="BU24" s="1">
        <f>BU23+20</f>
        <v/>
      </c>
      <c r="BV24" s="1">
        <f>BW23</f>
        <v/>
      </c>
      <c r="BY24" t="inlineStr">
        <is>
          <t>60mL/3s/30s</t>
        </is>
      </c>
      <c r="CC24" s="1">
        <f>IF(BW24="", "", (BV24-BW24)*1000/(BU24-BU23))</f>
        <v/>
      </c>
      <c r="CD24" s="1">
        <f>IF(CC24="","",CC24/BZ$2/3)</f>
        <v/>
      </c>
      <c r="CE24" s="1">
        <f>IF(CC24="","", 100*_xlfn.STDEV.P(CC23:CC24)/AVERAGE(CC23:CC24))</f>
        <v/>
      </c>
      <c r="CF24" s="8">
        <f t="array" ref="CF24">IF(CC24="","", IFERROR(((IF(CC$5&lt;&gt;"", CC$5*BU$5, 0) + SUMPRODUCT(--(CC$6:CC24&lt;&gt;""), CC$6:CC24, (BU$6:BU24-BU$5:BU23)))/1000), ""))</f>
        <v/>
      </c>
      <c r="CG24" s="1">
        <f>CG23+20</f>
        <v/>
      </c>
      <c r="CH24" s="1">
        <f>CI23</f>
        <v/>
      </c>
      <c r="CK24" t="inlineStr">
        <is>
          <t>60mL/3s/30s</t>
        </is>
      </c>
      <c r="CO24" s="1">
        <f>IF(CI24="", "", (CH24-CI24)*1000/(CG24-CG23))</f>
        <v/>
      </c>
      <c r="CP24" s="1">
        <f>IF(CO24="","",CO24/CL$2/3)</f>
        <v/>
      </c>
      <c r="CQ24" s="1">
        <f>IF(CO24="","", 100*_xlfn.STDEV.P(CO23:CO24)/AVERAGE(CO23:CO24))</f>
        <v/>
      </c>
      <c r="CR24" s="8">
        <f t="array" ref="CR24">IF(CO24="","", IFERROR(((IF(CO$5&lt;&gt;"", CO$5*CG$5, 0) + SUMPRODUCT(--(CO$6:CO24&lt;&gt;""), CO$6:CO24, (CG$6:CG24-CG$5:CG23)))/1000), ""))</f>
        <v/>
      </c>
    </row>
    <row r="25">
      <c r="A25" s="1">
        <f>A24+20</f>
        <v/>
      </c>
      <c r="B25" s="1">
        <f>C24</f>
        <v/>
      </c>
      <c r="E25" t="inlineStr">
        <is>
          <t>60mL/3s/30s</t>
        </is>
      </c>
      <c r="I25" s="1">
        <f>IF(C25="", "", (B25-C25)*1000/(A25-A24))</f>
        <v/>
      </c>
      <c r="J25" s="1">
        <f>IF(I25="","",I25/F$2/3)</f>
        <v/>
      </c>
      <c r="K25" s="1">
        <f>IF(I25="","", 100*_xlfn.STDEV.P(I24:I25)/AVERAGE(I24:I25))</f>
        <v/>
      </c>
      <c r="L25" s="8">
        <f t="array" ref="L25">IF(I25="","", IFERROR(((IF(I$5&lt;&gt;"", I$5*A$5, 0) + SUMPRODUCT(--(I$6:I25&lt;&gt;""), I$6:I25, (A$6:A25-A$5:A24)))/1000), ""))</f>
        <v/>
      </c>
      <c r="M25" s="1">
        <f>M24+20</f>
        <v/>
      </c>
      <c r="N25" s="1">
        <f>O24</f>
        <v/>
      </c>
      <c r="Q25" t="inlineStr">
        <is>
          <t>60mL/3s/30s</t>
        </is>
      </c>
      <c r="U25" s="1">
        <f>IF(O25="", "", (N25-O25)*1000/(M25-M24))</f>
        <v/>
      </c>
      <c r="V25" s="1">
        <f>IF(U25="","",U25/R$2/3)</f>
        <v/>
      </c>
      <c r="W25" s="1">
        <f>IF(U25="","", 100*_xlfn.STDEV.P(U24:U25)/AVERAGE(U24:U25))</f>
        <v/>
      </c>
      <c r="X25" s="8">
        <f t="array" ref="X25">IF(U25="","", IFERROR(((IF(U$5&lt;&gt;"", U$5*M$5, 0) + SUMPRODUCT(--(U$6:U25&lt;&gt;""), U$6:U25, (M$6:M25-M$5:M24)))/1000), ""))</f>
        <v/>
      </c>
      <c r="Y25" s="1">
        <f>Y24+20</f>
        <v/>
      </c>
      <c r="Z25" s="1">
        <f>AA24</f>
        <v/>
      </c>
      <c r="AC25" t="inlineStr">
        <is>
          <t>60mL/3s/30s</t>
        </is>
      </c>
      <c r="AG25" s="1">
        <f>IF(AA25="", "", (Z25-AA25)*1000/(Y25-Y24))</f>
        <v/>
      </c>
      <c r="AH25" s="1">
        <f>IF(AG25="","",AG25/AD$2/3)</f>
        <v/>
      </c>
      <c r="AI25" s="1">
        <f>IF(AG25="","", 100*_xlfn.STDEV.P(AG24:AG25)/AVERAGE(AG24:AG25))</f>
        <v/>
      </c>
      <c r="AJ25" s="8">
        <f t="array" ref="AJ25">IF(AG25="","", IFERROR(((IF(AG$5&lt;&gt;"", AG$5*Y$5, 0) + SUMPRODUCT(--(AG$6:AG25&lt;&gt;""), AG$6:AG25, (Y$6:Y25-Y$5:Y24)))/1000), ""))</f>
        <v/>
      </c>
      <c r="AK25" s="1">
        <f>AK24+20</f>
        <v/>
      </c>
      <c r="AL25" s="1">
        <f>AM24</f>
        <v/>
      </c>
      <c r="AO25" t="inlineStr">
        <is>
          <t>60mL/3s/30s</t>
        </is>
      </c>
      <c r="AS25" s="1">
        <f>IF(AM25="", "", (AL25-AM25)*1000/(AK25-AK24))</f>
        <v/>
      </c>
      <c r="AT25" s="1">
        <f>IF(AS25="","",AS25/AP$2/3)</f>
        <v/>
      </c>
      <c r="AU25" s="1">
        <f>IF(AS25="","", 100*_xlfn.STDEV.P(AS24:AS25)/AVERAGE(AS24:AS25))</f>
        <v/>
      </c>
      <c r="AV25" s="8">
        <f t="array" ref="AV25">IF(AS25="","", IFERROR(((IF(AS$5&lt;&gt;"", AS$5*AK$5, 0) + SUMPRODUCT(--(AS$6:AS25&lt;&gt;""), AS$6:AS25, (AK$6:AK25-AK$5:AK24)))/1000), ""))</f>
        <v/>
      </c>
      <c r="AW25" s="1">
        <f>AW24+20</f>
        <v/>
      </c>
      <c r="AX25" s="1">
        <f>AY24</f>
        <v/>
      </c>
      <c r="BA25" t="inlineStr">
        <is>
          <t>60mL/3s/30s</t>
        </is>
      </c>
      <c r="BE25" s="1">
        <f>IF(AY25="", "", (AX25-AY25)*1000/(AW25-AW24))</f>
        <v/>
      </c>
      <c r="BF25" s="1">
        <f>IF(BE25="","",BE25/BB$2/3)</f>
        <v/>
      </c>
      <c r="BG25" s="1">
        <f>IF(BE25="","", 100*_xlfn.STDEV.P(BE24:BE25)/AVERAGE(BE24:BE25))</f>
        <v/>
      </c>
      <c r="BH25" s="8">
        <f t="array" ref="BH25">IF(BE25="","", IFERROR(((IF(BE$5&lt;&gt;"", BE$5*AW$5, 0) + SUMPRODUCT(--(BE$6:BE25&lt;&gt;""), BE$6:BE25, (AW$6:AW25-AW$5:AW24)))/1000), ""))</f>
        <v/>
      </c>
      <c r="BI25" s="1">
        <f>BI24+20</f>
        <v/>
      </c>
      <c r="BJ25" s="1">
        <f>BK24</f>
        <v/>
      </c>
      <c r="BM25" t="inlineStr">
        <is>
          <t>60mL/3s/30s</t>
        </is>
      </c>
      <c r="BQ25" s="1">
        <f>IF(BK25="", "", (BJ25-BK25)*1000/(BI25-BI24))</f>
        <v/>
      </c>
      <c r="BR25" s="1">
        <f>IF(BQ25="","",BQ25/BN$2/3)</f>
        <v/>
      </c>
      <c r="BS25" s="1">
        <f>IF(BQ25="","", 100*_xlfn.STDEV.P(BQ24:BQ25)/AVERAGE(BQ24:BQ25))</f>
        <v/>
      </c>
      <c r="BT25" s="8">
        <f t="array" ref="BT25">IF(BQ25="","", IFERROR(((IF(BQ$5&lt;&gt;"", BQ$5*BI$5, 0) + SUMPRODUCT(--(BQ$6:BQ25&lt;&gt;""), BQ$6:BQ25, (BI$6:BI25-BI$5:BI24)))/1000), ""))</f>
        <v/>
      </c>
      <c r="BU25" s="1">
        <f>BU24+20</f>
        <v/>
      </c>
      <c r="BV25" s="1">
        <f>BW24</f>
        <v/>
      </c>
      <c r="BY25" t="inlineStr">
        <is>
          <t>60mL/3s/30s</t>
        </is>
      </c>
      <c r="CC25" s="1">
        <f>IF(BW25="", "", (BV25-BW25)*1000/(BU25-BU24))</f>
        <v/>
      </c>
      <c r="CD25" s="1">
        <f>IF(CC25="","",CC25/BZ$2/3)</f>
        <v/>
      </c>
      <c r="CE25" s="1">
        <f>IF(CC25="","", 100*_xlfn.STDEV.P(CC24:CC25)/AVERAGE(CC24:CC25))</f>
        <v/>
      </c>
      <c r="CF25" s="8">
        <f t="array" ref="CF25">IF(CC25="","", IFERROR(((IF(CC$5&lt;&gt;"", CC$5*BU$5, 0) + SUMPRODUCT(--(CC$6:CC25&lt;&gt;""), CC$6:CC25, (BU$6:BU25-BU$5:BU24)))/1000), ""))</f>
        <v/>
      </c>
      <c r="CG25" s="1">
        <f>CG24+20</f>
        <v/>
      </c>
      <c r="CH25" s="1">
        <f>CI24</f>
        <v/>
      </c>
      <c r="CK25" t="inlineStr">
        <is>
          <t>60mL/3s/30s</t>
        </is>
      </c>
      <c r="CO25" s="1">
        <f>IF(CI25="", "", (CH25-CI25)*1000/(CG25-CG24))</f>
        <v/>
      </c>
      <c r="CP25" s="1">
        <f>IF(CO25="","",CO25/CL$2/3)</f>
        <v/>
      </c>
      <c r="CQ25" s="1">
        <f>IF(CO25="","", 100*_xlfn.STDEV.P(CO24:CO25)/AVERAGE(CO24:CO25))</f>
        <v/>
      </c>
      <c r="CR25" s="8">
        <f t="array" ref="CR25">IF(CO25="","", IFERROR(((IF(CO$5&lt;&gt;"", CO$5*CG$5, 0) + SUMPRODUCT(--(CO$6:CO25&lt;&gt;""), CO$6:CO25, (CG$6:CG25-CG$5:CG24)))/1000), ""))</f>
        <v/>
      </c>
    </row>
    <row r="26">
      <c r="A26" s="1">
        <f>A25+20</f>
        <v/>
      </c>
      <c r="B26" s="1">
        <f>C25</f>
        <v/>
      </c>
      <c r="E26" t="inlineStr">
        <is>
          <t>60mL/3s/30s</t>
        </is>
      </c>
      <c r="I26" s="1">
        <f>IF(C26="", "", (B26-C26)*1000/(A26-A25))</f>
        <v/>
      </c>
      <c r="J26" s="1">
        <f>IF(I26="","",I26/F$2/3)</f>
        <v/>
      </c>
      <c r="K26" s="1">
        <f>IF(I26="","", 100*_xlfn.STDEV.P(I25:I26)/AVERAGE(I25:I26))</f>
        <v/>
      </c>
      <c r="L26" s="8">
        <f t="array" ref="L26">IF(I26="","", IFERROR(((IF(I$5&lt;&gt;"", I$5*A$5, 0) + SUMPRODUCT(--(I$6:I26&lt;&gt;""), I$6:I26, (A$6:A26-A$5:A25)))/1000), ""))</f>
        <v/>
      </c>
      <c r="M26" s="1">
        <f>M25+20</f>
        <v/>
      </c>
      <c r="N26" s="1">
        <f>O25</f>
        <v/>
      </c>
      <c r="Q26" t="inlineStr">
        <is>
          <t>60mL/3s/30s</t>
        </is>
      </c>
      <c r="U26" s="1">
        <f>IF(O26="", "", (N26-O26)*1000/(M26-M25))</f>
        <v/>
      </c>
      <c r="V26" s="1">
        <f>IF(U26="","",U26/R$2/3)</f>
        <v/>
      </c>
      <c r="W26" s="1">
        <f>IF(U26="","", 100*_xlfn.STDEV.P(U25:U26)/AVERAGE(U25:U26))</f>
        <v/>
      </c>
      <c r="X26" s="8">
        <f t="array" ref="X26">IF(U26="","", IFERROR(((IF(U$5&lt;&gt;"", U$5*M$5, 0) + SUMPRODUCT(--(U$6:U26&lt;&gt;""), U$6:U26, (M$6:M26-M$5:M25)))/1000), ""))</f>
        <v/>
      </c>
      <c r="Y26" s="1">
        <f>Y25+20</f>
        <v/>
      </c>
      <c r="Z26" s="1">
        <f>AA25</f>
        <v/>
      </c>
      <c r="AC26" t="inlineStr">
        <is>
          <t>60mL/3s/30s</t>
        </is>
      </c>
      <c r="AG26" s="1">
        <f>IF(AA26="", "", (Z26-AA26)*1000/(Y26-Y25))</f>
        <v/>
      </c>
      <c r="AH26" s="1">
        <f>IF(AG26="","",AG26/AD$2/3)</f>
        <v/>
      </c>
      <c r="AI26" s="1">
        <f>IF(AG26="","", 100*_xlfn.STDEV.P(AG25:AG26)/AVERAGE(AG25:AG26))</f>
        <v/>
      </c>
      <c r="AJ26" s="8">
        <f t="array" ref="AJ26">IF(AG26="","", IFERROR(((IF(AG$5&lt;&gt;"", AG$5*Y$5, 0) + SUMPRODUCT(--(AG$6:AG26&lt;&gt;""), AG$6:AG26, (Y$6:Y26-Y$5:Y25)))/1000), ""))</f>
        <v/>
      </c>
      <c r="AK26" s="1">
        <f>AK25+20</f>
        <v/>
      </c>
      <c r="AL26" s="1">
        <f>AM25</f>
        <v/>
      </c>
      <c r="AO26" t="inlineStr">
        <is>
          <t>60mL/3s/30s</t>
        </is>
      </c>
      <c r="AS26" s="1">
        <f>IF(AM26="", "", (AL26-AM26)*1000/(AK26-AK25))</f>
        <v/>
      </c>
      <c r="AT26" s="1">
        <f>IF(AS26="","",AS26/AP$2/3)</f>
        <v/>
      </c>
      <c r="AU26" s="1">
        <f>IF(AS26="","", 100*_xlfn.STDEV.P(AS25:AS26)/AVERAGE(AS25:AS26))</f>
        <v/>
      </c>
      <c r="AV26" s="8">
        <f t="array" ref="AV26">IF(AS26="","", IFERROR(((IF(AS$5&lt;&gt;"", AS$5*AK$5, 0) + SUMPRODUCT(--(AS$6:AS26&lt;&gt;""), AS$6:AS26, (AK$6:AK26-AK$5:AK25)))/1000), ""))</f>
        <v/>
      </c>
      <c r="AW26" s="1">
        <f>AW25+20</f>
        <v/>
      </c>
      <c r="AX26" s="1">
        <f>AY25</f>
        <v/>
      </c>
      <c r="BA26" t="inlineStr">
        <is>
          <t>60mL/3s/30s</t>
        </is>
      </c>
      <c r="BE26" s="1">
        <f>IF(AY26="", "", (AX26-AY26)*1000/(AW26-AW25))</f>
        <v/>
      </c>
      <c r="BF26" s="1">
        <f>IF(BE26="","",BE26/BB$2/3)</f>
        <v/>
      </c>
      <c r="BG26" s="1">
        <f>IF(BE26="","", 100*_xlfn.STDEV.P(BE25:BE26)/AVERAGE(BE25:BE26))</f>
        <v/>
      </c>
      <c r="BH26" s="8">
        <f t="array" ref="BH26">IF(BE26="","", IFERROR(((IF(BE$5&lt;&gt;"", BE$5*AW$5, 0) + SUMPRODUCT(--(BE$6:BE26&lt;&gt;""), BE$6:BE26, (AW$6:AW26-AW$5:AW25)))/1000), ""))</f>
        <v/>
      </c>
      <c r="BI26" s="1">
        <f>BI25+20</f>
        <v/>
      </c>
      <c r="BJ26" s="1">
        <f>BK25</f>
        <v/>
      </c>
      <c r="BM26" t="inlineStr">
        <is>
          <t>60mL/3s/30s</t>
        </is>
      </c>
      <c r="BQ26" s="1">
        <f>IF(BK26="", "", (BJ26-BK26)*1000/(BI26-BI25))</f>
        <v/>
      </c>
      <c r="BR26" s="1">
        <f>IF(BQ26="","",BQ26/BN$2/3)</f>
        <v/>
      </c>
      <c r="BS26" s="1">
        <f>IF(BQ26="","", 100*_xlfn.STDEV.P(BQ25:BQ26)/AVERAGE(BQ25:BQ26))</f>
        <v/>
      </c>
      <c r="BT26" s="8">
        <f t="array" ref="BT26">IF(BQ26="","", IFERROR(((IF(BQ$5&lt;&gt;"", BQ$5*BI$5, 0) + SUMPRODUCT(--(BQ$6:BQ26&lt;&gt;""), BQ$6:BQ26, (BI$6:BI26-BI$5:BI25)))/1000), ""))</f>
        <v/>
      </c>
      <c r="BU26" s="1">
        <f>BU25+20</f>
        <v/>
      </c>
      <c r="BV26" s="1">
        <f>BW25</f>
        <v/>
      </c>
      <c r="BY26" t="inlineStr">
        <is>
          <t>60mL/3s/30s</t>
        </is>
      </c>
      <c r="CC26" s="1">
        <f>IF(BW26="", "", (BV26-BW26)*1000/(BU26-BU25))</f>
        <v/>
      </c>
      <c r="CD26" s="1">
        <f>IF(CC26="","",CC26/BZ$2/3)</f>
        <v/>
      </c>
      <c r="CE26" s="1">
        <f>IF(CC26="","", 100*_xlfn.STDEV.P(CC25:CC26)/AVERAGE(CC25:CC26))</f>
        <v/>
      </c>
      <c r="CF26" s="8">
        <f t="array" ref="CF26">IF(CC26="","", IFERROR(((IF(CC$5&lt;&gt;"", CC$5*BU$5, 0) + SUMPRODUCT(--(CC$6:CC26&lt;&gt;""), CC$6:CC26, (BU$6:BU26-BU$5:BU25)))/1000), ""))</f>
        <v/>
      </c>
      <c r="CG26" s="1">
        <f>CG25+20</f>
        <v/>
      </c>
      <c r="CH26" s="1">
        <f>CI25</f>
        <v/>
      </c>
      <c r="CK26" t="inlineStr">
        <is>
          <t>60mL/3s/30s</t>
        </is>
      </c>
      <c r="CO26" s="1">
        <f>IF(CI26="", "", (CH26-CI26)*1000/(CG26-CG25))</f>
        <v/>
      </c>
      <c r="CP26" s="1">
        <f>IF(CO26="","",CO26/CL$2/3)</f>
        <v/>
      </c>
      <c r="CQ26" s="1">
        <f>IF(CO26="","", 100*_xlfn.STDEV.P(CO25:CO26)/AVERAGE(CO25:CO26))</f>
        <v/>
      </c>
      <c r="CR26" s="8">
        <f t="array" ref="CR26">IF(CO26="","", IFERROR(((IF(CO$5&lt;&gt;"", CO$5*CG$5, 0) + SUMPRODUCT(--(CO$6:CO26&lt;&gt;""), CO$6:CO26, (CG$6:CG26-CG$5:CG25)))/1000), ""))</f>
        <v/>
      </c>
    </row>
    <row r="27">
      <c r="A27" s="1">
        <f>A26+20</f>
        <v/>
      </c>
      <c r="B27" s="1">
        <f>C26</f>
        <v/>
      </c>
      <c r="E27" t="inlineStr">
        <is>
          <t>60mL/3s/30s</t>
        </is>
      </c>
      <c r="I27" s="1">
        <f>IF(C27="", "", (B27-C27)*1000/(A27-A26))</f>
        <v/>
      </c>
      <c r="J27" s="1">
        <f>IF(I27="","",I27/F$2/3)</f>
        <v/>
      </c>
      <c r="K27" s="1">
        <f>IF(I27="","", 100*_xlfn.STDEV.P(I26:I27)/AVERAGE(I26:I27))</f>
        <v/>
      </c>
      <c r="L27" s="8">
        <f t="array" ref="L27">IF(I27="","", IFERROR(((IF(I$5&lt;&gt;"", I$5*A$5, 0) + SUMPRODUCT(--(I$6:I27&lt;&gt;""), I$6:I27, (A$6:A27-A$5:A26)))/1000), ""))</f>
        <v/>
      </c>
      <c r="M27" s="1">
        <f>M26+20</f>
        <v/>
      </c>
      <c r="N27" s="1">
        <f>O26</f>
        <v/>
      </c>
      <c r="Q27" t="inlineStr">
        <is>
          <t>60mL/3s/30s</t>
        </is>
      </c>
      <c r="U27" s="1">
        <f>IF(O27="", "", (N27-O27)*1000/(M27-M26))</f>
        <v/>
      </c>
      <c r="V27" s="1">
        <f>IF(U27="","",U27/R$2/3)</f>
        <v/>
      </c>
      <c r="W27" s="1">
        <f>IF(U27="","", 100*_xlfn.STDEV.P(U26:U27)/AVERAGE(U26:U27))</f>
        <v/>
      </c>
      <c r="X27" s="8">
        <f t="array" ref="X27">IF(U27="","", IFERROR(((IF(U$5&lt;&gt;"", U$5*M$5, 0) + SUMPRODUCT(--(U$6:U27&lt;&gt;""), U$6:U27, (M$6:M27-M$5:M26)))/1000), ""))</f>
        <v/>
      </c>
      <c r="Y27" s="1">
        <f>Y26+20</f>
        <v/>
      </c>
      <c r="Z27" s="1">
        <f>AA26</f>
        <v/>
      </c>
      <c r="AC27" t="inlineStr">
        <is>
          <t>60mL/3s/30s</t>
        </is>
      </c>
      <c r="AG27" s="1">
        <f>IF(AA27="", "", (Z27-AA27)*1000/(Y27-Y26))</f>
        <v/>
      </c>
      <c r="AH27" s="1">
        <f>IF(AG27="","",AG27/AD$2/3)</f>
        <v/>
      </c>
      <c r="AI27" s="1">
        <f>IF(AG27="","", 100*_xlfn.STDEV.P(AG26:AG27)/AVERAGE(AG26:AG27))</f>
        <v/>
      </c>
      <c r="AJ27" s="8">
        <f t="array" ref="AJ27">IF(AG27="","", IFERROR(((IF(AG$5&lt;&gt;"", AG$5*Y$5, 0) + SUMPRODUCT(--(AG$6:AG27&lt;&gt;""), AG$6:AG27, (Y$6:Y27-Y$5:Y26)))/1000), ""))</f>
        <v/>
      </c>
      <c r="AK27" s="1">
        <f>AK26+20</f>
        <v/>
      </c>
      <c r="AL27" s="1">
        <f>AM26</f>
        <v/>
      </c>
      <c r="AO27" t="inlineStr">
        <is>
          <t>60mL/3s/30s</t>
        </is>
      </c>
      <c r="AS27" s="1">
        <f>IF(AM27="", "", (AL27-AM27)*1000/(AK27-AK26))</f>
        <v/>
      </c>
      <c r="AT27" s="1">
        <f>IF(AS27="","",AS27/AP$2/3)</f>
        <v/>
      </c>
      <c r="AU27" s="1">
        <f>IF(AS27="","", 100*_xlfn.STDEV.P(AS26:AS27)/AVERAGE(AS26:AS27))</f>
        <v/>
      </c>
      <c r="AV27" s="8">
        <f t="array" ref="AV27">IF(AS27="","", IFERROR(((IF(AS$5&lt;&gt;"", AS$5*AK$5, 0) + SUMPRODUCT(--(AS$6:AS27&lt;&gt;""), AS$6:AS27, (AK$6:AK27-AK$5:AK26)))/1000), ""))</f>
        <v/>
      </c>
      <c r="AW27" s="1">
        <f>AW26+20</f>
        <v/>
      </c>
      <c r="AX27" s="1">
        <f>AY26</f>
        <v/>
      </c>
      <c r="BA27" t="inlineStr">
        <is>
          <t>60mL/3s/30s</t>
        </is>
      </c>
      <c r="BE27" s="1">
        <f>IF(AY27="", "", (AX27-AY27)*1000/(AW27-AW26))</f>
        <v/>
      </c>
      <c r="BF27" s="1">
        <f>IF(BE27="","",BE27/BB$2/3)</f>
        <v/>
      </c>
      <c r="BG27" s="1">
        <f>IF(BE27="","", 100*_xlfn.STDEV.P(BE26:BE27)/AVERAGE(BE26:BE27))</f>
        <v/>
      </c>
      <c r="BH27" s="8">
        <f t="array" ref="BH27">IF(BE27="","", IFERROR(((IF(BE$5&lt;&gt;"", BE$5*AW$5, 0) + SUMPRODUCT(--(BE$6:BE27&lt;&gt;""), BE$6:BE27, (AW$6:AW27-AW$5:AW26)))/1000), ""))</f>
        <v/>
      </c>
      <c r="BI27" s="1">
        <f>BI26+20</f>
        <v/>
      </c>
      <c r="BJ27" s="1">
        <f>BK26</f>
        <v/>
      </c>
      <c r="BM27" t="inlineStr">
        <is>
          <t>60mL/3s/30s</t>
        </is>
      </c>
      <c r="BQ27" s="1">
        <f>IF(BK27="", "", (BJ27-BK27)*1000/(BI27-BI26))</f>
        <v/>
      </c>
      <c r="BR27" s="1">
        <f>IF(BQ27="","",BQ27/BN$2/3)</f>
        <v/>
      </c>
      <c r="BS27" s="1">
        <f>IF(BQ27="","", 100*_xlfn.STDEV.P(BQ26:BQ27)/AVERAGE(BQ26:BQ27))</f>
        <v/>
      </c>
      <c r="BT27" s="8">
        <f t="array" ref="BT27">IF(BQ27="","", IFERROR(((IF(BQ$5&lt;&gt;"", BQ$5*BI$5, 0) + SUMPRODUCT(--(BQ$6:BQ27&lt;&gt;""), BQ$6:BQ27, (BI$6:BI27-BI$5:BI26)))/1000), ""))</f>
        <v/>
      </c>
      <c r="BU27" s="1">
        <f>BU26+20</f>
        <v/>
      </c>
      <c r="BV27" s="1">
        <f>BW26</f>
        <v/>
      </c>
      <c r="BY27" t="inlineStr">
        <is>
          <t>60mL/3s/30s</t>
        </is>
      </c>
      <c r="CC27" s="1">
        <f>IF(BW27="", "", (BV27-BW27)*1000/(BU27-BU26))</f>
        <v/>
      </c>
      <c r="CD27" s="1">
        <f>IF(CC27="","",CC27/BZ$2/3)</f>
        <v/>
      </c>
      <c r="CE27" s="1">
        <f>IF(CC27="","", 100*_xlfn.STDEV.P(CC26:CC27)/AVERAGE(CC26:CC27))</f>
        <v/>
      </c>
      <c r="CF27" s="8">
        <f t="array" ref="CF27">IF(CC27="","", IFERROR(((IF(CC$5&lt;&gt;"", CC$5*BU$5, 0) + SUMPRODUCT(--(CC$6:CC27&lt;&gt;""), CC$6:CC27, (BU$6:BU27-BU$5:BU26)))/1000), ""))</f>
        <v/>
      </c>
      <c r="CG27" s="1">
        <f>CG26+20</f>
        <v/>
      </c>
      <c r="CH27" s="1">
        <f>CI26</f>
        <v/>
      </c>
      <c r="CK27" t="inlineStr">
        <is>
          <t>60mL/3s/30s</t>
        </is>
      </c>
      <c r="CO27" s="1">
        <f>IF(CI27="", "", (CH27-CI27)*1000/(CG27-CG26))</f>
        <v/>
      </c>
      <c r="CP27" s="1">
        <f>IF(CO27="","",CO27/CL$2/3)</f>
        <v/>
      </c>
      <c r="CQ27" s="1">
        <f>IF(CO27="","", 100*_xlfn.STDEV.P(CO26:CO27)/AVERAGE(CO26:CO27))</f>
        <v/>
      </c>
      <c r="CR27" s="8">
        <f t="array" ref="CR27">IF(CO27="","", IFERROR(((IF(CO$5&lt;&gt;"", CO$5*CG$5, 0) + SUMPRODUCT(--(CO$6:CO27&lt;&gt;""), CO$6:CO27, (CG$6:CG27-CG$5:CG26)))/1000), ""))</f>
        <v/>
      </c>
    </row>
    <row r="28">
      <c r="A28" s="1">
        <f>A27+20</f>
        <v/>
      </c>
      <c r="B28" s="1">
        <f>C27</f>
        <v/>
      </c>
      <c r="E28" t="inlineStr">
        <is>
          <t>60mL/3s/30s</t>
        </is>
      </c>
      <c r="I28" s="1">
        <f>IF(C28="", "", (B28-C28)*1000/(A28-A27))</f>
        <v/>
      </c>
      <c r="J28" s="1">
        <f>IF(I28="","",I28/F$2/3)</f>
        <v/>
      </c>
      <c r="K28" s="1">
        <f>IF(I28="","", 100*_xlfn.STDEV.P(I27:I28)/AVERAGE(I27:I28))</f>
        <v/>
      </c>
      <c r="L28" s="8">
        <f t="array" ref="L28">IF(I28="","", IFERROR(((IF(I$5&lt;&gt;"", I$5*A$5, 0) + SUMPRODUCT(--(I$6:I28&lt;&gt;""), I$6:I28, (A$6:A28-A$5:A27)))/1000), ""))</f>
        <v/>
      </c>
      <c r="M28" s="1">
        <f>M27+20</f>
        <v/>
      </c>
      <c r="N28" s="1">
        <f>O27</f>
        <v/>
      </c>
      <c r="Q28" t="inlineStr">
        <is>
          <t>60mL/3s/30s</t>
        </is>
      </c>
      <c r="U28" s="1">
        <f>IF(O28="", "", (N28-O28)*1000/(M28-M27))</f>
        <v/>
      </c>
      <c r="V28" s="1">
        <f>IF(U28="","",U28/R$2/3)</f>
        <v/>
      </c>
      <c r="W28" s="1">
        <f>IF(U28="","", 100*_xlfn.STDEV.P(U27:U28)/AVERAGE(U27:U28))</f>
        <v/>
      </c>
      <c r="X28" s="8">
        <f t="array" ref="X28">IF(U28="","", IFERROR(((IF(U$5&lt;&gt;"", U$5*M$5, 0) + SUMPRODUCT(--(U$6:U28&lt;&gt;""), U$6:U28, (M$6:M28-M$5:M27)))/1000), ""))</f>
        <v/>
      </c>
      <c r="Y28" s="1">
        <f>Y27+20</f>
        <v/>
      </c>
      <c r="Z28" s="1">
        <f>AA27</f>
        <v/>
      </c>
      <c r="AC28" t="inlineStr">
        <is>
          <t>60mL/3s/30s</t>
        </is>
      </c>
      <c r="AG28" s="1">
        <f>IF(AA28="", "", (Z28-AA28)*1000/(Y28-Y27))</f>
        <v/>
      </c>
      <c r="AH28" s="1">
        <f>IF(AG28="","",AG28/AD$2/3)</f>
        <v/>
      </c>
      <c r="AI28" s="1">
        <f>IF(AG28="","", 100*_xlfn.STDEV.P(AG27:AG28)/AVERAGE(AG27:AG28))</f>
        <v/>
      </c>
      <c r="AJ28" s="8">
        <f t="array" ref="AJ28">IF(AG28="","", IFERROR(((IF(AG$5&lt;&gt;"", AG$5*Y$5, 0) + SUMPRODUCT(--(AG$6:AG28&lt;&gt;""), AG$6:AG28, (Y$6:Y28-Y$5:Y27)))/1000), ""))</f>
        <v/>
      </c>
      <c r="AK28" s="1">
        <f>AK27+20</f>
        <v/>
      </c>
      <c r="AL28" s="1">
        <f>AM27</f>
        <v/>
      </c>
      <c r="AO28" t="inlineStr">
        <is>
          <t>60mL/3s/30s</t>
        </is>
      </c>
      <c r="AS28" s="1">
        <f>IF(AM28="", "", (AL28-AM28)*1000/(AK28-AK27))</f>
        <v/>
      </c>
      <c r="AT28" s="1">
        <f>IF(AS28="","",AS28/AP$2/3)</f>
        <v/>
      </c>
      <c r="AU28" s="1">
        <f>IF(AS28="","", 100*_xlfn.STDEV.P(AS27:AS28)/AVERAGE(AS27:AS28))</f>
        <v/>
      </c>
      <c r="AV28" s="8">
        <f t="array" ref="AV28">IF(AS28="","", IFERROR(((IF(AS$5&lt;&gt;"", AS$5*AK$5, 0) + SUMPRODUCT(--(AS$6:AS28&lt;&gt;""), AS$6:AS28, (AK$6:AK28-AK$5:AK27)))/1000), ""))</f>
        <v/>
      </c>
      <c r="AW28" s="1">
        <f>AW27+20</f>
        <v/>
      </c>
      <c r="AX28" s="1">
        <f>AY27</f>
        <v/>
      </c>
      <c r="BA28" t="inlineStr">
        <is>
          <t>60mL/3s/30s</t>
        </is>
      </c>
      <c r="BE28" s="1">
        <f>IF(AY28="", "", (AX28-AY28)*1000/(AW28-AW27))</f>
        <v/>
      </c>
      <c r="BF28" s="1">
        <f>IF(BE28="","",BE28/BB$2/3)</f>
        <v/>
      </c>
      <c r="BG28" s="1">
        <f>IF(BE28="","", 100*_xlfn.STDEV.P(BE27:BE28)/AVERAGE(BE27:BE28))</f>
        <v/>
      </c>
      <c r="BH28" s="8">
        <f t="array" ref="BH28">IF(BE28="","", IFERROR(((IF(BE$5&lt;&gt;"", BE$5*AW$5, 0) + SUMPRODUCT(--(BE$6:BE28&lt;&gt;""), BE$6:BE28, (AW$6:AW28-AW$5:AW27)))/1000), ""))</f>
        <v/>
      </c>
      <c r="BI28" s="1">
        <f>BI27+20</f>
        <v/>
      </c>
      <c r="BJ28" s="1">
        <f>BK27</f>
        <v/>
      </c>
      <c r="BM28" t="inlineStr">
        <is>
          <t>60mL/3s/30s</t>
        </is>
      </c>
      <c r="BQ28" s="1">
        <f>IF(BK28="", "", (BJ28-BK28)*1000/(BI28-BI27))</f>
        <v/>
      </c>
      <c r="BR28" s="1">
        <f>IF(BQ28="","",BQ28/BN$2/3)</f>
        <v/>
      </c>
      <c r="BS28" s="1">
        <f>IF(BQ28="","", 100*_xlfn.STDEV.P(BQ27:BQ28)/AVERAGE(BQ27:BQ28))</f>
        <v/>
      </c>
      <c r="BT28" s="8">
        <f t="array" ref="BT28">IF(BQ28="","", IFERROR(((IF(BQ$5&lt;&gt;"", BQ$5*BI$5, 0) + SUMPRODUCT(--(BQ$6:BQ28&lt;&gt;""), BQ$6:BQ28, (BI$6:BI28-BI$5:BI27)))/1000), ""))</f>
        <v/>
      </c>
      <c r="BU28" s="1">
        <f>BU27+20</f>
        <v/>
      </c>
      <c r="BV28" s="1">
        <f>BW27</f>
        <v/>
      </c>
      <c r="BY28" t="inlineStr">
        <is>
          <t>60mL/3s/30s</t>
        </is>
      </c>
      <c r="CC28" s="1">
        <f>IF(BW28="", "", (BV28-BW28)*1000/(BU28-BU27))</f>
        <v/>
      </c>
      <c r="CD28" s="1">
        <f>IF(CC28="","",CC28/BZ$2/3)</f>
        <v/>
      </c>
      <c r="CE28" s="1">
        <f>IF(CC28="","", 100*_xlfn.STDEV.P(CC27:CC28)/AVERAGE(CC27:CC28))</f>
        <v/>
      </c>
      <c r="CF28" s="8">
        <f t="array" ref="CF28">IF(CC28="","", IFERROR(((IF(CC$5&lt;&gt;"", CC$5*BU$5, 0) + SUMPRODUCT(--(CC$6:CC28&lt;&gt;""), CC$6:CC28, (BU$6:BU28-BU$5:BU27)))/1000), ""))</f>
        <v/>
      </c>
      <c r="CG28" s="1">
        <f>CG27+20</f>
        <v/>
      </c>
      <c r="CH28" s="1">
        <f>CI27</f>
        <v/>
      </c>
      <c r="CK28" t="inlineStr">
        <is>
          <t>60mL/3s/30s</t>
        </is>
      </c>
      <c r="CO28" s="1">
        <f>IF(CI28="", "", (CH28-CI28)*1000/(CG28-CG27))</f>
        <v/>
      </c>
      <c r="CP28" s="1">
        <f>IF(CO28="","",CO28/CL$2/3)</f>
        <v/>
      </c>
      <c r="CQ28" s="1">
        <f>IF(CO28="","", 100*_xlfn.STDEV.P(CO27:CO28)/AVERAGE(CO27:CO28))</f>
        <v/>
      </c>
      <c r="CR28" s="8">
        <f t="array" ref="CR28">IF(CO28="","", IFERROR(((IF(CO$5&lt;&gt;"", CO$5*CG$5, 0) + SUMPRODUCT(--(CO$6:CO28&lt;&gt;""), CO$6:CO28, (CG$6:CG28-CG$5:CG27)))/1000), ""))</f>
        <v/>
      </c>
    </row>
    <row r="29">
      <c r="A29" s="1">
        <f>A28+20</f>
        <v/>
      </c>
      <c r="B29" s="1">
        <f>C28</f>
        <v/>
      </c>
      <c r="E29" t="inlineStr">
        <is>
          <t>60mL/3s/30s</t>
        </is>
      </c>
      <c r="F29" s="9" t="n"/>
      <c r="G29" s="9" t="n"/>
      <c r="H29" s="9" t="n"/>
      <c r="I29" s="1">
        <f>IF(C29="", "", (B29-C29)*1000/(A29-A28))</f>
        <v/>
      </c>
      <c r="J29" s="1">
        <f>IF(I29="","",I29/F$2/3)</f>
        <v/>
      </c>
      <c r="K29" s="1">
        <f>IF(I29="","", 100*_xlfn.STDEV.P(I28:I29)/AVERAGE(I28:I29))</f>
        <v/>
      </c>
      <c r="L29" s="8">
        <f t="array" ref="L29">IF(I29="","", IFERROR(((IF(I$5&lt;&gt;"", I$5*A$5, 0) + SUMPRODUCT(--(I$6:I29&lt;&gt;""), I$6:I29, (A$6:A29-A$5:A28)))/1000), ""))</f>
        <v/>
      </c>
      <c r="M29" s="1">
        <f>M28+20</f>
        <v/>
      </c>
      <c r="N29" s="1">
        <f>O28</f>
        <v/>
      </c>
      <c r="Q29" t="inlineStr">
        <is>
          <t>60mL/3s/30s</t>
        </is>
      </c>
      <c r="R29" s="9" t="n"/>
      <c r="S29" s="9" t="n"/>
      <c r="T29" s="9" t="n"/>
      <c r="U29" s="1">
        <f>IF(O29="", "", (N29-O29)*1000/(M29-M28))</f>
        <v/>
      </c>
      <c r="V29" s="1">
        <f>IF(U29="","",U29/R$2/3)</f>
        <v/>
      </c>
      <c r="W29" s="1">
        <f>IF(U29="","", 100*_xlfn.STDEV.P(U28:U29)/AVERAGE(U28:U29))</f>
        <v/>
      </c>
      <c r="X29" s="8">
        <f t="array" ref="X29">IF(U29="","", IFERROR(((IF(U$5&lt;&gt;"", U$5*M$5, 0) + SUMPRODUCT(--(U$6:U29&lt;&gt;""), U$6:U29, (M$6:M29-M$5:M28)))/1000), ""))</f>
        <v/>
      </c>
      <c r="Y29" s="1">
        <f>Y28+20</f>
        <v/>
      </c>
      <c r="Z29" s="1">
        <f>AA28</f>
        <v/>
      </c>
      <c r="AC29" t="inlineStr">
        <is>
          <t>60mL/3s/30s</t>
        </is>
      </c>
      <c r="AD29" s="9" t="n"/>
      <c r="AE29" s="9" t="n"/>
      <c r="AF29" s="9" t="n"/>
      <c r="AG29" s="1">
        <f>IF(AA29="", "", (Z29-AA29)*1000/(Y29-Y28))</f>
        <v/>
      </c>
      <c r="AH29" s="1">
        <f>IF(AG29="","",AG29/AD$2/3)</f>
        <v/>
      </c>
      <c r="AI29" s="1">
        <f>IF(AG29="","", 100*_xlfn.STDEV.P(AG28:AG29)/AVERAGE(AG28:AG29))</f>
        <v/>
      </c>
      <c r="AJ29" s="8">
        <f t="array" ref="AJ29">IF(AG29="","", IFERROR(((IF(AG$5&lt;&gt;"", AG$5*Y$5, 0) + SUMPRODUCT(--(AG$6:AG29&lt;&gt;""), AG$6:AG29, (Y$6:Y29-Y$5:Y28)))/1000), ""))</f>
        <v/>
      </c>
      <c r="AK29" s="1">
        <f>AK28+20</f>
        <v/>
      </c>
      <c r="AL29" s="1">
        <f>AM28</f>
        <v/>
      </c>
      <c r="AO29" t="inlineStr">
        <is>
          <t>60mL/3s/30s</t>
        </is>
      </c>
      <c r="AP29" s="9" t="n"/>
      <c r="AQ29" s="9" t="n"/>
      <c r="AR29" s="9" t="n"/>
      <c r="AS29" s="1">
        <f>IF(AM29="", "", (AL29-AM29)*1000/(AK29-AK28))</f>
        <v/>
      </c>
      <c r="AT29" s="1">
        <f>IF(AS29="","",AS29/AP$2/3)</f>
        <v/>
      </c>
      <c r="AU29" s="1">
        <f>IF(AS29="","", 100*_xlfn.STDEV.P(AS28:AS29)/AVERAGE(AS28:AS29))</f>
        <v/>
      </c>
      <c r="AV29" s="8">
        <f t="array" ref="AV29">IF(AS29="","", IFERROR(((IF(AS$5&lt;&gt;"", AS$5*AK$5, 0) + SUMPRODUCT(--(AS$6:AS29&lt;&gt;""), AS$6:AS29, (AK$6:AK29-AK$5:AK28)))/1000), ""))</f>
        <v/>
      </c>
      <c r="AW29" s="1">
        <f>AW28+20</f>
        <v/>
      </c>
      <c r="AX29" s="1">
        <f>AY28</f>
        <v/>
      </c>
      <c r="BA29" t="inlineStr">
        <is>
          <t>60mL/3s/30s</t>
        </is>
      </c>
      <c r="BB29" s="9" t="n"/>
      <c r="BC29" s="9" t="n"/>
      <c r="BD29" s="9" t="n"/>
      <c r="BE29" s="1">
        <f>IF(AY29="", "", (AX29-AY29)*1000/(AW29-AW28))</f>
        <v/>
      </c>
      <c r="BF29" s="1">
        <f>IF(BE29="","",BE29/BB$2/3)</f>
        <v/>
      </c>
      <c r="BG29" s="1">
        <f>IF(BE29="","", 100*_xlfn.STDEV.P(BE28:BE29)/AVERAGE(BE28:BE29))</f>
        <v/>
      </c>
      <c r="BH29" s="8">
        <f t="array" ref="BH29">IF(BE29="","", IFERROR(((IF(BE$5&lt;&gt;"", BE$5*AW$5, 0) + SUMPRODUCT(--(BE$6:BE29&lt;&gt;""), BE$6:BE29, (AW$6:AW29-AW$5:AW28)))/1000), ""))</f>
        <v/>
      </c>
      <c r="BI29" s="1">
        <f>BI28+20</f>
        <v/>
      </c>
      <c r="BJ29" s="1">
        <f>BK28</f>
        <v/>
      </c>
      <c r="BM29" t="inlineStr">
        <is>
          <t>60mL/3s/30s</t>
        </is>
      </c>
      <c r="BN29" s="9" t="n"/>
      <c r="BO29" s="9" t="n"/>
      <c r="BP29" s="9" t="n"/>
      <c r="BQ29" s="1">
        <f>IF(BK29="", "", (BJ29-BK29)*1000/(BI29-BI28))</f>
        <v/>
      </c>
      <c r="BR29" s="1">
        <f>IF(BQ29="","",BQ29/BN$2/3)</f>
        <v/>
      </c>
      <c r="BS29" s="1">
        <f>IF(BQ29="","", 100*_xlfn.STDEV.P(BQ28:BQ29)/AVERAGE(BQ28:BQ29))</f>
        <v/>
      </c>
      <c r="BT29" s="8">
        <f t="array" ref="BT29">IF(BQ29="","", IFERROR(((IF(BQ$5&lt;&gt;"", BQ$5*BI$5, 0) + SUMPRODUCT(--(BQ$6:BQ29&lt;&gt;""), BQ$6:BQ29, (BI$6:BI29-BI$5:BI28)))/1000), ""))</f>
        <v/>
      </c>
      <c r="BU29" s="1">
        <f>BU28+20</f>
        <v/>
      </c>
      <c r="BV29" s="1">
        <f>BW28</f>
        <v/>
      </c>
      <c r="BY29" t="inlineStr">
        <is>
          <t>60mL/3s/30s</t>
        </is>
      </c>
      <c r="BZ29" s="9" t="n"/>
      <c r="CA29" s="9" t="n"/>
      <c r="CB29" s="9" t="n"/>
      <c r="CC29" s="1">
        <f>IF(BW29="", "", (BV29-BW29)*1000/(BU29-BU28))</f>
        <v/>
      </c>
      <c r="CD29" s="1">
        <f>IF(CC29="","",CC29/BZ$2/3)</f>
        <v/>
      </c>
      <c r="CE29" s="1">
        <f>IF(CC29="","", 100*_xlfn.STDEV.P(CC28:CC29)/AVERAGE(CC28:CC29))</f>
        <v/>
      </c>
      <c r="CF29" s="8">
        <f t="array" ref="CF29">IF(CC29="","", IFERROR(((IF(CC$5&lt;&gt;"", CC$5*BU$5, 0) + SUMPRODUCT(--(CC$6:CC29&lt;&gt;""), CC$6:CC29, (BU$6:BU29-BU$5:BU28)))/1000), ""))</f>
        <v/>
      </c>
      <c r="CG29" s="1">
        <f>CG28+20</f>
        <v/>
      </c>
      <c r="CH29" s="1">
        <f>CI28</f>
        <v/>
      </c>
      <c r="CK29" t="inlineStr">
        <is>
          <t>60mL/3s/30s</t>
        </is>
      </c>
      <c r="CL29" s="9" t="n"/>
      <c r="CM29" s="9" t="n"/>
      <c r="CN29" s="9" t="n"/>
      <c r="CO29" s="1">
        <f>IF(CI29="", "", (CH29-CI29)*1000/(CG29-CG28))</f>
        <v/>
      </c>
      <c r="CP29" s="1">
        <f>IF(CO29="","",CO29/CL$2/3)</f>
        <v/>
      </c>
      <c r="CQ29" s="1">
        <f>IF(CO29="","", 100*_xlfn.STDEV.P(CO28:CO29)/AVERAGE(CO28:CO29))</f>
        <v/>
      </c>
      <c r="CR29" s="8">
        <f t="array" ref="CR29">IF(CO29="","", IFERROR(((IF(CO$5&lt;&gt;"", CO$5*CG$5, 0) + SUMPRODUCT(--(CO$6:CO29&lt;&gt;""), CO$6:CO29, (CG$6:CG29-CG$5:CG28)))/1000), ""))</f>
        <v/>
      </c>
    </row>
    <row r="30">
      <c r="A30" s="1">
        <f>A29+20</f>
        <v/>
      </c>
      <c r="B30" s="1">
        <f>C29</f>
        <v/>
      </c>
      <c r="E30" t="inlineStr">
        <is>
          <t>60mL/3s/30s</t>
        </is>
      </c>
      <c r="I30" s="1">
        <f>IF(C30="", "", (B30-C30)*1000/(A30-A29))</f>
        <v/>
      </c>
      <c r="J30" s="1">
        <f>IF(I30="","",I30/F$2/3)</f>
        <v/>
      </c>
      <c r="K30" s="1">
        <f>IF(I30="","", 100*_xlfn.STDEV.P(I29:I30)/AVERAGE(I29:I30))</f>
        <v/>
      </c>
      <c r="L30" s="8">
        <f t="array" ref="L30">IF(I30="","", IFERROR(((IF(I$5&lt;&gt;"", I$5*A$5, 0) + SUMPRODUCT(--(I$6:I30&lt;&gt;""), I$6:I30, (A$6:A30-A$5:A29)))/1000), ""))</f>
        <v/>
      </c>
      <c r="M30" s="1">
        <f>M29+20</f>
        <v/>
      </c>
      <c r="N30" s="1">
        <f>O29</f>
        <v/>
      </c>
      <c r="Q30" t="inlineStr">
        <is>
          <t>60mL/3s/30s</t>
        </is>
      </c>
      <c r="U30" s="1">
        <f>IF(O30="", "", (N30-O30)*1000/(M30-M29))</f>
        <v/>
      </c>
      <c r="V30" s="1">
        <f>IF(U30="","",U30/R$2/3)</f>
        <v/>
      </c>
      <c r="W30" s="1">
        <f>IF(U30="","", 100*_xlfn.STDEV.P(U29:U30)/AVERAGE(U29:U30))</f>
        <v/>
      </c>
      <c r="X30" s="8">
        <f t="array" ref="X30">IF(U30="","", IFERROR(((IF(U$5&lt;&gt;"", U$5*M$5, 0) + SUMPRODUCT(--(U$6:U30&lt;&gt;""), U$6:U30, (M$6:M30-M$5:M29)))/1000), ""))</f>
        <v/>
      </c>
      <c r="Y30" s="1">
        <f>Y29+20</f>
        <v/>
      </c>
      <c r="Z30" s="1">
        <f>AA29</f>
        <v/>
      </c>
      <c r="AC30" t="inlineStr">
        <is>
          <t>60mL/3s/30s</t>
        </is>
      </c>
      <c r="AG30" s="1">
        <f>IF(AA30="", "", (Z30-AA30)*1000/(Y30-Y29))</f>
        <v/>
      </c>
      <c r="AH30" s="1">
        <f>IF(AG30="","",AG30/AD$2/3)</f>
        <v/>
      </c>
      <c r="AI30" s="1">
        <f>IF(AG30="","", 100*_xlfn.STDEV.P(AG29:AG30)/AVERAGE(AG29:AG30))</f>
        <v/>
      </c>
      <c r="AJ30" s="8">
        <f t="array" ref="AJ30">IF(AG30="","", IFERROR(((IF(AG$5&lt;&gt;"", AG$5*Y$5, 0) + SUMPRODUCT(--(AG$6:AG30&lt;&gt;""), AG$6:AG30, (Y$6:Y30-Y$5:Y29)))/1000), ""))</f>
        <v/>
      </c>
      <c r="AK30" s="1">
        <f>AK29+20</f>
        <v/>
      </c>
      <c r="AL30" s="1">
        <f>AM29</f>
        <v/>
      </c>
      <c r="AO30" t="inlineStr">
        <is>
          <t>60mL/3s/30s</t>
        </is>
      </c>
      <c r="AS30" s="1">
        <f>IF(AM30="", "", (AL30-AM30)*1000/(AK30-AK29))</f>
        <v/>
      </c>
      <c r="AT30" s="1">
        <f>IF(AS30="","",AS30/AP$2/3)</f>
        <v/>
      </c>
      <c r="AU30" s="1">
        <f>IF(AS30="","", 100*_xlfn.STDEV.P(AS29:AS30)/AVERAGE(AS29:AS30))</f>
        <v/>
      </c>
      <c r="AV30" s="8">
        <f t="array" ref="AV30">IF(AS30="","", IFERROR(((IF(AS$5&lt;&gt;"", AS$5*AK$5, 0) + SUMPRODUCT(--(AS$6:AS30&lt;&gt;""), AS$6:AS30, (AK$6:AK30-AK$5:AK29)))/1000), ""))</f>
        <v/>
      </c>
      <c r="AW30" s="1">
        <f>AW29+20</f>
        <v/>
      </c>
      <c r="AX30" s="1">
        <f>AY29</f>
        <v/>
      </c>
      <c r="BA30" t="inlineStr">
        <is>
          <t>60mL/3s/30s</t>
        </is>
      </c>
      <c r="BE30" s="1">
        <f>IF(AY30="", "", (AX30-AY30)*1000/(AW30-AW29))</f>
        <v/>
      </c>
      <c r="BF30" s="1">
        <f>IF(BE30="","",BE30/BB$2/3)</f>
        <v/>
      </c>
      <c r="BG30" s="1">
        <f>IF(BE30="","", 100*_xlfn.STDEV.P(BE29:BE30)/AVERAGE(BE29:BE30))</f>
        <v/>
      </c>
      <c r="BH30" s="8">
        <f t="array" ref="BH30">IF(BE30="","", IFERROR(((IF(BE$5&lt;&gt;"", BE$5*AW$5, 0) + SUMPRODUCT(--(BE$6:BE30&lt;&gt;""), BE$6:BE30, (AW$6:AW30-AW$5:AW29)))/1000), ""))</f>
        <v/>
      </c>
      <c r="BI30" s="1">
        <f>BI29+20</f>
        <v/>
      </c>
      <c r="BJ30" s="1">
        <f>BK29</f>
        <v/>
      </c>
      <c r="BM30" t="inlineStr">
        <is>
          <t>60mL/3s/30s</t>
        </is>
      </c>
      <c r="BQ30" s="1">
        <f>IF(BK30="", "", (BJ30-BK30)*1000/(BI30-BI29))</f>
        <v/>
      </c>
      <c r="BR30" s="1">
        <f>IF(BQ30="","",BQ30/BN$2/3)</f>
        <v/>
      </c>
      <c r="BS30" s="1">
        <f>IF(BQ30="","", 100*_xlfn.STDEV.P(BQ29:BQ30)/AVERAGE(BQ29:BQ30))</f>
        <v/>
      </c>
      <c r="BT30" s="8">
        <f t="array" ref="BT30">IF(BQ30="","", IFERROR(((IF(BQ$5&lt;&gt;"", BQ$5*BI$5, 0) + SUMPRODUCT(--(BQ$6:BQ30&lt;&gt;""), BQ$6:BQ30, (BI$6:BI30-BI$5:BI29)))/1000), ""))</f>
        <v/>
      </c>
      <c r="BU30" s="1">
        <f>BU29+20</f>
        <v/>
      </c>
      <c r="BV30" s="1">
        <f>BW29</f>
        <v/>
      </c>
      <c r="BY30" t="inlineStr">
        <is>
          <t>60mL/3s/30s</t>
        </is>
      </c>
      <c r="CC30" s="1">
        <f>IF(BW30="", "", (BV30-BW30)*1000/(BU30-BU29))</f>
        <v/>
      </c>
      <c r="CD30" s="1">
        <f>IF(CC30="","",CC30/BZ$2/3)</f>
        <v/>
      </c>
      <c r="CE30" s="1">
        <f>IF(CC30="","", 100*_xlfn.STDEV.P(CC29:CC30)/AVERAGE(CC29:CC30))</f>
        <v/>
      </c>
      <c r="CF30" s="8">
        <f t="array" ref="CF30">IF(CC30="","", IFERROR(((IF(CC$5&lt;&gt;"", CC$5*BU$5, 0) + SUMPRODUCT(--(CC$6:CC30&lt;&gt;""), CC$6:CC30, (BU$6:BU30-BU$5:BU29)))/1000), ""))</f>
        <v/>
      </c>
      <c r="CG30" s="1">
        <f>CG29+20</f>
        <v/>
      </c>
      <c r="CH30" s="1">
        <f>CI29</f>
        <v/>
      </c>
      <c r="CK30" t="inlineStr">
        <is>
          <t>60mL/3s/30s</t>
        </is>
      </c>
      <c r="CO30" s="1">
        <f>IF(CI30="", "", (CH30-CI30)*1000/(CG30-CG29))</f>
        <v/>
      </c>
      <c r="CP30" s="1">
        <f>IF(CO30="","",CO30/CL$2/3)</f>
        <v/>
      </c>
      <c r="CQ30" s="1">
        <f>IF(CO30="","", 100*_xlfn.STDEV.P(CO29:CO30)/AVERAGE(CO29:CO30))</f>
        <v/>
      </c>
      <c r="CR30" s="8">
        <f t="array" ref="CR30">IF(CO30="","", IFERROR(((IF(CO$5&lt;&gt;"", CO$5*CG$5, 0) + SUMPRODUCT(--(CO$6:CO30&lt;&gt;""), CO$6:CO30, (CG$6:CG30-CG$5:CG29)))/1000), ""))</f>
        <v/>
      </c>
    </row>
    <row r="31">
      <c r="A31" s="1">
        <f>A30+20</f>
        <v/>
      </c>
      <c r="B31" s="1">
        <f>C30</f>
        <v/>
      </c>
      <c r="E31" t="inlineStr">
        <is>
          <t>60mL/3s/30s</t>
        </is>
      </c>
      <c r="I31" s="1">
        <f>IF(C31="", "", (B31-C31)*1000/(A31-A30))</f>
        <v/>
      </c>
      <c r="J31" s="1">
        <f>IF(I31="","",I31/F$2/3)</f>
        <v/>
      </c>
      <c r="K31" s="1">
        <f>IF(I31="","", 100*_xlfn.STDEV.P(I30:I31)/AVERAGE(I30:I31))</f>
        <v/>
      </c>
      <c r="L31" s="8">
        <f t="array" ref="L31">IF(I31="","", IFERROR(((IF(I$5&lt;&gt;"", I$5*A$5, 0) + SUMPRODUCT(--(I$6:I31&lt;&gt;""), I$6:I31, (A$6:A31-A$5:A30)))/1000), ""))</f>
        <v/>
      </c>
      <c r="M31" s="1">
        <f>M30+20</f>
        <v/>
      </c>
      <c r="N31" s="1">
        <f>O30</f>
        <v/>
      </c>
      <c r="Q31" t="inlineStr">
        <is>
          <t>60mL/3s/30s</t>
        </is>
      </c>
      <c r="U31" s="1">
        <f>IF(O31="", "", (N31-O31)*1000/(M31-M30))</f>
        <v/>
      </c>
      <c r="V31" s="1">
        <f>IF(U31="","",U31/R$2/3)</f>
        <v/>
      </c>
      <c r="W31" s="1">
        <f>IF(U31="","", 100*_xlfn.STDEV.P(U30:U31)/AVERAGE(U30:U31))</f>
        <v/>
      </c>
      <c r="X31" s="8">
        <f t="array" ref="X31">IF(U31="","", IFERROR(((IF(U$5&lt;&gt;"", U$5*M$5, 0) + SUMPRODUCT(--(U$6:U31&lt;&gt;""), U$6:U31, (M$6:M31-M$5:M30)))/1000), ""))</f>
        <v/>
      </c>
      <c r="Y31" s="1">
        <f>Y30+20</f>
        <v/>
      </c>
      <c r="Z31" s="1">
        <f>AA30</f>
        <v/>
      </c>
      <c r="AC31" t="inlineStr">
        <is>
          <t>60mL/3s/30s</t>
        </is>
      </c>
      <c r="AG31" s="1">
        <f>IF(AA31="", "", (Z31-AA31)*1000/(Y31-Y30))</f>
        <v/>
      </c>
      <c r="AH31" s="1">
        <f>IF(AG31="","",AG31/AD$2/3)</f>
        <v/>
      </c>
      <c r="AI31" s="1">
        <f>IF(AG31="","", 100*_xlfn.STDEV.P(AG30:AG31)/AVERAGE(AG30:AG31))</f>
        <v/>
      </c>
      <c r="AJ31" s="8">
        <f t="array" ref="AJ31">IF(AG31="","", IFERROR(((IF(AG$5&lt;&gt;"", AG$5*Y$5, 0) + SUMPRODUCT(--(AG$6:AG31&lt;&gt;""), AG$6:AG31, (Y$6:Y31-Y$5:Y30)))/1000), ""))</f>
        <v/>
      </c>
      <c r="AK31" s="1">
        <f>AK30+20</f>
        <v/>
      </c>
      <c r="AL31" s="1">
        <f>AM30</f>
        <v/>
      </c>
      <c r="AO31" t="inlineStr">
        <is>
          <t>60mL/3s/30s</t>
        </is>
      </c>
      <c r="AS31" s="1">
        <f>IF(AM31="", "", (AL31-AM31)*1000/(AK31-AK30))</f>
        <v/>
      </c>
      <c r="AT31" s="1">
        <f>IF(AS31="","",AS31/AP$2/3)</f>
        <v/>
      </c>
      <c r="AU31" s="1">
        <f>IF(AS31="","", 100*_xlfn.STDEV.P(AS30:AS31)/AVERAGE(AS30:AS31))</f>
        <v/>
      </c>
      <c r="AV31" s="8">
        <f t="array" ref="AV31">IF(AS31="","", IFERROR(((IF(AS$5&lt;&gt;"", AS$5*AK$5, 0) + SUMPRODUCT(--(AS$6:AS31&lt;&gt;""), AS$6:AS31, (AK$6:AK31-AK$5:AK30)))/1000), ""))</f>
        <v/>
      </c>
      <c r="AW31" s="1">
        <f>AW30+20</f>
        <v/>
      </c>
      <c r="AX31" s="1">
        <f>AY30</f>
        <v/>
      </c>
      <c r="BA31" t="inlineStr">
        <is>
          <t>60mL/3s/30s</t>
        </is>
      </c>
      <c r="BE31" s="1">
        <f>IF(AY31="", "", (AX31-AY31)*1000/(AW31-AW30))</f>
        <v/>
      </c>
      <c r="BF31" s="1">
        <f>IF(BE31="","",BE31/BB$2/3)</f>
        <v/>
      </c>
      <c r="BG31" s="1">
        <f>IF(BE31="","", 100*_xlfn.STDEV.P(BE30:BE31)/AVERAGE(BE30:BE31))</f>
        <v/>
      </c>
      <c r="BH31" s="8">
        <f t="array" ref="BH31">IF(BE31="","", IFERROR(((IF(BE$5&lt;&gt;"", BE$5*AW$5, 0) + SUMPRODUCT(--(BE$6:BE31&lt;&gt;""), BE$6:BE31, (AW$6:AW31-AW$5:AW30)))/1000), ""))</f>
        <v/>
      </c>
      <c r="BI31" s="1">
        <f>BI30+20</f>
        <v/>
      </c>
      <c r="BJ31" s="1">
        <f>BK30</f>
        <v/>
      </c>
      <c r="BM31" t="inlineStr">
        <is>
          <t>60mL/3s/30s</t>
        </is>
      </c>
      <c r="BQ31" s="1">
        <f>IF(BK31="", "", (BJ31-BK31)*1000/(BI31-BI30))</f>
        <v/>
      </c>
      <c r="BR31" s="1">
        <f>IF(BQ31="","",BQ31/BN$2/3)</f>
        <v/>
      </c>
      <c r="BS31" s="1">
        <f>IF(BQ31="","", 100*_xlfn.STDEV.P(BQ30:BQ31)/AVERAGE(BQ30:BQ31))</f>
        <v/>
      </c>
      <c r="BT31" s="8">
        <f t="array" ref="BT31">IF(BQ31="","", IFERROR(((IF(BQ$5&lt;&gt;"", BQ$5*BI$5, 0) + SUMPRODUCT(--(BQ$6:BQ31&lt;&gt;""), BQ$6:BQ31, (BI$6:BI31-BI$5:BI30)))/1000), ""))</f>
        <v/>
      </c>
      <c r="BU31" s="1">
        <f>BU30+20</f>
        <v/>
      </c>
      <c r="BV31" s="1">
        <f>BW30</f>
        <v/>
      </c>
      <c r="BY31" t="inlineStr">
        <is>
          <t>60mL/3s/30s</t>
        </is>
      </c>
      <c r="CC31" s="1">
        <f>IF(BW31="", "", (BV31-BW31)*1000/(BU31-BU30))</f>
        <v/>
      </c>
      <c r="CD31" s="1">
        <f>IF(CC31="","",CC31/BZ$2/3)</f>
        <v/>
      </c>
      <c r="CE31" s="1">
        <f>IF(CC31="","", 100*_xlfn.STDEV.P(CC30:CC31)/AVERAGE(CC30:CC31))</f>
        <v/>
      </c>
      <c r="CF31" s="8">
        <f t="array" ref="CF31">IF(CC31="","", IFERROR(((IF(CC$5&lt;&gt;"", CC$5*BU$5, 0) + SUMPRODUCT(--(CC$6:CC31&lt;&gt;""), CC$6:CC31, (BU$6:BU31-BU$5:BU30)))/1000), ""))</f>
        <v/>
      </c>
      <c r="CG31" s="1">
        <f>CG30+20</f>
        <v/>
      </c>
      <c r="CH31" s="1">
        <f>CI30</f>
        <v/>
      </c>
      <c r="CK31" t="inlineStr">
        <is>
          <t>60mL/3s/30s</t>
        </is>
      </c>
      <c r="CO31" s="1">
        <f>IF(CI31="", "", (CH31-CI31)*1000/(CG31-CG30))</f>
        <v/>
      </c>
      <c r="CP31" s="1">
        <f>IF(CO31="","",CO31/CL$2/3)</f>
        <v/>
      </c>
      <c r="CQ31" s="1">
        <f>IF(CO31="","", 100*_xlfn.STDEV.P(CO30:CO31)/AVERAGE(CO30:CO31))</f>
        <v/>
      </c>
      <c r="CR31" s="8">
        <f t="array" ref="CR31">IF(CO31="","", IFERROR(((IF(CO$5&lt;&gt;"", CO$5*CG$5, 0) + SUMPRODUCT(--(CO$6:CO31&lt;&gt;""), CO$6:CO31, (CG$6:CG31-CG$5:CG30)))/1000), ""))</f>
        <v/>
      </c>
    </row>
    <row r="32">
      <c r="A32" s="1">
        <f>A31+20</f>
        <v/>
      </c>
      <c r="B32" s="1">
        <f>C31</f>
        <v/>
      </c>
      <c r="E32" t="inlineStr">
        <is>
          <t>60mL/3s/30s</t>
        </is>
      </c>
      <c r="I32" s="1">
        <f>IF(C32="", "", (B32-C32)*1000/(A32-A31))</f>
        <v/>
      </c>
      <c r="J32" s="1">
        <f>IF(I32="","",I32/F$2/3)</f>
        <v/>
      </c>
      <c r="K32" s="1">
        <f>IF(I32="","", 100*_xlfn.STDEV.P(I31:I32)/AVERAGE(I31:I32))</f>
        <v/>
      </c>
      <c r="L32" s="8">
        <f t="array" ref="L32">IF(I32="","", IFERROR(((IF(I$5&lt;&gt;"", I$5*A$5, 0) + SUMPRODUCT(--(I$6:I32&lt;&gt;""), I$6:I32, (A$6:A32-A$5:A31)))/1000), ""))</f>
        <v/>
      </c>
      <c r="M32" s="1">
        <f>M31+20</f>
        <v/>
      </c>
      <c r="N32" s="1">
        <f>O31</f>
        <v/>
      </c>
      <c r="Q32" t="inlineStr">
        <is>
          <t>60mL/3s/30s</t>
        </is>
      </c>
      <c r="U32" s="1">
        <f>IF(O32="", "", (N32-O32)*1000/(M32-M31))</f>
        <v/>
      </c>
      <c r="V32" s="1">
        <f>IF(U32="","",U32/R$2/3)</f>
        <v/>
      </c>
      <c r="W32" s="1">
        <f>IF(U32="","", 100*_xlfn.STDEV.P(U31:U32)/AVERAGE(U31:U32))</f>
        <v/>
      </c>
      <c r="X32" s="8">
        <f t="array" ref="X32">IF(U32="","", IFERROR(((IF(U$5&lt;&gt;"", U$5*M$5, 0) + SUMPRODUCT(--(U$6:U32&lt;&gt;""), U$6:U32, (M$6:M32-M$5:M31)))/1000), ""))</f>
        <v/>
      </c>
      <c r="Y32" s="1">
        <f>Y31+20</f>
        <v/>
      </c>
      <c r="Z32" s="1">
        <f>AA31</f>
        <v/>
      </c>
      <c r="AC32" t="inlineStr">
        <is>
          <t>60mL/3s/30s</t>
        </is>
      </c>
      <c r="AG32" s="1">
        <f>IF(AA32="", "", (Z32-AA32)*1000/(Y32-Y31))</f>
        <v/>
      </c>
      <c r="AH32" s="1">
        <f>IF(AG32="","",AG32/AD$2/3)</f>
        <v/>
      </c>
      <c r="AI32" s="1">
        <f>IF(AG32="","", 100*_xlfn.STDEV.P(AG31:AG32)/AVERAGE(AG31:AG32))</f>
        <v/>
      </c>
      <c r="AJ32" s="8">
        <f t="array" ref="AJ32">IF(AG32="","", IFERROR(((IF(AG$5&lt;&gt;"", AG$5*Y$5, 0) + SUMPRODUCT(--(AG$6:AG32&lt;&gt;""), AG$6:AG32, (Y$6:Y32-Y$5:Y31)))/1000), ""))</f>
        <v/>
      </c>
      <c r="AK32" s="1">
        <f>AK31+20</f>
        <v/>
      </c>
      <c r="AL32" s="1">
        <f>AM31</f>
        <v/>
      </c>
      <c r="AO32" t="inlineStr">
        <is>
          <t>60mL/3s/30s</t>
        </is>
      </c>
      <c r="AS32" s="1">
        <f>IF(AM32="", "", (AL32-AM32)*1000/(AK32-AK31))</f>
        <v/>
      </c>
      <c r="AT32" s="1">
        <f>IF(AS32="","",AS32/AP$2/3)</f>
        <v/>
      </c>
      <c r="AU32" s="1">
        <f>IF(AS32="","", 100*_xlfn.STDEV.P(AS31:AS32)/AVERAGE(AS31:AS32))</f>
        <v/>
      </c>
      <c r="AV32" s="8">
        <f t="array" ref="AV32">IF(AS32="","", IFERROR(((IF(AS$5&lt;&gt;"", AS$5*AK$5, 0) + SUMPRODUCT(--(AS$6:AS32&lt;&gt;""), AS$6:AS32, (AK$6:AK32-AK$5:AK31)))/1000), ""))</f>
        <v/>
      </c>
      <c r="AW32" s="1">
        <f>AW31+20</f>
        <v/>
      </c>
      <c r="AX32" s="1">
        <f>AY31</f>
        <v/>
      </c>
      <c r="BA32" t="inlineStr">
        <is>
          <t>60mL/3s/30s</t>
        </is>
      </c>
      <c r="BE32" s="1">
        <f>IF(AY32="", "", (AX32-AY32)*1000/(AW32-AW31))</f>
        <v/>
      </c>
      <c r="BF32" s="1">
        <f>IF(BE32="","",BE32/BB$2/3)</f>
        <v/>
      </c>
      <c r="BG32" s="1">
        <f>IF(BE32="","", 100*_xlfn.STDEV.P(BE31:BE32)/AVERAGE(BE31:BE32))</f>
        <v/>
      </c>
      <c r="BH32" s="8">
        <f t="array" ref="BH32">IF(BE32="","", IFERROR(((IF(BE$5&lt;&gt;"", BE$5*AW$5, 0) + SUMPRODUCT(--(BE$6:BE32&lt;&gt;""), BE$6:BE32, (AW$6:AW32-AW$5:AW31)))/1000), ""))</f>
        <v/>
      </c>
      <c r="BI32" s="1">
        <f>BI31+20</f>
        <v/>
      </c>
      <c r="BJ32" s="1">
        <f>BK31</f>
        <v/>
      </c>
      <c r="BM32" t="inlineStr">
        <is>
          <t>60mL/3s/30s</t>
        </is>
      </c>
      <c r="BQ32" s="1">
        <f>IF(BK32="", "", (BJ32-BK32)*1000/(BI32-BI31))</f>
        <v/>
      </c>
      <c r="BR32" s="1">
        <f>IF(BQ32="","",BQ32/BN$2/3)</f>
        <v/>
      </c>
      <c r="BS32" s="1">
        <f>IF(BQ32="","", 100*_xlfn.STDEV.P(BQ31:BQ32)/AVERAGE(BQ31:BQ32))</f>
        <v/>
      </c>
      <c r="BT32" s="8">
        <f t="array" ref="BT32">IF(BQ32="","", IFERROR(((IF(BQ$5&lt;&gt;"", BQ$5*BI$5, 0) + SUMPRODUCT(--(BQ$6:BQ32&lt;&gt;""), BQ$6:BQ32, (BI$6:BI32-BI$5:BI31)))/1000), ""))</f>
        <v/>
      </c>
      <c r="BU32" s="1">
        <f>BU31+20</f>
        <v/>
      </c>
      <c r="BV32" s="1">
        <f>BW31</f>
        <v/>
      </c>
      <c r="BY32" t="inlineStr">
        <is>
          <t>60mL/3s/30s</t>
        </is>
      </c>
      <c r="CC32" s="1">
        <f>IF(BW32="", "", (BV32-BW32)*1000/(BU32-BU31))</f>
        <v/>
      </c>
      <c r="CD32" s="1">
        <f>IF(CC32="","",CC32/BZ$2/3)</f>
        <v/>
      </c>
      <c r="CE32" s="1">
        <f>IF(CC32="","", 100*_xlfn.STDEV.P(CC31:CC32)/AVERAGE(CC31:CC32))</f>
        <v/>
      </c>
      <c r="CF32" s="8">
        <f t="array" ref="CF32">IF(CC32="","", IFERROR(((IF(CC$5&lt;&gt;"", CC$5*BU$5, 0) + SUMPRODUCT(--(CC$6:CC32&lt;&gt;""), CC$6:CC32, (BU$6:BU32-BU$5:BU31)))/1000), ""))</f>
        <v/>
      </c>
      <c r="CG32" s="1">
        <f>CG31+20</f>
        <v/>
      </c>
      <c r="CH32" s="1">
        <f>CI31</f>
        <v/>
      </c>
      <c r="CK32" t="inlineStr">
        <is>
          <t>60mL/3s/30s</t>
        </is>
      </c>
      <c r="CO32" s="1">
        <f>IF(CI32="", "", (CH32-CI32)*1000/(CG32-CG31))</f>
        <v/>
      </c>
      <c r="CP32" s="1">
        <f>IF(CO32="","",CO32/CL$2/3)</f>
        <v/>
      </c>
      <c r="CQ32" s="1">
        <f>IF(CO32="","", 100*_xlfn.STDEV.P(CO31:CO32)/AVERAGE(CO31:CO32))</f>
        <v/>
      </c>
      <c r="CR32" s="8">
        <f t="array" ref="CR32">IF(CO32="","", IFERROR(((IF(CO$5&lt;&gt;"", CO$5*CG$5, 0) + SUMPRODUCT(--(CO$6:CO32&lt;&gt;""), CO$6:CO32, (CG$6:CG32-CG$5:CG31)))/1000), ""))</f>
        <v/>
      </c>
    </row>
    <row r="33">
      <c r="A33" s="1">
        <f>A32+20</f>
        <v/>
      </c>
      <c r="B33" s="1">
        <f>C32</f>
        <v/>
      </c>
      <c r="E33" t="inlineStr">
        <is>
          <t>60mL/3s/30s</t>
        </is>
      </c>
      <c r="I33" s="1">
        <f>IF(C33="", "", (B33-C33)*1000/(A33-A32))</f>
        <v/>
      </c>
      <c r="J33" s="1">
        <f>IF(I33="","",I33/F$2/3)</f>
        <v/>
      </c>
      <c r="K33" s="1">
        <f>IF(I33="","", 100*_xlfn.STDEV.P(I32:I33)/AVERAGE(I32:I33))</f>
        <v/>
      </c>
      <c r="L33" s="8">
        <f t="array" ref="L33">IF(I33="","", IFERROR(((IF(I$5&lt;&gt;"", I$5*A$5, 0) + SUMPRODUCT(--(I$6:I33&lt;&gt;""), I$6:I33, (A$6:A33-A$5:A32)))/1000), ""))</f>
        <v/>
      </c>
      <c r="M33" s="1">
        <f>M32+20</f>
        <v/>
      </c>
      <c r="N33" s="1">
        <f>O32</f>
        <v/>
      </c>
      <c r="Q33" t="inlineStr">
        <is>
          <t>60mL/3s/30s</t>
        </is>
      </c>
      <c r="U33" s="1">
        <f>IF(O33="", "", (N33-O33)*1000/(M33-M32))</f>
        <v/>
      </c>
      <c r="V33" s="1">
        <f>IF(U33="","",U33/R$2/3)</f>
        <v/>
      </c>
      <c r="W33" s="1">
        <f>IF(U33="","", 100*_xlfn.STDEV.P(U32:U33)/AVERAGE(U32:U33))</f>
        <v/>
      </c>
      <c r="X33" s="8">
        <f t="array" ref="X33">IF(U33="","", IFERROR(((IF(U$5&lt;&gt;"", U$5*M$5, 0) + SUMPRODUCT(--(U$6:U33&lt;&gt;""), U$6:U33, (M$6:M33-M$5:M32)))/1000), ""))</f>
        <v/>
      </c>
      <c r="Y33" s="1">
        <f>Y32+20</f>
        <v/>
      </c>
      <c r="Z33" s="1">
        <f>AA32</f>
        <v/>
      </c>
      <c r="AC33" t="inlineStr">
        <is>
          <t>60mL/3s/30s</t>
        </is>
      </c>
      <c r="AG33" s="1">
        <f>IF(AA33="", "", (Z33-AA33)*1000/(Y33-Y32))</f>
        <v/>
      </c>
      <c r="AH33" s="1">
        <f>IF(AG33="","",AG33/AD$2/3)</f>
        <v/>
      </c>
      <c r="AI33" s="1">
        <f>IF(AG33="","", 100*_xlfn.STDEV.P(AG32:AG33)/AVERAGE(AG32:AG33))</f>
        <v/>
      </c>
      <c r="AJ33" s="8">
        <f t="array" ref="AJ33">IF(AG33="","", IFERROR(((IF(AG$5&lt;&gt;"", AG$5*Y$5, 0) + SUMPRODUCT(--(AG$6:AG33&lt;&gt;""), AG$6:AG33, (Y$6:Y33-Y$5:Y32)))/1000), ""))</f>
        <v/>
      </c>
      <c r="AK33" s="1">
        <f>AK32+20</f>
        <v/>
      </c>
      <c r="AL33" s="1">
        <f>AM32</f>
        <v/>
      </c>
      <c r="AO33" t="inlineStr">
        <is>
          <t>60mL/3s/30s</t>
        </is>
      </c>
      <c r="AS33" s="1">
        <f>IF(AM33="", "", (AL33-AM33)*1000/(AK33-AK32))</f>
        <v/>
      </c>
      <c r="AT33" s="1">
        <f>IF(AS33="","",AS33/AP$2/3)</f>
        <v/>
      </c>
      <c r="AU33" s="1">
        <f>IF(AS33="","", 100*_xlfn.STDEV.P(AS32:AS33)/AVERAGE(AS32:AS33))</f>
        <v/>
      </c>
      <c r="AV33" s="8">
        <f t="array" ref="AV33">IF(AS33="","", IFERROR(((IF(AS$5&lt;&gt;"", AS$5*AK$5, 0) + SUMPRODUCT(--(AS$6:AS33&lt;&gt;""), AS$6:AS33, (AK$6:AK33-AK$5:AK32)))/1000), ""))</f>
        <v/>
      </c>
      <c r="AW33" s="1">
        <f>AW32+20</f>
        <v/>
      </c>
      <c r="AX33" s="1">
        <f>AY32</f>
        <v/>
      </c>
      <c r="BA33" t="inlineStr">
        <is>
          <t>60mL/3s/30s</t>
        </is>
      </c>
      <c r="BE33" s="1">
        <f>IF(AY33="", "", (AX33-AY33)*1000/(AW33-AW32))</f>
        <v/>
      </c>
      <c r="BF33" s="1">
        <f>IF(BE33="","",BE33/BB$2/3)</f>
        <v/>
      </c>
      <c r="BG33" s="1">
        <f>IF(BE33="","", 100*_xlfn.STDEV.P(BE32:BE33)/AVERAGE(BE32:BE33))</f>
        <v/>
      </c>
      <c r="BH33" s="8">
        <f t="array" ref="BH33">IF(BE33="","", IFERROR(((IF(BE$5&lt;&gt;"", BE$5*AW$5, 0) + SUMPRODUCT(--(BE$6:BE33&lt;&gt;""), BE$6:BE33, (AW$6:AW33-AW$5:AW32)))/1000), ""))</f>
        <v/>
      </c>
      <c r="BI33" s="1">
        <f>BI32+20</f>
        <v/>
      </c>
      <c r="BJ33" s="1">
        <f>BK32</f>
        <v/>
      </c>
      <c r="BM33" t="inlineStr">
        <is>
          <t>60mL/3s/30s</t>
        </is>
      </c>
      <c r="BQ33" s="1">
        <f>IF(BK33="", "", (BJ33-BK33)*1000/(BI33-BI32))</f>
        <v/>
      </c>
      <c r="BR33" s="1">
        <f>IF(BQ33="","",BQ33/BN$2/3)</f>
        <v/>
      </c>
      <c r="BS33" s="1">
        <f>IF(BQ33="","", 100*_xlfn.STDEV.P(BQ32:BQ33)/AVERAGE(BQ32:BQ33))</f>
        <v/>
      </c>
      <c r="BT33" s="8">
        <f t="array" ref="BT33">IF(BQ33="","", IFERROR(((IF(BQ$5&lt;&gt;"", BQ$5*BI$5, 0) + SUMPRODUCT(--(BQ$6:BQ33&lt;&gt;""), BQ$6:BQ33, (BI$6:BI33-BI$5:BI32)))/1000), ""))</f>
        <v/>
      </c>
      <c r="BU33" s="1">
        <f>BU32+20</f>
        <v/>
      </c>
      <c r="BV33" s="1">
        <f>BW32</f>
        <v/>
      </c>
      <c r="BY33" t="inlineStr">
        <is>
          <t>60mL/3s/30s</t>
        </is>
      </c>
      <c r="CC33" s="1">
        <f>IF(BW33="", "", (BV33-BW33)*1000/(BU33-BU32))</f>
        <v/>
      </c>
      <c r="CD33" s="1">
        <f>IF(CC33="","",CC33/BZ$2/3)</f>
        <v/>
      </c>
      <c r="CE33" s="1">
        <f>IF(CC33="","", 100*_xlfn.STDEV.P(CC32:CC33)/AVERAGE(CC32:CC33))</f>
        <v/>
      </c>
      <c r="CF33" s="8">
        <f t="array" ref="CF33">IF(CC33="","", IFERROR(((IF(CC$5&lt;&gt;"", CC$5*BU$5, 0) + SUMPRODUCT(--(CC$6:CC33&lt;&gt;""), CC$6:CC33, (BU$6:BU33-BU$5:BU32)))/1000), ""))</f>
        <v/>
      </c>
      <c r="CG33" s="1">
        <f>CG32+20</f>
        <v/>
      </c>
      <c r="CH33" s="1">
        <f>CI32</f>
        <v/>
      </c>
      <c r="CK33" t="inlineStr">
        <is>
          <t>60mL/3s/30s</t>
        </is>
      </c>
      <c r="CO33" s="1">
        <f>IF(CI33="", "", (CH33-CI33)*1000/(CG33-CG32))</f>
        <v/>
      </c>
      <c r="CP33" s="1">
        <f>IF(CO33="","",CO33/CL$2/3)</f>
        <v/>
      </c>
      <c r="CQ33" s="1">
        <f>IF(CO33="","", 100*_xlfn.STDEV.P(CO32:CO33)/AVERAGE(CO32:CO33))</f>
        <v/>
      </c>
      <c r="CR33" s="8">
        <f t="array" ref="CR33">IF(CO33="","", IFERROR(((IF(CO$5&lt;&gt;"", CO$5*CG$5, 0) + SUMPRODUCT(--(CO$6:CO33&lt;&gt;""), CO$6:CO33, (CG$6:CG33-CG$5:CG32)))/1000), ""))</f>
        <v/>
      </c>
    </row>
    <row r="34">
      <c r="A34" s="1">
        <f>A33+20</f>
        <v/>
      </c>
      <c r="B34" s="1">
        <f>C33</f>
        <v/>
      </c>
      <c r="E34" t="inlineStr">
        <is>
          <t>60mL/3s/30s</t>
        </is>
      </c>
      <c r="I34" s="1">
        <f>IF(C34="", "", (B34-C34)*1000/(A34-A33))</f>
        <v/>
      </c>
      <c r="J34" s="1">
        <f>IF(I34="","",I34/F$2/3)</f>
        <v/>
      </c>
      <c r="K34" s="1">
        <f>IF(I34="","", 100*_xlfn.STDEV.P(I33:I34)/AVERAGE(I33:I34))</f>
        <v/>
      </c>
      <c r="L34" s="8">
        <f t="array" ref="L34">IF(I34="","", IFERROR(((IF(I$5&lt;&gt;"", I$5*A$5, 0) + SUMPRODUCT(--(I$6:I34&lt;&gt;""), I$6:I34, (A$6:A34-A$5:A33)))/1000), ""))</f>
        <v/>
      </c>
      <c r="M34" s="1">
        <f>M33+20</f>
        <v/>
      </c>
      <c r="N34" s="1">
        <f>O33</f>
        <v/>
      </c>
      <c r="Q34" t="inlineStr">
        <is>
          <t>60mL/3s/30s</t>
        </is>
      </c>
      <c r="U34" s="1">
        <f>IF(O34="", "", (N34-O34)*1000/(M34-M33))</f>
        <v/>
      </c>
      <c r="V34" s="1">
        <f>IF(U34="","",U34/R$2/3)</f>
        <v/>
      </c>
      <c r="W34" s="1">
        <f>IF(U34="","", 100*_xlfn.STDEV.P(U33:U34)/AVERAGE(U33:U34))</f>
        <v/>
      </c>
      <c r="X34" s="8">
        <f t="array" ref="X34">IF(U34="","", IFERROR(((IF(U$5&lt;&gt;"", U$5*M$5, 0) + SUMPRODUCT(--(U$6:U34&lt;&gt;""), U$6:U34, (M$6:M34-M$5:M33)))/1000), ""))</f>
        <v/>
      </c>
      <c r="Y34" s="1">
        <f>Y33+20</f>
        <v/>
      </c>
      <c r="Z34" s="1">
        <f>AA33</f>
        <v/>
      </c>
      <c r="AC34" t="inlineStr">
        <is>
          <t>60mL/3s/30s</t>
        </is>
      </c>
      <c r="AG34" s="1">
        <f>IF(AA34="", "", (Z34-AA34)*1000/(Y34-Y33))</f>
        <v/>
      </c>
      <c r="AH34" s="1">
        <f>IF(AG34="","",AG34/AD$2/3)</f>
        <v/>
      </c>
      <c r="AI34" s="1">
        <f>IF(AG34="","", 100*_xlfn.STDEV.P(AG33:AG34)/AVERAGE(AG33:AG34))</f>
        <v/>
      </c>
      <c r="AJ34" s="8">
        <f t="array" ref="AJ34">IF(AG34="","", IFERROR(((IF(AG$5&lt;&gt;"", AG$5*Y$5, 0) + SUMPRODUCT(--(AG$6:AG34&lt;&gt;""), AG$6:AG34, (Y$6:Y34-Y$5:Y33)))/1000), ""))</f>
        <v/>
      </c>
      <c r="AK34" s="1">
        <f>AK33+20</f>
        <v/>
      </c>
      <c r="AL34" s="1">
        <f>AM33</f>
        <v/>
      </c>
      <c r="AO34" t="inlineStr">
        <is>
          <t>60mL/3s/30s</t>
        </is>
      </c>
      <c r="AS34" s="1">
        <f>IF(AM34="", "", (AL34-AM34)*1000/(AK34-AK33))</f>
        <v/>
      </c>
      <c r="AT34" s="1">
        <f>IF(AS34="","",AS34/AP$2/3)</f>
        <v/>
      </c>
      <c r="AU34" s="1">
        <f>IF(AS34="","", 100*_xlfn.STDEV.P(AS33:AS34)/AVERAGE(AS33:AS34))</f>
        <v/>
      </c>
      <c r="AV34" s="8">
        <f t="array" ref="AV34">IF(AS34="","", IFERROR(((IF(AS$5&lt;&gt;"", AS$5*AK$5, 0) + SUMPRODUCT(--(AS$6:AS34&lt;&gt;""), AS$6:AS34, (AK$6:AK34-AK$5:AK33)))/1000), ""))</f>
        <v/>
      </c>
      <c r="AW34" s="1">
        <f>AW33+20</f>
        <v/>
      </c>
      <c r="AX34" s="1">
        <f>AY33</f>
        <v/>
      </c>
      <c r="BA34" t="inlineStr">
        <is>
          <t>60mL/3s/30s</t>
        </is>
      </c>
      <c r="BE34" s="1">
        <f>IF(AY34="", "", (AX34-AY34)*1000/(AW34-AW33))</f>
        <v/>
      </c>
      <c r="BF34" s="1">
        <f>IF(BE34="","",BE34/BB$2/3)</f>
        <v/>
      </c>
      <c r="BG34" s="1">
        <f>IF(BE34="","", 100*_xlfn.STDEV.P(BE33:BE34)/AVERAGE(BE33:BE34))</f>
        <v/>
      </c>
      <c r="BH34" s="8">
        <f t="array" ref="BH34">IF(BE34="","", IFERROR(((IF(BE$5&lt;&gt;"", BE$5*AW$5, 0) + SUMPRODUCT(--(BE$6:BE34&lt;&gt;""), BE$6:BE34, (AW$6:AW34-AW$5:AW33)))/1000), ""))</f>
        <v/>
      </c>
      <c r="BI34" s="1">
        <f>BI33+20</f>
        <v/>
      </c>
      <c r="BJ34" s="1">
        <f>BK33</f>
        <v/>
      </c>
      <c r="BM34" t="inlineStr">
        <is>
          <t>60mL/3s/30s</t>
        </is>
      </c>
      <c r="BQ34" s="1">
        <f>IF(BK34="", "", (BJ34-BK34)*1000/(BI34-BI33))</f>
        <v/>
      </c>
      <c r="BR34" s="1">
        <f>IF(BQ34="","",BQ34/BN$2/3)</f>
        <v/>
      </c>
      <c r="BS34" s="1">
        <f>IF(BQ34="","", 100*_xlfn.STDEV.P(BQ33:BQ34)/AVERAGE(BQ33:BQ34))</f>
        <v/>
      </c>
      <c r="BT34" s="8">
        <f t="array" ref="BT34">IF(BQ34="","", IFERROR(((IF(BQ$5&lt;&gt;"", BQ$5*BI$5, 0) + SUMPRODUCT(--(BQ$6:BQ34&lt;&gt;""), BQ$6:BQ34, (BI$6:BI34-BI$5:BI33)))/1000), ""))</f>
        <v/>
      </c>
      <c r="BU34" s="1">
        <f>BU33+20</f>
        <v/>
      </c>
      <c r="BV34" s="1">
        <f>BW33</f>
        <v/>
      </c>
      <c r="BY34" t="inlineStr">
        <is>
          <t>60mL/3s/30s</t>
        </is>
      </c>
      <c r="CC34" s="1">
        <f>IF(BW34="", "", (BV34-BW34)*1000/(BU34-BU33))</f>
        <v/>
      </c>
      <c r="CD34" s="1">
        <f>IF(CC34="","",CC34/BZ$2/3)</f>
        <v/>
      </c>
      <c r="CE34" s="1">
        <f>IF(CC34="","", 100*_xlfn.STDEV.P(CC33:CC34)/AVERAGE(CC33:CC34))</f>
        <v/>
      </c>
      <c r="CF34" s="8">
        <f t="array" ref="CF34">IF(CC34="","", IFERROR(((IF(CC$5&lt;&gt;"", CC$5*BU$5, 0) + SUMPRODUCT(--(CC$6:CC34&lt;&gt;""), CC$6:CC34, (BU$6:BU34-BU$5:BU33)))/1000), ""))</f>
        <v/>
      </c>
      <c r="CG34" s="1">
        <f>CG33+20</f>
        <v/>
      </c>
      <c r="CH34" s="1">
        <f>CI33</f>
        <v/>
      </c>
      <c r="CK34" t="inlineStr">
        <is>
          <t>60mL/3s/30s</t>
        </is>
      </c>
      <c r="CO34" s="1">
        <f>IF(CI34="", "", (CH34-CI34)*1000/(CG34-CG33))</f>
        <v/>
      </c>
      <c r="CP34" s="1">
        <f>IF(CO34="","",CO34/CL$2/3)</f>
        <v/>
      </c>
      <c r="CQ34" s="1">
        <f>IF(CO34="","", 100*_xlfn.STDEV.P(CO33:CO34)/AVERAGE(CO33:CO34))</f>
        <v/>
      </c>
      <c r="CR34" s="8">
        <f t="array" ref="CR34">IF(CO34="","", IFERROR(((IF(CO$5&lt;&gt;"", CO$5*CG$5, 0) + SUMPRODUCT(--(CO$6:CO34&lt;&gt;""), CO$6:CO34, (CG$6:CG34-CG$5:CG33)))/1000), ""))</f>
        <v/>
      </c>
    </row>
    <row r="35">
      <c r="A35" s="1">
        <f>A34+20</f>
        <v/>
      </c>
      <c r="B35" s="1">
        <f>C34</f>
        <v/>
      </c>
      <c r="E35" t="inlineStr">
        <is>
          <t>60mL/3s/30s</t>
        </is>
      </c>
      <c r="I35" s="1">
        <f>IF(C35="", "", (B35-C35)*1000/(A35-A34))</f>
        <v/>
      </c>
      <c r="J35" s="1">
        <f>IF(I35="","",I35/F$2/3)</f>
        <v/>
      </c>
      <c r="K35" s="1">
        <f>IF(I35="","", 100*_xlfn.STDEV.P(I34:I35)/AVERAGE(I34:I35))</f>
        <v/>
      </c>
      <c r="L35" s="8">
        <f t="array" ref="L35">IF(I35="","", IFERROR(((IF(I$5&lt;&gt;"", I$5*A$5, 0) + SUMPRODUCT(--(I$6:I35&lt;&gt;""), I$6:I35, (A$6:A35-A$5:A34)))/1000), ""))</f>
        <v/>
      </c>
      <c r="M35" s="1">
        <f>M34+20</f>
        <v/>
      </c>
      <c r="N35" s="1">
        <f>O34</f>
        <v/>
      </c>
      <c r="Q35" t="inlineStr">
        <is>
          <t>60mL/3s/30s</t>
        </is>
      </c>
      <c r="U35" s="1">
        <f>IF(O35="", "", (N35-O35)*1000/(M35-M34))</f>
        <v/>
      </c>
      <c r="V35" s="1">
        <f>IF(U35="","",U35/R$2/3)</f>
        <v/>
      </c>
      <c r="W35" s="1">
        <f>IF(U35="","", 100*_xlfn.STDEV.P(U34:U35)/AVERAGE(U34:U35))</f>
        <v/>
      </c>
      <c r="X35" s="8">
        <f t="array" ref="X35">IF(U35="","", IFERROR(((IF(U$5&lt;&gt;"", U$5*M$5, 0) + SUMPRODUCT(--(U$6:U35&lt;&gt;""), U$6:U35, (M$6:M35-M$5:M34)))/1000), ""))</f>
        <v/>
      </c>
      <c r="Y35" s="1">
        <f>Y34+20</f>
        <v/>
      </c>
      <c r="Z35" s="1">
        <f>AA34</f>
        <v/>
      </c>
      <c r="AC35" t="inlineStr">
        <is>
          <t>60mL/3s/30s</t>
        </is>
      </c>
      <c r="AG35" s="1">
        <f>IF(AA35="", "", (Z35-AA35)*1000/(Y35-Y34))</f>
        <v/>
      </c>
      <c r="AH35" s="1">
        <f>IF(AG35="","",AG35/AD$2/3)</f>
        <v/>
      </c>
      <c r="AI35" s="1">
        <f>IF(AG35="","", 100*_xlfn.STDEV.P(AG34:AG35)/AVERAGE(AG34:AG35))</f>
        <v/>
      </c>
      <c r="AJ35" s="8">
        <f t="array" ref="AJ35">IF(AG35="","", IFERROR(((IF(AG$5&lt;&gt;"", AG$5*Y$5, 0) + SUMPRODUCT(--(AG$6:AG35&lt;&gt;""), AG$6:AG35, (Y$6:Y35-Y$5:Y34)))/1000), ""))</f>
        <v/>
      </c>
      <c r="AK35" s="1">
        <f>AK34+20</f>
        <v/>
      </c>
      <c r="AL35" s="1">
        <f>AM34</f>
        <v/>
      </c>
      <c r="AO35" t="inlineStr">
        <is>
          <t>60mL/3s/30s</t>
        </is>
      </c>
      <c r="AS35" s="1">
        <f>IF(AM35="", "", (AL35-AM35)*1000/(AK35-AK34))</f>
        <v/>
      </c>
      <c r="AT35" s="1">
        <f>IF(AS35="","",AS35/AP$2/3)</f>
        <v/>
      </c>
      <c r="AU35" s="1">
        <f>IF(AS35="","", 100*_xlfn.STDEV.P(AS34:AS35)/AVERAGE(AS34:AS35))</f>
        <v/>
      </c>
      <c r="AV35" s="8">
        <f t="array" ref="AV35">IF(AS35="","", IFERROR(((IF(AS$5&lt;&gt;"", AS$5*AK$5, 0) + SUMPRODUCT(--(AS$6:AS35&lt;&gt;""), AS$6:AS35, (AK$6:AK35-AK$5:AK34)))/1000), ""))</f>
        <v/>
      </c>
      <c r="AW35" s="1">
        <f>AW34+20</f>
        <v/>
      </c>
      <c r="AX35" s="1">
        <f>AY34</f>
        <v/>
      </c>
      <c r="BA35" t="inlineStr">
        <is>
          <t>60mL/3s/30s</t>
        </is>
      </c>
      <c r="BE35" s="1">
        <f>IF(AY35="", "", (AX35-AY35)*1000/(AW35-AW34))</f>
        <v/>
      </c>
      <c r="BF35" s="1">
        <f>IF(BE35="","",BE35/BB$2/3)</f>
        <v/>
      </c>
      <c r="BG35" s="1">
        <f>IF(BE35="","", 100*_xlfn.STDEV.P(BE34:BE35)/AVERAGE(BE34:BE35))</f>
        <v/>
      </c>
      <c r="BH35" s="8">
        <f t="array" ref="BH35">IF(BE35="","", IFERROR(((IF(BE$5&lt;&gt;"", BE$5*AW$5, 0) + SUMPRODUCT(--(BE$6:BE35&lt;&gt;""), BE$6:BE35, (AW$6:AW35-AW$5:AW34)))/1000), ""))</f>
        <v/>
      </c>
      <c r="BI35" s="1">
        <f>BI34+20</f>
        <v/>
      </c>
      <c r="BJ35" s="1">
        <f>BK34</f>
        <v/>
      </c>
      <c r="BM35" t="inlineStr">
        <is>
          <t>60mL/3s/30s</t>
        </is>
      </c>
      <c r="BQ35" s="1">
        <f>IF(BK35="", "", (BJ35-BK35)*1000/(BI35-BI34))</f>
        <v/>
      </c>
      <c r="BR35" s="1">
        <f>IF(BQ35="","",BQ35/BN$2/3)</f>
        <v/>
      </c>
      <c r="BS35" s="1">
        <f>IF(BQ35="","", 100*_xlfn.STDEV.P(BQ34:BQ35)/AVERAGE(BQ34:BQ35))</f>
        <v/>
      </c>
      <c r="BT35" s="8">
        <f t="array" ref="BT35">IF(BQ35="","", IFERROR(((IF(BQ$5&lt;&gt;"", BQ$5*BI$5, 0) + SUMPRODUCT(--(BQ$6:BQ35&lt;&gt;""), BQ$6:BQ35, (BI$6:BI35-BI$5:BI34)))/1000), ""))</f>
        <v/>
      </c>
      <c r="BU35" s="1">
        <f>BU34+20</f>
        <v/>
      </c>
      <c r="BV35" s="1">
        <f>BW34</f>
        <v/>
      </c>
      <c r="BY35" t="inlineStr">
        <is>
          <t>60mL/3s/30s</t>
        </is>
      </c>
      <c r="CC35" s="1">
        <f>IF(BW35="", "", (BV35-BW35)*1000/(BU35-BU34))</f>
        <v/>
      </c>
      <c r="CD35" s="1">
        <f>IF(CC35="","",CC35/BZ$2/3)</f>
        <v/>
      </c>
      <c r="CE35" s="1">
        <f>IF(CC35="","", 100*_xlfn.STDEV.P(CC34:CC35)/AVERAGE(CC34:CC35))</f>
        <v/>
      </c>
      <c r="CF35" s="8">
        <f t="array" ref="CF35">IF(CC35="","", IFERROR(((IF(CC$5&lt;&gt;"", CC$5*BU$5, 0) + SUMPRODUCT(--(CC$6:CC35&lt;&gt;""), CC$6:CC35, (BU$6:BU35-BU$5:BU34)))/1000), ""))</f>
        <v/>
      </c>
      <c r="CG35" s="1">
        <f>CG34+20</f>
        <v/>
      </c>
      <c r="CH35" s="1">
        <f>CI34</f>
        <v/>
      </c>
      <c r="CK35" t="inlineStr">
        <is>
          <t>60mL/3s/30s</t>
        </is>
      </c>
      <c r="CO35" s="1">
        <f>IF(CI35="", "", (CH35-CI35)*1000/(CG35-CG34))</f>
        <v/>
      </c>
      <c r="CP35" s="1">
        <f>IF(CO35="","",CO35/CL$2/3)</f>
        <v/>
      </c>
      <c r="CQ35" s="1">
        <f>IF(CO35="","", 100*_xlfn.STDEV.P(CO34:CO35)/AVERAGE(CO34:CO35))</f>
        <v/>
      </c>
      <c r="CR35" s="8">
        <f t="array" ref="CR35">IF(CO35="","", IFERROR(((IF(CO$5&lt;&gt;"", CO$5*CG$5, 0) + SUMPRODUCT(--(CO$6:CO35&lt;&gt;""), CO$6:CO35, (CG$6:CG35-CG$5:CG34)))/1000), ""))</f>
        <v/>
      </c>
    </row>
    <row r="36">
      <c r="A36" s="1">
        <f>A35+20</f>
        <v/>
      </c>
      <c r="B36" s="1">
        <f>C35</f>
        <v/>
      </c>
      <c r="E36" t="inlineStr">
        <is>
          <t>60mL/3s/30s</t>
        </is>
      </c>
      <c r="I36" s="1">
        <f>IF(C36="", "", (B36-C36)*1000/(A36-A35))</f>
        <v/>
      </c>
      <c r="J36" s="1">
        <f>IF(I36="","",I36/F$2/3)</f>
        <v/>
      </c>
      <c r="K36" s="1">
        <f>IF(I36="","", 100*_xlfn.STDEV.P(I35:I36)/AVERAGE(I35:I36))</f>
        <v/>
      </c>
      <c r="L36" s="8">
        <f t="array" ref="L36">IF(I36="","", IFERROR(((IF(I$5&lt;&gt;"", I$5*A$5, 0) + SUMPRODUCT(--(I$6:I36&lt;&gt;""), I$6:I36, (A$6:A36-A$5:A35)))/1000), ""))</f>
        <v/>
      </c>
      <c r="M36" s="1">
        <f>M35+20</f>
        <v/>
      </c>
      <c r="N36" s="1">
        <f>O35</f>
        <v/>
      </c>
      <c r="Q36" t="inlineStr">
        <is>
          <t>60mL/3s/30s</t>
        </is>
      </c>
      <c r="U36" s="1">
        <f>IF(O36="", "", (N36-O36)*1000/(M36-M35))</f>
        <v/>
      </c>
      <c r="V36" s="1">
        <f>IF(U36="","",U36/R$2/3)</f>
        <v/>
      </c>
      <c r="W36" s="1">
        <f>IF(U36="","", 100*_xlfn.STDEV.P(U35:U36)/AVERAGE(U35:U36))</f>
        <v/>
      </c>
      <c r="X36" s="8">
        <f t="array" ref="X36">IF(U36="","", IFERROR(((IF(U$5&lt;&gt;"", U$5*M$5, 0) + SUMPRODUCT(--(U$6:U36&lt;&gt;""), U$6:U36, (M$6:M36-M$5:M35)))/1000), ""))</f>
        <v/>
      </c>
      <c r="Y36" s="1">
        <f>Y35+20</f>
        <v/>
      </c>
      <c r="Z36" s="1">
        <f>AA35</f>
        <v/>
      </c>
      <c r="AC36" t="inlineStr">
        <is>
          <t>60mL/3s/30s</t>
        </is>
      </c>
      <c r="AG36" s="1">
        <f>IF(AA36="", "", (Z36-AA36)*1000/(Y36-Y35))</f>
        <v/>
      </c>
      <c r="AH36" s="1">
        <f>IF(AG36="","",AG36/AD$2/3)</f>
        <v/>
      </c>
      <c r="AI36" s="1">
        <f>IF(AG36="","", 100*_xlfn.STDEV.P(AG35:AG36)/AVERAGE(AG35:AG36))</f>
        <v/>
      </c>
      <c r="AJ36" s="8">
        <f t="array" ref="AJ36">IF(AG36="","", IFERROR(((IF(AG$5&lt;&gt;"", AG$5*Y$5, 0) + SUMPRODUCT(--(AG$6:AG36&lt;&gt;""), AG$6:AG36, (Y$6:Y36-Y$5:Y35)))/1000), ""))</f>
        <v/>
      </c>
      <c r="AK36" s="1">
        <f>AK35+20</f>
        <v/>
      </c>
      <c r="AL36" s="1">
        <f>AM35</f>
        <v/>
      </c>
      <c r="AO36" t="inlineStr">
        <is>
          <t>60mL/3s/30s</t>
        </is>
      </c>
      <c r="AS36" s="1">
        <f>IF(AM36="", "", (AL36-AM36)*1000/(AK36-AK35))</f>
        <v/>
      </c>
      <c r="AT36" s="1">
        <f>IF(AS36="","",AS36/AP$2/3)</f>
        <v/>
      </c>
      <c r="AU36" s="1">
        <f>IF(AS36="","", 100*_xlfn.STDEV.P(AS35:AS36)/AVERAGE(AS35:AS36))</f>
        <v/>
      </c>
      <c r="AV36" s="8">
        <f t="array" ref="AV36">IF(AS36="","", IFERROR(((IF(AS$5&lt;&gt;"", AS$5*AK$5, 0) + SUMPRODUCT(--(AS$6:AS36&lt;&gt;""), AS$6:AS36, (AK$6:AK36-AK$5:AK35)))/1000), ""))</f>
        <v/>
      </c>
      <c r="AW36" s="1">
        <f>AW35+20</f>
        <v/>
      </c>
      <c r="AX36" s="1">
        <f>AY35</f>
        <v/>
      </c>
      <c r="BA36" t="inlineStr">
        <is>
          <t>60mL/3s/30s</t>
        </is>
      </c>
      <c r="BE36" s="1">
        <f>IF(AY36="", "", (AX36-AY36)*1000/(AW36-AW35))</f>
        <v/>
      </c>
      <c r="BF36" s="1">
        <f>IF(BE36="","",BE36/BB$2/3)</f>
        <v/>
      </c>
      <c r="BG36" s="1">
        <f>IF(BE36="","", 100*_xlfn.STDEV.P(BE35:BE36)/AVERAGE(BE35:BE36))</f>
        <v/>
      </c>
      <c r="BH36" s="8">
        <f t="array" ref="BH36">IF(BE36="","", IFERROR(((IF(BE$5&lt;&gt;"", BE$5*AW$5, 0) + SUMPRODUCT(--(BE$6:BE36&lt;&gt;""), BE$6:BE36, (AW$6:AW36-AW$5:AW35)))/1000), ""))</f>
        <v/>
      </c>
      <c r="BI36" s="1">
        <f>BI35+20</f>
        <v/>
      </c>
      <c r="BJ36" s="1">
        <f>BK35</f>
        <v/>
      </c>
      <c r="BM36" t="inlineStr">
        <is>
          <t>60mL/3s/30s</t>
        </is>
      </c>
      <c r="BQ36" s="1">
        <f>IF(BK36="", "", (BJ36-BK36)*1000/(BI36-BI35))</f>
        <v/>
      </c>
      <c r="BR36" s="1">
        <f>IF(BQ36="","",BQ36/BN$2/3)</f>
        <v/>
      </c>
      <c r="BS36" s="1">
        <f>IF(BQ36="","", 100*_xlfn.STDEV.P(BQ35:BQ36)/AVERAGE(BQ35:BQ36))</f>
        <v/>
      </c>
      <c r="BT36" s="8">
        <f t="array" ref="BT36">IF(BQ36="","", IFERROR(((IF(BQ$5&lt;&gt;"", BQ$5*BI$5, 0) + SUMPRODUCT(--(BQ$6:BQ36&lt;&gt;""), BQ$6:BQ36, (BI$6:BI36-BI$5:BI35)))/1000), ""))</f>
        <v/>
      </c>
      <c r="BU36" s="1">
        <f>BU35+20</f>
        <v/>
      </c>
      <c r="BV36" s="1">
        <f>BW35</f>
        <v/>
      </c>
      <c r="BY36" t="inlineStr">
        <is>
          <t>60mL/3s/30s</t>
        </is>
      </c>
      <c r="CC36" s="1">
        <f>IF(BW36="", "", (BV36-BW36)*1000/(BU36-BU35))</f>
        <v/>
      </c>
      <c r="CD36" s="1">
        <f>IF(CC36="","",CC36/BZ$2/3)</f>
        <v/>
      </c>
      <c r="CE36" s="1">
        <f>IF(CC36="","", 100*_xlfn.STDEV.P(CC35:CC36)/AVERAGE(CC35:CC36))</f>
        <v/>
      </c>
      <c r="CF36" s="8">
        <f t="array" ref="CF36">IF(CC36="","", IFERROR(((IF(CC$5&lt;&gt;"", CC$5*BU$5, 0) + SUMPRODUCT(--(CC$6:CC36&lt;&gt;""), CC$6:CC36, (BU$6:BU36-BU$5:BU35)))/1000), ""))</f>
        <v/>
      </c>
      <c r="CG36" s="1">
        <f>CG35+20</f>
        <v/>
      </c>
      <c r="CH36" s="1">
        <f>CI35</f>
        <v/>
      </c>
      <c r="CK36" t="inlineStr">
        <is>
          <t>60mL/3s/30s</t>
        </is>
      </c>
      <c r="CO36" s="1">
        <f>IF(CI36="", "", (CH36-CI36)*1000/(CG36-CG35))</f>
        <v/>
      </c>
      <c r="CP36" s="1">
        <f>IF(CO36="","",CO36/CL$2/3)</f>
        <v/>
      </c>
      <c r="CQ36" s="1">
        <f>IF(CO36="","", 100*_xlfn.STDEV.P(CO35:CO36)/AVERAGE(CO35:CO36))</f>
        <v/>
      </c>
      <c r="CR36" s="8">
        <f t="array" ref="CR36">IF(CO36="","", IFERROR(((IF(CO$5&lt;&gt;"", CO$5*CG$5, 0) + SUMPRODUCT(--(CO$6:CO36&lt;&gt;""), CO$6:CO36, (CG$6:CG36-CG$5:CG35)))/1000), ""))</f>
        <v/>
      </c>
    </row>
    <row r="37">
      <c r="A37" s="1">
        <f>A36+20</f>
        <v/>
      </c>
      <c r="B37" s="1">
        <f>C36</f>
        <v/>
      </c>
      <c r="E37" t="inlineStr">
        <is>
          <t>60mL/3s/30s</t>
        </is>
      </c>
      <c r="I37" s="1">
        <f>IF(C37="", "", (B37-C37)*1000/(A37-A36))</f>
        <v/>
      </c>
      <c r="J37" s="1">
        <f>IF(I37="","",I37/F$2/3)</f>
        <v/>
      </c>
      <c r="K37" s="1">
        <f>IF(I37="","", 100*_xlfn.STDEV.P(I36:I37)/AVERAGE(I36:I37))</f>
        <v/>
      </c>
      <c r="L37" s="8">
        <f t="array" ref="L37">IF(I37="","", IFERROR(((IF(I$5&lt;&gt;"", I$5*A$5, 0) + SUMPRODUCT(--(I$6:I37&lt;&gt;""), I$6:I37, (A$6:A37-A$5:A36)))/1000), ""))</f>
        <v/>
      </c>
      <c r="M37" s="1">
        <f>M36+20</f>
        <v/>
      </c>
      <c r="N37" s="1">
        <f>O36</f>
        <v/>
      </c>
      <c r="Q37" t="inlineStr">
        <is>
          <t>60mL/3s/30s</t>
        </is>
      </c>
      <c r="U37" s="1">
        <f>IF(O37="", "", (N37-O37)*1000/(M37-M36))</f>
        <v/>
      </c>
      <c r="V37" s="1">
        <f>IF(U37="","",U37/R$2/3)</f>
        <v/>
      </c>
      <c r="W37" s="1">
        <f>IF(U37="","", 100*_xlfn.STDEV.P(U36:U37)/AVERAGE(U36:U37))</f>
        <v/>
      </c>
      <c r="X37" s="8">
        <f t="array" ref="X37">IF(U37="","", IFERROR(((IF(U$5&lt;&gt;"", U$5*M$5, 0) + SUMPRODUCT(--(U$6:U37&lt;&gt;""), U$6:U37, (M$6:M37-M$5:M36)))/1000), ""))</f>
        <v/>
      </c>
      <c r="Y37" s="1">
        <f>Y36+20</f>
        <v/>
      </c>
      <c r="Z37" s="1">
        <f>AA36</f>
        <v/>
      </c>
      <c r="AC37" t="inlineStr">
        <is>
          <t>60mL/3s/30s</t>
        </is>
      </c>
      <c r="AG37" s="1">
        <f>IF(AA37="", "", (Z37-AA37)*1000/(Y37-Y36))</f>
        <v/>
      </c>
      <c r="AH37" s="1">
        <f>IF(AG37="","",AG37/AD$2/3)</f>
        <v/>
      </c>
      <c r="AI37" s="1">
        <f>IF(AG37="","", 100*_xlfn.STDEV.P(AG36:AG37)/AVERAGE(AG36:AG37))</f>
        <v/>
      </c>
      <c r="AJ37" s="8">
        <f t="array" ref="AJ37">IF(AG37="","", IFERROR(((IF(AG$5&lt;&gt;"", AG$5*Y$5, 0) + SUMPRODUCT(--(AG$6:AG37&lt;&gt;""), AG$6:AG37, (Y$6:Y37-Y$5:Y36)))/1000), ""))</f>
        <v/>
      </c>
      <c r="AK37" s="1">
        <f>AK36+20</f>
        <v/>
      </c>
      <c r="AL37" s="1">
        <f>AM36</f>
        <v/>
      </c>
      <c r="AO37" t="inlineStr">
        <is>
          <t>60mL/3s/30s</t>
        </is>
      </c>
      <c r="AS37" s="1">
        <f>IF(AM37="", "", (AL37-AM37)*1000/(AK37-AK36))</f>
        <v/>
      </c>
      <c r="AT37" s="1">
        <f>IF(AS37="","",AS37/AP$2/3)</f>
        <v/>
      </c>
      <c r="AU37" s="1">
        <f>IF(AS37="","", 100*_xlfn.STDEV.P(AS36:AS37)/AVERAGE(AS36:AS37))</f>
        <v/>
      </c>
      <c r="AV37" s="8">
        <f t="array" ref="AV37">IF(AS37="","", IFERROR(((IF(AS$5&lt;&gt;"", AS$5*AK$5, 0) + SUMPRODUCT(--(AS$6:AS37&lt;&gt;""), AS$6:AS37, (AK$6:AK37-AK$5:AK36)))/1000), ""))</f>
        <v/>
      </c>
      <c r="AW37" s="1">
        <f>AW36+20</f>
        <v/>
      </c>
      <c r="AX37" s="1">
        <f>AY36</f>
        <v/>
      </c>
      <c r="BA37" t="inlineStr">
        <is>
          <t>60mL/3s/30s</t>
        </is>
      </c>
      <c r="BE37" s="1">
        <f>IF(AY37="", "", (AX37-AY37)*1000/(AW37-AW36))</f>
        <v/>
      </c>
      <c r="BF37" s="1">
        <f>IF(BE37="","",BE37/BB$2/3)</f>
        <v/>
      </c>
      <c r="BG37" s="1">
        <f>IF(BE37="","", 100*_xlfn.STDEV.P(BE36:BE37)/AVERAGE(BE36:BE37))</f>
        <v/>
      </c>
      <c r="BH37" s="8">
        <f t="array" ref="BH37">IF(BE37="","", IFERROR(((IF(BE$5&lt;&gt;"", BE$5*AW$5, 0) + SUMPRODUCT(--(BE$6:BE37&lt;&gt;""), BE$6:BE37, (AW$6:AW37-AW$5:AW36)))/1000), ""))</f>
        <v/>
      </c>
      <c r="BI37" s="1">
        <f>BI36+20</f>
        <v/>
      </c>
      <c r="BJ37" s="1">
        <f>BK36</f>
        <v/>
      </c>
      <c r="BM37" t="inlineStr">
        <is>
          <t>60mL/3s/30s</t>
        </is>
      </c>
      <c r="BQ37" s="1">
        <f>IF(BK37="", "", (BJ37-BK37)*1000/(BI37-BI36))</f>
        <v/>
      </c>
      <c r="BR37" s="1">
        <f>IF(BQ37="","",BQ37/BN$2/3)</f>
        <v/>
      </c>
      <c r="BS37" s="1">
        <f>IF(BQ37="","", 100*_xlfn.STDEV.P(BQ36:BQ37)/AVERAGE(BQ36:BQ37))</f>
        <v/>
      </c>
      <c r="BT37" s="8">
        <f t="array" ref="BT37">IF(BQ37="","", IFERROR(((IF(BQ$5&lt;&gt;"", BQ$5*BI$5, 0) + SUMPRODUCT(--(BQ$6:BQ37&lt;&gt;""), BQ$6:BQ37, (BI$6:BI37-BI$5:BI36)))/1000), ""))</f>
        <v/>
      </c>
      <c r="BU37" s="1">
        <f>BU36+20</f>
        <v/>
      </c>
      <c r="BV37" s="1">
        <f>BW36</f>
        <v/>
      </c>
      <c r="BY37" t="inlineStr">
        <is>
          <t>60mL/3s/30s</t>
        </is>
      </c>
      <c r="CC37" s="1">
        <f>IF(BW37="", "", (BV37-BW37)*1000/(BU37-BU36))</f>
        <v/>
      </c>
      <c r="CD37" s="1">
        <f>IF(CC37="","",CC37/BZ$2/3)</f>
        <v/>
      </c>
      <c r="CE37" s="1">
        <f>IF(CC37="","", 100*_xlfn.STDEV.P(CC36:CC37)/AVERAGE(CC36:CC37))</f>
        <v/>
      </c>
      <c r="CF37" s="8">
        <f t="array" ref="CF37">IF(CC37="","", IFERROR(((IF(CC$5&lt;&gt;"", CC$5*BU$5, 0) + SUMPRODUCT(--(CC$6:CC37&lt;&gt;""), CC$6:CC37, (BU$6:BU37-BU$5:BU36)))/1000), ""))</f>
        <v/>
      </c>
      <c r="CG37" s="1">
        <f>CG36+20</f>
        <v/>
      </c>
      <c r="CH37" s="1">
        <f>CI36</f>
        <v/>
      </c>
      <c r="CK37" t="inlineStr">
        <is>
          <t>60mL/3s/30s</t>
        </is>
      </c>
      <c r="CO37" s="1">
        <f>IF(CI37="", "", (CH37-CI37)*1000/(CG37-CG36))</f>
        <v/>
      </c>
      <c r="CP37" s="1">
        <f>IF(CO37="","",CO37/CL$2/3)</f>
        <v/>
      </c>
      <c r="CQ37" s="1">
        <f>IF(CO37="","", 100*_xlfn.STDEV.P(CO36:CO37)/AVERAGE(CO36:CO37))</f>
        <v/>
      </c>
      <c r="CR37" s="8">
        <f t="array" ref="CR37">IF(CO37="","", IFERROR(((IF(CO$5&lt;&gt;"", CO$5*CG$5, 0) + SUMPRODUCT(--(CO$6:CO37&lt;&gt;""), CO$6:CO37, (CG$6:CG37-CG$5:CG36)))/1000), ""))</f>
        <v/>
      </c>
    </row>
    <row r="38">
      <c r="A38" s="1">
        <f>A37+20</f>
        <v/>
      </c>
      <c r="B38" s="1">
        <f>C37</f>
        <v/>
      </c>
      <c r="E38" t="inlineStr">
        <is>
          <t>60mL/3s/30s</t>
        </is>
      </c>
      <c r="I38" s="1">
        <f>IF(C38="", "", (B38-C38)*1000/(A38-A37))</f>
        <v/>
      </c>
      <c r="J38" s="1">
        <f>IF(I38="","",I38/F$2/3)</f>
        <v/>
      </c>
      <c r="K38" s="1">
        <f>IF(I38="","", 100*_xlfn.STDEV.P(I37:I38)/AVERAGE(I37:I38))</f>
        <v/>
      </c>
      <c r="L38" s="8">
        <f t="array" ref="L38">IF(I38="","", IFERROR(((IF(I$5&lt;&gt;"", I$5*A$5, 0) + SUMPRODUCT(--(I$6:I38&lt;&gt;""), I$6:I38, (A$6:A38-A$5:A37)))/1000), ""))</f>
        <v/>
      </c>
      <c r="M38" s="1">
        <f>M37+20</f>
        <v/>
      </c>
      <c r="N38" s="1">
        <f>O37</f>
        <v/>
      </c>
      <c r="Q38" t="inlineStr">
        <is>
          <t>60mL/3s/30s</t>
        </is>
      </c>
      <c r="U38" s="1">
        <f>IF(O38="", "", (N38-O38)*1000/(M38-M37))</f>
        <v/>
      </c>
      <c r="V38" s="1">
        <f>IF(U38="","",U38/R$2/3)</f>
        <v/>
      </c>
      <c r="W38" s="1">
        <f>IF(U38="","", 100*_xlfn.STDEV.P(U37:U38)/AVERAGE(U37:U38))</f>
        <v/>
      </c>
      <c r="X38" s="8">
        <f t="array" ref="X38">IF(U38="","", IFERROR(((IF(U$5&lt;&gt;"", U$5*M$5, 0) + SUMPRODUCT(--(U$6:U38&lt;&gt;""), U$6:U38, (M$6:M38-M$5:M37)))/1000), ""))</f>
        <v/>
      </c>
      <c r="Y38" s="1">
        <f>Y37+20</f>
        <v/>
      </c>
      <c r="Z38" s="1">
        <f>AA37</f>
        <v/>
      </c>
      <c r="AC38" t="inlineStr">
        <is>
          <t>60mL/3s/30s</t>
        </is>
      </c>
      <c r="AG38" s="1">
        <f>IF(AA38="", "", (Z38-AA38)*1000/(Y38-Y37))</f>
        <v/>
      </c>
      <c r="AH38" s="1">
        <f>IF(AG38="","",AG38/AD$2/3)</f>
        <v/>
      </c>
      <c r="AI38" s="1">
        <f>IF(AG38="","", 100*_xlfn.STDEV.P(AG37:AG38)/AVERAGE(AG37:AG38))</f>
        <v/>
      </c>
      <c r="AJ38" s="8">
        <f t="array" ref="AJ38">IF(AG38="","", IFERROR(((IF(AG$5&lt;&gt;"", AG$5*Y$5, 0) + SUMPRODUCT(--(AG$6:AG38&lt;&gt;""), AG$6:AG38, (Y$6:Y38-Y$5:Y37)))/1000), ""))</f>
        <v/>
      </c>
      <c r="AK38" s="1">
        <f>AK37+20</f>
        <v/>
      </c>
      <c r="AL38" s="1">
        <f>AM37</f>
        <v/>
      </c>
      <c r="AO38" t="inlineStr">
        <is>
          <t>60mL/3s/30s</t>
        </is>
      </c>
      <c r="AS38" s="1">
        <f>IF(AM38="", "", (AL38-AM38)*1000/(AK38-AK37))</f>
        <v/>
      </c>
      <c r="AT38" s="1">
        <f>IF(AS38="","",AS38/AP$2/3)</f>
        <v/>
      </c>
      <c r="AU38" s="1">
        <f>IF(AS38="","", 100*_xlfn.STDEV.P(AS37:AS38)/AVERAGE(AS37:AS38))</f>
        <v/>
      </c>
      <c r="AV38" s="8">
        <f t="array" ref="AV38">IF(AS38="","", IFERROR(((IF(AS$5&lt;&gt;"", AS$5*AK$5, 0) + SUMPRODUCT(--(AS$6:AS38&lt;&gt;""), AS$6:AS38, (AK$6:AK38-AK$5:AK37)))/1000), ""))</f>
        <v/>
      </c>
      <c r="AW38" s="1">
        <f>AW37+20</f>
        <v/>
      </c>
      <c r="AX38" s="1">
        <f>AY37</f>
        <v/>
      </c>
      <c r="BA38" t="inlineStr">
        <is>
          <t>60mL/3s/30s</t>
        </is>
      </c>
      <c r="BE38" s="1">
        <f>IF(AY38="", "", (AX38-AY38)*1000/(AW38-AW37))</f>
        <v/>
      </c>
      <c r="BF38" s="1">
        <f>IF(BE38="","",BE38/BB$2/3)</f>
        <v/>
      </c>
      <c r="BG38" s="1">
        <f>IF(BE38="","", 100*_xlfn.STDEV.P(BE37:BE38)/AVERAGE(BE37:BE38))</f>
        <v/>
      </c>
      <c r="BH38" s="8">
        <f t="array" ref="BH38">IF(BE38="","", IFERROR(((IF(BE$5&lt;&gt;"", BE$5*AW$5, 0) + SUMPRODUCT(--(BE$6:BE38&lt;&gt;""), BE$6:BE38, (AW$6:AW38-AW$5:AW37)))/1000), ""))</f>
        <v/>
      </c>
      <c r="BI38" s="1">
        <f>BI37+20</f>
        <v/>
      </c>
      <c r="BJ38" s="1">
        <f>BK37</f>
        <v/>
      </c>
      <c r="BM38" t="inlineStr">
        <is>
          <t>60mL/3s/30s</t>
        </is>
      </c>
      <c r="BQ38" s="1">
        <f>IF(BK38="", "", (BJ38-BK38)*1000/(BI38-BI37))</f>
        <v/>
      </c>
      <c r="BR38" s="1">
        <f>IF(BQ38="","",BQ38/BN$2/3)</f>
        <v/>
      </c>
      <c r="BS38" s="1">
        <f>IF(BQ38="","", 100*_xlfn.STDEV.P(BQ37:BQ38)/AVERAGE(BQ37:BQ38))</f>
        <v/>
      </c>
      <c r="BT38" s="8">
        <f t="array" ref="BT38">IF(BQ38="","", IFERROR(((IF(BQ$5&lt;&gt;"", BQ$5*BI$5, 0) + SUMPRODUCT(--(BQ$6:BQ38&lt;&gt;""), BQ$6:BQ38, (BI$6:BI38-BI$5:BI37)))/1000), ""))</f>
        <v/>
      </c>
      <c r="BU38" s="1">
        <f>BU37+20</f>
        <v/>
      </c>
      <c r="BV38" s="1">
        <f>BW37</f>
        <v/>
      </c>
      <c r="BY38" t="inlineStr">
        <is>
          <t>60mL/3s/30s</t>
        </is>
      </c>
      <c r="CC38" s="1">
        <f>IF(BW38="", "", (BV38-BW38)*1000/(BU38-BU37))</f>
        <v/>
      </c>
      <c r="CD38" s="1">
        <f>IF(CC38="","",CC38/BZ$2/3)</f>
        <v/>
      </c>
      <c r="CE38" s="1">
        <f>IF(CC38="","", 100*_xlfn.STDEV.P(CC37:CC38)/AVERAGE(CC37:CC38))</f>
        <v/>
      </c>
      <c r="CF38" s="8">
        <f t="array" ref="CF38">IF(CC38="","", IFERROR(((IF(CC$5&lt;&gt;"", CC$5*BU$5, 0) + SUMPRODUCT(--(CC$6:CC38&lt;&gt;""), CC$6:CC38, (BU$6:BU38-BU$5:BU37)))/1000), ""))</f>
        <v/>
      </c>
      <c r="CG38" s="1">
        <f>CG37+20</f>
        <v/>
      </c>
      <c r="CH38" s="1">
        <f>CI37</f>
        <v/>
      </c>
      <c r="CK38" t="inlineStr">
        <is>
          <t>60mL/3s/30s</t>
        </is>
      </c>
      <c r="CO38" s="1">
        <f>IF(CI38="", "", (CH38-CI38)*1000/(CG38-CG37))</f>
        <v/>
      </c>
      <c r="CP38" s="1">
        <f>IF(CO38="","",CO38/CL$2/3)</f>
        <v/>
      </c>
      <c r="CQ38" s="1">
        <f>IF(CO38="","", 100*_xlfn.STDEV.P(CO37:CO38)/AVERAGE(CO37:CO38))</f>
        <v/>
      </c>
      <c r="CR38" s="8">
        <f t="array" ref="CR38">IF(CO38="","", IFERROR(((IF(CO$5&lt;&gt;"", CO$5*CG$5, 0) + SUMPRODUCT(--(CO$6:CO38&lt;&gt;""), CO$6:CO38, (CG$6:CG38-CG$5:CG37)))/1000), ""))</f>
        <v/>
      </c>
    </row>
    <row r="39">
      <c r="A39" s="1">
        <f>A38+20</f>
        <v/>
      </c>
      <c r="B39" s="1">
        <f>C38</f>
        <v/>
      </c>
      <c r="E39" t="inlineStr">
        <is>
          <t>60mL/3s/30s</t>
        </is>
      </c>
      <c r="I39" s="1">
        <f>IF(C39="", "", (B39-C39)*1000/(A39-A38))</f>
        <v/>
      </c>
      <c r="J39" s="1">
        <f>IF(I39="","",I39/F$2/3)</f>
        <v/>
      </c>
      <c r="K39" s="1">
        <f>IF(I39="","", 100*_xlfn.STDEV.P(I38:I39)/AVERAGE(I38:I39))</f>
        <v/>
      </c>
      <c r="L39" s="8">
        <f t="array" ref="L39">IF(I39="","", IFERROR(((IF(I$5&lt;&gt;"", I$5*A$5, 0) + SUMPRODUCT(--(I$6:I39&lt;&gt;""), I$6:I39, (A$6:A39-A$5:A38)))/1000), ""))</f>
        <v/>
      </c>
      <c r="M39" s="1">
        <f>M38+20</f>
        <v/>
      </c>
      <c r="N39" s="1">
        <f>O38</f>
        <v/>
      </c>
      <c r="Q39" t="inlineStr">
        <is>
          <t>60mL/3s/30s</t>
        </is>
      </c>
      <c r="U39" s="1">
        <f>IF(O39="", "", (N39-O39)*1000/(M39-M38))</f>
        <v/>
      </c>
      <c r="V39" s="1">
        <f>IF(U39="","",U39/R$2/3)</f>
        <v/>
      </c>
      <c r="W39" s="1">
        <f>IF(U39="","", 100*_xlfn.STDEV.P(U38:U39)/AVERAGE(U38:U39))</f>
        <v/>
      </c>
      <c r="X39" s="8">
        <f t="array" ref="X39">IF(U39="","", IFERROR(((IF(U$5&lt;&gt;"", U$5*M$5, 0) + SUMPRODUCT(--(U$6:U39&lt;&gt;""), U$6:U39, (M$6:M39-M$5:M38)))/1000), ""))</f>
        <v/>
      </c>
      <c r="Y39" s="1">
        <f>Y38+20</f>
        <v/>
      </c>
      <c r="Z39" s="1">
        <f>AA38</f>
        <v/>
      </c>
      <c r="AC39" t="inlineStr">
        <is>
          <t>60mL/3s/30s</t>
        </is>
      </c>
      <c r="AG39" s="1">
        <f>IF(AA39="", "", (Z39-AA39)*1000/(Y39-Y38))</f>
        <v/>
      </c>
      <c r="AH39" s="1">
        <f>IF(AG39="","",AG39/AD$2/3)</f>
        <v/>
      </c>
      <c r="AI39" s="1">
        <f>IF(AG39="","", 100*_xlfn.STDEV.P(AG38:AG39)/AVERAGE(AG38:AG39))</f>
        <v/>
      </c>
      <c r="AJ39" s="8">
        <f t="array" ref="AJ39">IF(AG39="","", IFERROR(((IF(AG$5&lt;&gt;"", AG$5*Y$5, 0) + SUMPRODUCT(--(AG$6:AG39&lt;&gt;""), AG$6:AG39, (Y$6:Y39-Y$5:Y38)))/1000), ""))</f>
        <v/>
      </c>
      <c r="AK39" s="1">
        <f>AK38+20</f>
        <v/>
      </c>
      <c r="AL39" s="1">
        <f>AM38</f>
        <v/>
      </c>
      <c r="AO39" t="inlineStr">
        <is>
          <t>60mL/3s/30s</t>
        </is>
      </c>
      <c r="AS39" s="1">
        <f>IF(AM39="", "", (AL39-AM39)*1000/(AK39-AK38))</f>
        <v/>
      </c>
      <c r="AT39" s="1">
        <f>IF(AS39="","",AS39/AP$2/3)</f>
        <v/>
      </c>
      <c r="AU39" s="1">
        <f>IF(AS39="","", 100*_xlfn.STDEV.P(AS38:AS39)/AVERAGE(AS38:AS39))</f>
        <v/>
      </c>
      <c r="AV39" s="8">
        <f t="array" ref="AV39">IF(AS39="","", IFERROR(((IF(AS$5&lt;&gt;"", AS$5*AK$5, 0) + SUMPRODUCT(--(AS$6:AS39&lt;&gt;""), AS$6:AS39, (AK$6:AK39-AK$5:AK38)))/1000), ""))</f>
        <v/>
      </c>
      <c r="AW39" s="1">
        <f>AW38+20</f>
        <v/>
      </c>
      <c r="AX39" s="1">
        <f>AY38</f>
        <v/>
      </c>
      <c r="BA39" t="inlineStr">
        <is>
          <t>60mL/3s/30s</t>
        </is>
      </c>
      <c r="BE39" s="1">
        <f>IF(AY39="", "", (AX39-AY39)*1000/(AW39-AW38))</f>
        <v/>
      </c>
      <c r="BF39" s="1">
        <f>IF(BE39="","",BE39/BB$2/3)</f>
        <v/>
      </c>
      <c r="BG39" s="1">
        <f>IF(BE39="","", 100*_xlfn.STDEV.P(BE38:BE39)/AVERAGE(BE38:BE39))</f>
        <v/>
      </c>
      <c r="BH39" s="8">
        <f t="array" ref="BH39">IF(BE39="","", IFERROR(((IF(BE$5&lt;&gt;"", BE$5*AW$5, 0) + SUMPRODUCT(--(BE$6:BE39&lt;&gt;""), BE$6:BE39, (AW$6:AW39-AW$5:AW38)))/1000), ""))</f>
        <v/>
      </c>
      <c r="BI39" s="1">
        <f>BI38+20</f>
        <v/>
      </c>
      <c r="BJ39" s="1">
        <f>BK38</f>
        <v/>
      </c>
      <c r="BM39" t="inlineStr">
        <is>
          <t>60mL/3s/30s</t>
        </is>
      </c>
      <c r="BQ39" s="1">
        <f>IF(BK39="", "", (BJ39-BK39)*1000/(BI39-BI38))</f>
        <v/>
      </c>
      <c r="BR39" s="1">
        <f>IF(BQ39="","",BQ39/BN$2/3)</f>
        <v/>
      </c>
      <c r="BS39" s="1">
        <f>IF(BQ39="","", 100*_xlfn.STDEV.P(BQ38:BQ39)/AVERAGE(BQ38:BQ39))</f>
        <v/>
      </c>
      <c r="BT39" s="8">
        <f t="array" ref="BT39">IF(BQ39="","", IFERROR(((IF(BQ$5&lt;&gt;"", BQ$5*BI$5, 0) + SUMPRODUCT(--(BQ$6:BQ39&lt;&gt;""), BQ$6:BQ39, (BI$6:BI39-BI$5:BI38)))/1000), ""))</f>
        <v/>
      </c>
      <c r="BU39" s="1">
        <f>BU38+20</f>
        <v/>
      </c>
      <c r="BV39" s="1">
        <f>BW38</f>
        <v/>
      </c>
      <c r="BY39" t="inlineStr">
        <is>
          <t>60mL/3s/30s</t>
        </is>
      </c>
      <c r="CC39" s="1">
        <f>IF(BW39="", "", (BV39-BW39)*1000/(BU39-BU38))</f>
        <v/>
      </c>
      <c r="CD39" s="1">
        <f>IF(CC39="","",CC39/BZ$2/3)</f>
        <v/>
      </c>
      <c r="CE39" s="1">
        <f>IF(CC39="","", 100*_xlfn.STDEV.P(CC38:CC39)/AVERAGE(CC38:CC39))</f>
        <v/>
      </c>
      <c r="CF39" s="8">
        <f t="array" ref="CF39">IF(CC39="","", IFERROR(((IF(CC$5&lt;&gt;"", CC$5*BU$5, 0) + SUMPRODUCT(--(CC$6:CC39&lt;&gt;""), CC$6:CC39, (BU$6:BU39-BU$5:BU38)))/1000), ""))</f>
        <v/>
      </c>
      <c r="CG39" s="1">
        <f>CG38+20</f>
        <v/>
      </c>
      <c r="CH39" s="1">
        <f>CI38</f>
        <v/>
      </c>
      <c r="CK39" t="inlineStr">
        <is>
          <t>60mL/3s/30s</t>
        </is>
      </c>
      <c r="CO39" s="1">
        <f>IF(CI39="", "", (CH39-CI39)*1000/(CG39-CG38))</f>
        <v/>
      </c>
      <c r="CP39" s="1">
        <f>IF(CO39="","",CO39/CL$2/3)</f>
        <v/>
      </c>
      <c r="CQ39" s="1">
        <f>IF(CO39="","", 100*_xlfn.STDEV.P(CO38:CO39)/AVERAGE(CO38:CO39))</f>
        <v/>
      </c>
      <c r="CR39" s="8">
        <f t="array" ref="CR39">IF(CO39="","", IFERROR(((IF(CO$5&lt;&gt;"", CO$5*CG$5, 0) + SUMPRODUCT(--(CO$6:CO39&lt;&gt;""), CO$6:CO39, (CG$6:CG39-CG$5:CG38)))/1000), ""))</f>
        <v/>
      </c>
    </row>
    <row r="40">
      <c r="A40" s="1">
        <f>A39+20</f>
        <v/>
      </c>
      <c r="B40" s="1">
        <f>C39</f>
        <v/>
      </c>
      <c r="E40" t="inlineStr">
        <is>
          <t>60mL/3s/30s</t>
        </is>
      </c>
      <c r="I40" s="1">
        <f>IF(C40="", "", (B40-C40)*1000/(A40-A39))</f>
        <v/>
      </c>
      <c r="J40" s="1">
        <f>IF(I40="","",I40/F$2/3)</f>
        <v/>
      </c>
      <c r="K40" s="1">
        <f>IF(I40="","", 100*_xlfn.STDEV.P(I39:I40)/AVERAGE(I39:I40))</f>
        <v/>
      </c>
      <c r="L40" s="8">
        <f t="array" ref="L40">IF(I40="","", IFERROR(((IF(I$5&lt;&gt;"", I$5*A$5, 0) + SUMPRODUCT(--(I$6:I40&lt;&gt;""), I$6:I40, (A$6:A40-A$5:A39)))/1000), ""))</f>
        <v/>
      </c>
      <c r="M40" s="1">
        <f>M39+20</f>
        <v/>
      </c>
      <c r="N40" s="1">
        <f>O39</f>
        <v/>
      </c>
      <c r="Q40" t="inlineStr">
        <is>
          <t>60mL/3s/30s</t>
        </is>
      </c>
      <c r="U40" s="1">
        <f>IF(O40="", "", (N40-O40)*1000/(M40-M39))</f>
        <v/>
      </c>
      <c r="V40" s="1">
        <f>IF(U40="","",U40/R$2/3)</f>
        <v/>
      </c>
      <c r="W40" s="1">
        <f>IF(U40="","", 100*_xlfn.STDEV.P(U39:U40)/AVERAGE(U39:U40))</f>
        <v/>
      </c>
      <c r="X40" s="8">
        <f t="array" ref="X40">IF(U40="","", IFERROR(((IF(U$5&lt;&gt;"", U$5*M$5, 0) + SUMPRODUCT(--(U$6:U40&lt;&gt;""), U$6:U40, (M$6:M40-M$5:M39)))/1000), ""))</f>
        <v/>
      </c>
      <c r="Y40" s="1">
        <f>Y39+20</f>
        <v/>
      </c>
      <c r="Z40" s="1">
        <f>AA39</f>
        <v/>
      </c>
      <c r="AC40" t="inlineStr">
        <is>
          <t>60mL/3s/30s</t>
        </is>
      </c>
      <c r="AG40" s="1">
        <f>IF(AA40="", "", (Z40-AA40)*1000/(Y40-Y39))</f>
        <v/>
      </c>
      <c r="AH40" s="1">
        <f>IF(AG40="","",AG40/AD$2/3)</f>
        <v/>
      </c>
      <c r="AI40" s="1">
        <f>IF(AG40="","", 100*_xlfn.STDEV.P(AG39:AG40)/AVERAGE(AG39:AG40))</f>
        <v/>
      </c>
      <c r="AJ40" s="8">
        <f t="array" ref="AJ40">IF(AG40="","", IFERROR(((IF(AG$5&lt;&gt;"", AG$5*Y$5, 0) + SUMPRODUCT(--(AG$6:AG40&lt;&gt;""), AG$6:AG40, (Y$6:Y40-Y$5:Y39)))/1000), ""))</f>
        <v/>
      </c>
      <c r="AK40" s="1">
        <f>AK39+20</f>
        <v/>
      </c>
      <c r="AL40" s="1">
        <f>AM39</f>
        <v/>
      </c>
      <c r="AO40" t="inlineStr">
        <is>
          <t>60mL/3s/30s</t>
        </is>
      </c>
      <c r="AS40" s="1">
        <f>IF(AM40="", "", (AL40-AM40)*1000/(AK40-AK39))</f>
        <v/>
      </c>
      <c r="AT40" s="1">
        <f>IF(AS40="","",AS40/AP$2/3)</f>
        <v/>
      </c>
      <c r="AU40" s="1">
        <f>IF(AS40="","", 100*_xlfn.STDEV.P(AS39:AS40)/AVERAGE(AS39:AS40))</f>
        <v/>
      </c>
      <c r="AV40" s="8">
        <f t="array" ref="AV40">IF(AS40="","", IFERROR(((IF(AS$5&lt;&gt;"", AS$5*AK$5, 0) + SUMPRODUCT(--(AS$6:AS40&lt;&gt;""), AS$6:AS40, (AK$6:AK40-AK$5:AK39)))/1000), ""))</f>
        <v/>
      </c>
      <c r="AW40" s="1">
        <f>AW39+20</f>
        <v/>
      </c>
      <c r="AX40" s="1">
        <f>AY39</f>
        <v/>
      </c>
      <c r="BA40" t="inlineStr">
        <is>
          <t>60mL/3s/30s</t>
        </is>
      </c>
      <c r="BE40" s="1">
        <f>IF(AY40="", "", (AX40-AY40)*1000/(AW40-AW39))</f>
        <v/>
      </c>
      <c r="BF40" s="1">
        <f>IF(BE40="","",BE40/BB$2/3)</f>
        <v/>
      </c>
      <c r="BG40" s="1">
        <f>IF(BE40="","", 100*_xlfn.STDEV.P(BE39:BE40)/AVERAGE(BE39:BE40))</f>
        <v/>
      </c>
      <c r="BH40" s="8">
        <f t="array" ref="BH40">IF(BE40="","", IFERROR(((IF(BE$5&lt;&gt;"", BE$5*AW$5, 0) + SUMPRODUCT(--(BE$6:BE40&lt;&gt;""), BE$6:BE40, (AW$6:AW40-AW$5:AW39)))/1000), ""))</f>
        <v/>
      </c>
      <c r="BI40" s="1">
        <f>BI39+20</f>
        <v/>
      </c>
      <c r="BJ40" s="1">
        <f>BK39</f>
        <v/>
      </c>
      <c r="BM40" t="inlineStr">
        <is>
          <t>60mL/3s/30s</t>
        </is>
      </c>
      <c r="BQ40" s="1">
        <f>IF(BK40="", "", (BJ40-BK40)*1000/(BI40-BI39))</f>
        <v/>
      </c>
      <c r="BR40" s="1">
        <f>IF(BQ40="","",BQ40/BN$2/3)</f>
        <v/>
      </c>
      <c r="BS40" s="1">
        <f>IF(BQ40="","", 100*_xlfn.STDEV.P(BQ39:BQ40)/AVERAGE(BQ39:BQ40))</f>
        <v/>
      </c>
      <c r="BT40" s="8">
        <f t="array" ref="BT40">IF(BQ40="","", IFERROR(((IF(BQ$5&lt;&gt;"", BQ$5*BI$5, 0) + SUMPRODUCT(--(BQ$6:BQ40&lt;&gt;""), BQ$6:BQ40, (BI$6:BI40-BI$5:BI39)))/1000), ""))</f>
        <v/>
      </c>
      <c r="BU40" s="1">
        <f>BU39+20</f>
        <v/>
      </c>
      <c r="BV40" s="1">
        <f>BW39</f>
        <v/>
      </c>
      <c r="BY40" t="inlineStr">
        <is>
          <t>60mL/3s/30s</t>
        </is>
      </c>
      <c r="CC40" s="1">
        <f>IF(BW40="", "", (BV40-BW40)*1000/(BU40-BU39))</f>
        <v/>
      </c>
      <c r="CD40" s="1">
        <f>IF(CC40="","",CC40/BZ$2/3)</f>
        <v/>
      </c>
      <c r="CE40" s="1">
        <f>IF(CC40="","", 100*_xlfn.STDEV.P(CC39:CC40)/AVERAGE(CC39:CC40))</f>
        <v/>
      </c>
      <c r="CF40" s="8">
        <f t="array" ref="CF40">IF(CC40="","", IFERROR(((IF(CC$5&lt;&gt;"", CC$5*BU$5, 0) + SUMPRODUCT(--(CC$6:CC40&lt;&gt;""), CC$6:CC40, (BU$6:BU40-BU$5:BU39)))/1000), ""))</f>
        <v/>
      </c>
      <c r="CG40" s="1">
        <f>CG39+20</f>
        <v/>
      </c>
      <c r="CH40" s="1">
        <f>CI39</f>
        <v/>
      </c>
      <c r="CK40" t="inlineStr">
        <is>
          <t>60mL/3s/30s</t>
        </is>
      </c>
      <c r="CO40" s="1">
        <f>IF(CI40="", "", (CH40-CI40)*1000/(CG40-CG39))</f>
        <v/>
      </c>
      <c r="CP40" s="1">
        <f>IF(CO40="","",CO40/CL$2/3)</f>
        <v/>
      </c>
      <c r="CQ40" s="1">
        <f>IF(CO40="","", 100*_xlfn.STDEV.P(CO39:CO40)/AVERAGE(CO39:CO40))</f>
        <v/>
      </c>
      <c r="CR40" s="8">
        <f t="array" ref="CR40">IF(CO40="","", IFERROR(((IF(CO$5&lt;&gt;"", CO$5*CG$5, 0) + SUMPRODUCT(--(CO$6:CO40&lt;&gt;""), CO$6:CO40, (CG$6:CG40-CG$5:CG39)))/1000), ""))</f>
        <v/>
      </c>
    </row>
    <row r="41">
      <c r="A41" s="1">
        <f>A40+20</f>
        <v/>
      </c>
      <c r="B41" s="1">
        <f>C40</f>
        <v/>
      </c>
      <c r="E41" t="inlineStr">
        <is>
          <t>60mL/3s/30s</t>
        </is>
      </c>
      <c r="I41" s="1">
        <f>IF(C41="", "", (B41-C41)*1000/(A41-A40))</f>
        <v/>
      </c>
      <c r="J41" s="1">
        <f>IF(I41="","",I41/F$2/3)</f>
        <v/>
      </c>
      <c r="K41" s="1">
        <f>IF(I41="","", 100*_xlfn.STDEV.P(I40:I41)/AVERAGE(I40:I41))</f>
        <v/>
      </c>
      <c r="L41" s="8">
        <f t="array" ref="L41">IF(I41="","", IFERROR(((IF(I$5&lt;&gt;"", I$5*A$5, 0) + SUMPRODUCT(--(I$6:I41&lt;&gt;""), I$6:I41, (A$6:A41-A$5:A40)))/1000), ""))</f>
        <v/>
      </c>
      <c r="M41" s="1">
        <f>M40+20</f>
        <v/>
      </c>
      <c r="N41" s="1">
        <f>O40</f>
        <v/>
      </c>
      <c r="Q41" t="inlineStr">
        <is>
          <t>60mL/3s/30s</t>
        </is>
      </c>
      <c r="U41" s="1">
        <f>IF(O41="", "", (N41-O41)*1000/(M41-M40))</f>
        <v/>
      </c>
      <c r="V41" s="1">
        <f>IF(U41="","",U41/R$2/3)</f>
        <v/>
      </c>
      <c r="W41" s="1">
        <f>IF(U41="","", 100*_xlfn.STDEV.P(U40:U41)/AVERAGE(U40:U41))</f>
        <v/>
      </c>
      <c r="X41" s="8">
        <f t="array" ref="X41">IF(U41="","", IFERROR(((IF(U$5&lt;&gt;"", U$5*M$5, 0) + SUMPRODUCT(--(U$6:U41&lt;&gt;""), U$6:U41, (M$6:M41-M$5:M40)))/1000), ""))</f>
        <v/>
      </c>
      <c r="Y41" s="1">
        <f>Y40+20</f>
        <v/>
      </c>
      <c r="Z41" s="1">
        <f>AA40</f>
        <v/>
      </c>
      <c r="AC41" t="inlineStr">
        <is>
          <t>60mL/3s/30s</t>
        </is>
      </c>
      <c r="AG41" s="1">
        <f>IF(AA41="", "", (Z41-AA41)*1000/(Y41-Y40))</f>
        <v/>
      </c>
      <c r="AH41" s="1">
        <f>IF(AG41="","",AG41/AD$2/3)</f>
        <v/>
      </c>
      <c r="AI41" s="1">
        <f>IF(AG41="","", 100*_xlfn.STDEV.P(AG40:AG41)/AVERAGE(AG40:AG41))</f>
        <v/>
      </c>
      <c r="AJ41" s="8">
        <f t="array" ref="AJ41">IF(AG41="","", IFERROR(((IF(AG$5&lt;&gt;"", AG$5*Y$5, 0) + SUMPRODUCT(--(AG$6:AG41&lt;&gt;""), AG$6:AG41, (Y$6:Y41-Y$5:Y40)))/1000), ""))</f>
        <v/>
      </c>
      <c r="AK41" s="1">
        <f>AK40+20</f>
        <v/>
      </c>
      <c r="AL41" s="1">
        <f>AM40</f>
        <v/>
      </c>
      <c r="AO41" t="inlineStr">
        <is>
          <t>60mL/3s/30s</t>
        </is>
      </c>
      <c r="AS41" s="1">
        <f>IF(AM41="", "", (AL41-AM41)*1000/(AK41-AK40))</f>
        <v/>
      </c>
      <c r="AT41" s="1">
        <f>IF(AS41="","",AS41/AP$2/3)</f>
        <v/>
      </c>
      <c r="AU41" s="1">
        <f>IF(AS41="","", 100*_xlfn.STDEV.P(AS40:AS41)/AVERAGE(AS40:AS41))</f>
        <v/>
      </c>
      <c r="AV41" s="8">
        <f t="array" ref="AV41">IF(AS41="","", IFERROR(((IF(AS$5&lt;&gt;"", AS$5*AK$5, 0) + SUMPRODUCT(--(AS$6:AS41&lt;&gt;""), AS$6:AS41, (AK$6:AK41-AK$5:AK40)))/1000), ""))</f>
        <v/>
      </c>
      <c r="AW41" s="1">
        <f>AW40+20</f>
        <v/>
      </c>
      <c r="AX41" s="1">
        <f>AY40</f>
        <v/>
      </c>
      <c r="BA41" t="inlineStr">
        <is>
          <t>60mL/3s/30s</t>
        </is>
      </c>
      <c r="BE41" s="1">
        <f>IF(AY41="", "", (AX41-AY41)*1000/(AW41-AW40))</f>
        <v/>
      </c>
      <c r="BF41" s="1">
        <f>IF(BE41="","",BE41/BB$2/3)</f>
        <v/>
      </c>
      <c r="BG41" s="1">
        <f>IF(BE41="","", 100*_xlfn.STDEV.P(BE40:BE41)/AVERAGE(BE40:BE41))</f>
        <v/>
      </c>
      <c r="BH41" s="8">
        <f t="array" ref="BH41">IF(BE41="","", IFERROR(((IF(BE$5&lt;&gt;"", BE$5*AW$5, 0) + SUMPRODUCT(--(BE$6:BE41&lt;&gt;""), BE$6:BE41, (AW$6:AW41-AW$5:AW40)))/1000), ""))</f>
        <v/>
      </c>
      <c r="BI41" s="1">
        <f>BI40+20</f>
        <v/>
      </c>
      <c r="BJ41" s="1">
        <f>BK40</f>
        <v/>
      </c>
      <c r="BM41" t="inlineStr">
        <is>
          <t>60mL/3s/30s</t>
        </is>
      </c>
      <c r="BQ41" s="1">
        <f>IF(BK41="", "", (BJ41-BK41)*1000/(BI41-BI40))</f>
        <v/>
      </c>
      <c r="BR41" s="1">
        <f>IF(BQ41="","",BQ41/BN$2/3)</f>
        <v/>
      </c>
      <c r="BS41" s="1">
        <f>IF(BQ41="","", 100*_xlfn.STDEV.P(BQ40:BQ41)/AVERAGE(BQ40:BQ41))</f>
        <v/>
      </c>
      <c r="BT41" s="8">
        <f t="array" ref="BT41">IF(BQ41="","", IFERROR(((IF(BQ$5&lt;&gt;"", BQ$5*BI$5, 0) + SUMPRODUCT(--(BQ$6:BQ41&lt;&gt;""), BQ$6:BQ41, (BI$6:BI41-BI$5:BI40)))/1000), ""))</f>
        <v/>
      </c>
      <c r="BU41" s="1">
        <f>BU40+20</f>
        <v/>
      </c>
      <c r="BV41" s="1">
        <f>BW40</f>
        <v/>
      </c>
      <c r="BY41" t="inlineStr">
        <is>
          <t>60mL/3s/30s</t>
        </is>
      </c>
      <c r="CC41" s="1">
        <f>IF(BW41="", "", (BV41-BW41)*1000/(BU41-BU40))</f>
        <v/>
      </c>
      <c r="CD41" s="1">
        <f>IF(CC41="","",CC41/BZ$2/3)</f>
        <v/>
      </c>
      <c r="CE41" s="1">
        <f>IF(CC41="","", 100*_xlfn.STDEV.P(CC40:CC41)/AVERAGE(CC40:CC41))</f>
        <v/>
      </c>
      <c r="CF41" s="8">
        <f t="array" ref="CF41">IF(CC41="","", IFERROR(((IF(CC$5&lt;&gt;"", CC$5*BU$5, 0) + SUMPRODUCT(--(CC$6:CC41&lt;&gt;""), CC$6:CC41, (BU$6:BU41-BU$5:BU40)))/1000), ""))</f>
        <v/>
      </c>
      <c r="CG41" s="1">
        <f>CG40+20</f>
        <v/>
      </c>
      <c r="CH41" s="1">
        <f>CI40</f>
        <v/>
      </c>
      <c r="CK41" t="inlineStr">
        <is>
          <t>60mL/3s/30s</t>
        </is>
      </c>
      <c r="CO41" s="1">
        <f>IF(CI41="", "", (CH41-CI41)*1000/(CG41-CG40))</f>
        <v/>
      </c>
      <c r="CP41" s="1">
        <f>IF(CO41="","",CO41/CL$2/3)</f>
        <v/>
      </c>
      <c r="CQ41" s="1">
        <f>IF(CO41="","", 100*_xlfn.STDEV.P(CO40:CO41)/AVERAGE(CO40:CO41))</f>
        <v/>
      </c>
      <c r="CR41" s="8">
        <f t="array" ref="CR41">IF(CO41="","", IFERROR(((IF(CO$5&lt;&gt;"", CO$5*CG$5, 0) + SUMPRODUCT(--(CO$6:CO41&lt;&gt;""), CO$6:CO41, (CG$6:CG41-CG$5:CG40)))/1000), ""))</f>
        <v/>
      </c>
    </row>
    <row r="42">
      <c r="A42" s="1">
        <f>A41+20</f>
        <v/>
      </c>
      <c r="B42" s="1">
        <f>C41</f>
        <v/>
      </c>
      <c r="E42" t="inlineStr">
        <is>
          <t>60mL/3s/30s</t>
        </is>
      </c>
      <c r="I42" s="1">
        <f>IF(C42="", "", (B42-C42)*1000/(A42-A41))</f>
        <v/>
      </c>
      <c r="J42" s="1">
        <f>IF(I42="","",I42/F$2/3)</f>
        <v/>
      </c>
      <c r="K42" s="1">
        <f>IF(I42="","", 100*_xlfn.STDEV.P(I41:I42)/AVERAGE(I41:I42))</f>
        <v/>
      </c>
      <c r="L42" s="8">
        <f t="array" ref="L42">IF(I42="","", IFERROR(((IF(I$5&lt;&gt;"", I$5*A$5, 0) + SUMPRODUCT(--(I$6:I42&lt;&gt;""), I$6:I42, (A$6:A42-A$5:A41)))/1000), ""))</f>
        <v/>
      </c>
      <c r="M42" s="1">
        <f>M41+20</f>
        <v/>
      </c>
      <c r="N42" s="1">
        <f>O41</f>
        <v/>
      </c>
      <c r="Q42" t="inlineStr">
        <is>
          <t>60mL/3s/30s</t>
        </is>
      </c>
      <c r="U42" s="1">
        <f>IF(O42="", "", (N42-O42)*1000/(M42-M41))</f>
        <v/>
      </c>
      <c r="V42" s="1">
        <f>IF(U42="","",U42/R$2/3)</f>
        <v/>
      </c>
      <c r="W42" s="1">
        <f>IF(U42="","", 100*_xlfn.STDEV.P(U41:U42)/AVERAGE(U41:U42))</f>
        <v/>
      </c>
      <c r="X42" s="8">
        <f t="array" ref="X42">IF(U42="","", IFERROR(((IF(U$5&lt;&gt;"", U$5*M$5, 0) + SUMPRODUCT(--(U$6:U42&lt;&gt;""), U$6:U42, (M$6:M42-M$5:M41)))/1000), ""))</f>
        <v/>
      </c>
      <c r="Y42" s="1">
        <f>Y41+20</f>
        <v/>
      </c>
      <c r="Z42" s="1">
        <f>AA41</f>
        <v/>
      </c>
      <c r="AC42" t="inlineStr">
        <is>
          <t>60mL/3s/30s</t>
        </is>
      </c>
      <c r="AG42" s="1">
        <f>IF(AA42="", "", (Z42-AA42)*1000/(Y42-Y41))</f>
        <v/>
      </c>
      <c r="AH42" s="1">
        <f>IF(AG42="","",AG42/AD$2/3)</f>
        <v/>
      </c>
      <c r="AI42" s="1">
        <f>IF(AG42="","", 100*_xlfn.STDEV.P(AG41:AG42)/AVERAGE(AG41:AG42))</f>
        <v/>
      </c>
      <c r="AJ42" s="8">
        <f t="array" ref="AJ42">IF(AG42="","", IFERROR(((IF(AG$5&lt;&gt;"", AG$5*Y$5, 0) + SUMPRODUCT(--(AG$6:AG42&lt;&gt;""), AG$6:AG42, (Y$6:Y42-Y$5:Y41)))/1000), ""))</f>
        <v/>
      </c>
      <c r="AK42" s="1">
        <f>AK41+20</f>
        <v/>
      </c>
      <c r="AL42" s="1">
        <f>AM41</f>
        <v/>
      </c>
      <c r="AO42" t="inlineStr">
        <is>
          <t>60mL/3s/30s</t>
        </is>
      </c>
      <c r="AS42" s="1">
        <f>IF(AM42="", "", (AL42-AM42)*1000/(AK42-AK41))</f>
        <v/>
      </c>
      <c r="AT42" s="1">
        <f>IF(AS42="","",AS42/AP$2/3)</f>
        <v/>
      </c>
      <c r="AU42" s="1">
        <f>IF(AS42="","", 100*_xlfn.STDEV.P(AS41:AS42)/AVERAGE(AS41:AS42))</f>
        <v/>
      </c>
      <c r="AV42" s="8">
        <f t="array" ref="AV42">IF(AS42="","", IFERROR(((IF(AS$5&lt;&gt;"", AS$5*AK$5, 0) + SUMPRODUCT(--(AS$6:AS42&lt;&gt;""), AS$6:AS42, (AK$6:AK42-AK$5:AK41)))/1000), ""))</f>
        <v/>
      </c>
      <c r="AW42" s="1">
        <f>AW41+20</f>
        <v/>
      </c>
      <c r="AX42" s="1">
        <f>AY41</f>
        <v/>
      </c>
      <c r="BA42" t="inlineStr">
        <is>
          <t>60mL/3s/30s</t>
        </is>
      </c>
      <c r="BE42" s="1">
        <f>IF(AY42="", "", (AX42-AY42)*1000/(AW42-AW41))</f>
        <v/>
      </c>
      <c r="BF42" s="1">
        <f>IF(BE42="","",BE42/BB$2/3)</f>
        <v/>
      </c>
      <c r="BG42" s="1">
        <f>IF(BE42="","", 100*_xlfn.STDEV.P(BE41:BE42)/AVERAGE(BE41:BE42))</f>
        <v/>
      </c>
      <c r="BH42" s="8">
        <f t="array" ref="BH42">IF(BE42="","", IFERROR(((IF(BE$5&lt;&gt;"", BE$5*AW$5, 0) + SUMPRODUCT(--(BE$6:BE42&lt;&gt;""), BE$6:BE42, (AW$6:AW42-AW$5:AW41)))/1000), ""))</f>
        <v/>
      </c>
      <c r="BI42" s="1">
        <f>BI41+20</f>
        <v/>
      </c>
      <c r="BJ42" s="1">
        <f>BK41</f>
        <v/>
      </c>
      <c r="BM42" t="inlineStr">
        <is>
          <t>60mL/3s/30s</t>
        </is>
      </c>
      <c r="BQ42" s="1">
        <f>IF(BK42="", "", (BJ42-BK42)*1000/(BI42-BI41))</f>
        <v/>
      </c>
      <c r="BR42" s="1">
        <f>IF(BQ42="","",BQ42/BN$2/3)</f>
        <v/>
      </c>
      <c r="BS42" s="1">
        <f>IF(BQ42="","", 100*_xlfn.STDEV.P(BQ41:BQ42)/AVERAGE(BQ41:BQ42))</f>
        <v/>
      </c>
      <c r="BT42" s="8">
        <f t="array" ref="BT42">IF(BQ42="","", IFERROR(((IF(BQ$5&lt;&gt;"", BQ$5*BI$5, 0) + SUMPRODUCT(--(BQ$6:BQ42&lt;&gt;""), BQ$6:BQ42, (BI$6:BI42-BI$5:BI41)))/1000), ""))</f>
        <v/>
      </c>
      <c r="BU42" s="1">
        <f>BU41+20</f>
        <v/>
      </c>
      <c r="BV42" s="1">
        <f>BW41</f>
        <v/>
      </c>
      <c r="BY42" t="inlineStr">
        <is>
          <t>60mL/3s/30s</t>
        </is>
      </c>
      <c r="CC42" s="1">
        <f>IF(BW42="", "", (BV42-BW42)*1000/(BU42-BU41))</f>
        <v/>
      </c>
      <c r="CD42" s="1">
        <f>IF(CC42="","",CC42/BZ$2/3)</f>
        <v/>
      </c>
      <c r="CE42" s="1">
        <f>IF(CC42="","", 100*_xlfn.STDEV.P(CC41:CC42)/AVERAGE(CC41:CC42))</f>
        <v/>
      </c>
      <c r="CF42" s="8">
        <f t="array" ref="CF42">IF(CC42="","", IFERROR(((IF(CC$5&lt;&gt;"", CC$5*BU$5, 0) + SUMPRODUCT(--(CC$6:CC42&lt;&gt;""), CC$6:CC42, (BU$6:BU42-BU$5:BU41)))/1000), ""))</f>
        <v/>
      </c>
      <c r="CG42" s="1">
        <f>CG41+20</f>
        <v/>
      </c>
      <c r="CH42" s="1">
        <f>CI41</f>
        <v/>
      </c>
      <c r="CK42" t="inlineStr">
        <is>
          <t>60mL/3s/30s</t>
        </is>
      </c>
      <c r="CO42" s="1">
        <f>IF(CI42="", "", (CH42-CI42)*1000/(CG42-CG41))</f>
        <v/>
      </c>
      <c r="CP42" s="1">
        <f>IF(CO42="","",CO42/CL$2/3)</f>
        <v/>
      </c>
      <c r="CQ42" s="1">
        <f>IF(CO42="","", 100*_xlfn.STDEV.P(CO41:CO42)/AVERAGE(CO41:CO42))</f>
        <v/>
      </c>
      <c r="CR42" s="8">
        <f t="array" ref="CR42">IF(CO42="","", IFERROR(((IF(CO$5&lt;&gt;"", CO$5*CG$5, 0) + SUMPRODUCT(--(CO$6:CO42&lt;&gt;""), CO$6:CO42, (CG$6:CG42-CG$5:CG41)))/1000), ""))</f>
        <v/>
      </c>
    </row>
    <row r="43">
      <c r="A43" s="1">
        <f>A42+20</f>
        <v/>
      </c>
      <c r="B43" s="1">
        <f>C42</f>
        <v/>
      </c>
      <c r="E43" t="inlineStr">
        <is>
          <t>60mL/3s/30s</t>
        </is>
      </c>
      <c r="I43" s="1">
        <f>IF(C43="", "", (B43-C43)*1000/(A43-A42))</f>
        <v/>
      </c>
      <c r="J43" s="1">
        <f>IF(I43="","",I43/F$2/3)</f>
        <v/>
      </c>
      <c r="K43" s="1">
        <f>IF(I43="","", 100*_xlfn.STDEV.P(I42:I43)/AVERAGE(I42:I43))</f>
        <v/>
      </c>
      <c r="L43" s="8">
        <f t="array" ref="L43">IF(I43="","", IFERROR(((IF(I$5&lt;&gt;"", I$5*A$5, 0) + SUMPRODUCT(--(I$6:I43&lt;&gt;""), I$6:I43, (A$6:A43-A$5:A42)))/1000), ""))</f>
        <v/>
      </c>
      <c r="M43" s="1">
        <f>M42+20</f>
        <v/>
      </c>
      <c r="N43" s="1">
        <f>O42</f>
        <v/>
      </c>
      <c r="Q43" t="inlineStr">
        <is>
          <t>60mL/3s/30s</t>
        </is>
      </c>
      <c r="U43" s="1">
        <f>IF(O43="", "", (N43-O43)*1000/(M43-M42))</f>
        <v/>
      </c>
      <c r="V43" s="1">
        <f>IF(U43="","",U43/R$2/3)</f>
        <v/>
      </c>
      <c r="W43" s="1">
        <f>IF(U43="","", 100*_xlfn.STDEV.P(U42:U43)/AVERAGE(U42:U43))</f>
        <v/>
      </c>
      <c r="X43" s="8">
        <f t="array" ref="X43">IF(U43="","", IFERROR(((IF(U$5&lt;&gt;"", U$5*M$5, 0) + SUMPRODUCT(--(U$6:U43&lt;&gt;""), U$6:U43, (M$6:M43-M$5:M42)))/1000), ""))</f>
        <v/>
      </c>
      <c r="Y43" s="1">
        <f>Y42+20</f>
        <v/>
      </c>
      <c r="Z43" s="1">
        <f>AA42</f>
        <v/>
      </c>
      <c r="AC43" t="inlineStr">
        <is>
          <t>60mL/3s/30s</t>
        </is>
      </c>
      <c r="AG43" s="1">
        <f>IF(AA43="", "", (Z43-AA43)*1000/(Y43-Y42))</f>
        <v/>
      </c>
      <c r="AH43" s="1">
        <f>IF(AG43="","",AG43/AD$2/3)</f>
        <v/>
      </c>
      <c r="AI43" s="1">
        <f>IF(AG43="","", 100*_xlfn.STDEV.P(AG42:AG43)/AVERAGE(AG42:AG43))</f>
        <v/>
      </c>
      <c r="AJ43" s="8">
        <f t="array" ref="AJ43">IF(AG43="","", IFERROR(((IF(AG$5&lt;&gt;"", AG$5*Y$5, 0) + SUMPRODUCT(--(AG$6:AG43&lt;&gt;""), AG$6:AG43, (Y$6:Y43-Y$5:Y42)))/1000), ""))</f>
        <v/>
      </c>
      <c r="AK43" s="1">
        <f>AK42+20</f>
        <v/>
      </c>
      <c r="AL43" s="1">
        <f>AM42</f>
        <v/>
      </c>
      <c r="AO43" t="inlineStr">
        <is>
          <t>60mL/3s/30s</t>
        </is>
      </c>
      <c r="AS43" s="1">
        <f>IF(AM43="", "", (AL43-AM43)*1000/(AK43-AK42))</f>
        <v/>
      </c>
      <c r="AT43" s="1">
        <f>IF(AS43="","",AS43/AP$2/3)</f>
        <v/>
      </c>
      <c r="AU43" s="1">
        <f>IF(AS43="","", 100*_xlfn.STDEV.P(AS42:AS43)/AVERAGE(AS42:AS43))</f>
        <v/>
      </c>
      <c r="AV43" s="8">
        <f t="array" ref="AV43">IF(AS43="","", IFERROR(((IF(AS$5&lt;&gt;"", AS$5*AK$5, 0) + SUMPRODUCT(--(AS$6:AS43&lt;&gt;""), AS$6:AS43, (AK$6:AK43-AK$5:AK42)))/1000), ""))</f>
        <v/>
      </c>
      <c r="AW43" s="1">
        <f>AW42+20</f>
        <v/>
      </c>
      <c r="AX43" s="1">
        <f>AY42</f>
        <v/>
      </c>
      <c r="BA43" t="inlineStr">
        <is>
          <t>60mL/3s/30s</t>
        </is>
      </c>
      <c r="BE43" s="1">
        <f>IF(AY43="", "", (AX43-AY43)*1000/(AW43-AW42))</f>
        <v/>
      </c>
      <c r="BF43" s="1">
        <f>IF(BE43="","",BE43/BB$2/3)</f>
        <v/>
      </c>
      <c r="BG43" s="1">
        <f>IF(BE43="","", 100*_xlfn.STDEV.P(BE42:BE43)/AVERAGE(BE42:BE43))</f>
        <v/>
      </c>
      <c r="BH43" s="8">
        <f t="array" ref="BH43">IF(BE43="","", IFERROR(((IF(BE$5&lt;&gt;"", BE$5*AW$5, 0) + SUMPRODUCT(--(BE$6:BE43&lt;&gt;""), BE$6:BE43, (AW$6:AW43-AW$5:AW42)))/1000), ""))</f>
        <v/>
      </c>
      <c r="BI43" s="1">
        <f>BI42+20</f>
        <v/>
      </c>
      <c r="BJ43" s="1">
        <f>BK42</f>
        <v/>
      </c>
      <c r="BM43" t="inlineStr">
        <is>
          <t>60mL/3s/30s</t>
        </is>
      </c>
      <c r="BQ43" s="1">
        <f>IF(BK43="", "", (BJ43-BK43)*1000/(BI43-BI42))</f>
        <v/>
      </c>
      <c r="BR43" s="1">
        <f>IF(BQ43="","",BQ43/BN$2/3)</f>
        <v/>
      </c>
      <c r="BS43" s="1">
        <f>IF(BQ43="","", 100*_xlfn.STDEV.P(BQ42:BQ43)/AVERAGE(BQ42:BQ43))</f>
        <v/>
      </c>
      <c r="BT43" s="8">
        <f t="array" ref="BT43">IF(BQ43="","", IFERROR(((IF(BQ$5&lt;&gt;"", BQ$5*BI$5, 0) + SUMPRODUCT(--(BQ$6:BQ43&lt;&gt;""), BQ$6:BQ43, (BI$6:BI43-BI$5:BI42)))/1000), ""))</f>
        <v/>
      </c>
      <c r="BU43" s="1">
        <f>BU42+20</f>
        <v/>
      </c>
      <c r="BV43" s="1">
        <f>BW42</f>
        <v/>
      </c>
      <c r="BY43" t="inlineStr">
        <is>
          <t>60mL/3s/30s</t>
        </is>
      </c>
      <c r="CC43" s="1">
        <f>IF(BW43="", "", (BV43-BW43)*1000/(BU43-BU42))</f>
        <v/>
      </c>
      <c r="CD43" s="1">
        <f>IF(CC43="","",CC43/BZ$2/3)</f>
        <v/>
      </c>
      <c r="CE43" s="1">
        <f>IF(CC43="","", 100*_xlfn.STDEV.P(CC42:CC43)/AVERAGE(CC42:CC43))</f>
        <v/>
      </c>
      <c r="CF43" s="8">
        <f t="array" ref="CF43">IF(CC43="","", IFERROR(((IF(CC$5&lt;&gt;"", CC$5*BU$5, 0) + SUMPRODUCT(--(CC$6:CC43&lt;&gt;""), CC$6:CC43, (BU$6:BU43-BU$5:BU42)))/1000), ""))</f>
        <v/>
      </c>
      <c r="CG43" s="1">
        <f>CG42+20</f>
        <v/>
      </c>
      <c r="CH43" s="1">
        <f>CI42</f>
        <v/>
      </c>
      <c r="CK43" t="inlineStr">
        <is>
          <t>60mL/3s/30s</t>
        </is>
      </c>
      <c r="CO43" s="1">
        <f>IF(CI43="", "", (CH43-CI43)*1000/(CG43-CG42))</f>
        <v/>
      </c>
      <c r="CP43" s="1">
        <f>IF(CO43="","",CO43/CL$2/3)</f>
        <v/>
      </c>
      <c r="CQ43" s="1">
        <f>IF(CO43="","", 100*_xlfn.STDEV.P(CO42:CO43)/AVERAGE(CO42:CO43))</f>
        <v/>
      </c>
      <c r="CR43" s="8">
        <f t="array" ref="CR43">IF(CO43="","", IFERROR(((IF(CO$5&lt;&gt;"", CO$5*CG$5, 0) + SUMPRODUCT(--(CO$6:CO43&lt;&gt;""), CO$6:CO43, (CG$6:CG43-CG$5:CG42)))/1000), ""))</f>
        <v/>
      </c>
    </row>
    <row r="44">
      <c r="A44" s="1">
        <f>A43+20</f>
        <v/>
      </c>
      <c r="B44" s="1">
        <f>C43</f>
        <v/>
      </c>
      <c r="E44" t="inlineStr">
        <is>
          <t>60mL/3s/30s</t>
        </is>
      </c>
      <c r="I44" s="1">
        <f>IF(C44="", "", (B44-C44)*1000/(A44-A43))</f>
        <v/>
      </c>
      <c r="J44" s="1">
        <f>IF(I44="","",I44/F$2/3)</f>
        <v/>
      </c>
      <c r="K44" s="1">
        <f>IF(I44="","", 100*_xlfn.STDEV.P(I43:I44)/AVERAGE(I43:I44))</f>
        <v/>
      </c>
      <c r="L44" s="8">
        <f t="array" ref="L44">IF(I44="","", IFERROR(((IF(I$5&lt;&gt;"", I$5*A$5, 0) + SUMPRODUCT(--(I$6:I44&lt;&gt;""), I$6:I44, (A$6:A44-A$5:A43)))/1000), ""))</f>
        <v/>
      </c>
      <c r="M44" s="1">
        <f>M43+20</f>
        <v/>
      </c>
      <c r="N44" s="1">
        <f>O43</f>
        <v/>
      </c>
      <c r="Q44" t="inlineStr">
        <is>
          <t>60mL/3s/30s</t>
        </is>
      </c>
      <c r="U44" s="1">
        <f>IF(O44="", "", (N44-O44)*1000/(M44-M43))</f>
        <v/>
      </c>
      <c r="V44" s="1">
        <f>IF(U44="","",U44/R$2/3)</f>
        <v/>
      </c>
      <c r="W44" s="1">
        <f>IF(U44="","", 100*_xlfn.STDEV.P(U43:U44)/AVERAGE(U43:U44))</f>
        <v/>
      </c>
      <c r="X44" s="8">
        <f t="array" ref="X44">IF(U44="","", IFERROR(((IF(U$5&lt;&gt;"", U$5*M$5, 0) + SUMPRODUCT(--(U$6:U44&lt;&gt;""), U$6:U44, (M$6:M44-M$5:M43)))/1000), ""))</f>
        <v/>
      </c>
      <c r="Y44" s="1">
        <f>Y43+20</f>
        <v/>
      </c>
      <c r="Z44" s="1">
        <f>AA43</f>
        <v/>
      </c>
      <c r="AC44" t="inlineStr">
        <is>
          <t>60mL/3s/30s</t>
        </is>
      </c>
      <c r="AG44" s="1">
        <f>IF(AA44="", "", (Z44-AA44)*1000/(Y44-Y43))</f>
        <v/>
      </c>
      <c r="AH44" s="1">
        <f>IF(AG44="","",AG44/AD$2/3)</f>
        <v/>
      </c>
      <c r="AI44" s="1">
        <f>IF(AG44="","", 100*_xlfn.STDEV.P(AG43:AG44)/AVERAGE(AG43:AG44))</f>
        <v/>
      </c>
      <c r="AJ44" s="8">
        <f t="array" ref="AJ44">IF(AG44="","", IFERROR(((IF(AG$5&lt;&gt;"", AG$5*Y$5, 0) + SUMPRODUCT(--(AG$6:AG44&lt;&gt;""), AG$6:AG44, (Y$6:Y44-Y$5:Y43)))/1000), ""))</f>
        <v/>
      </c>
      <c r="AK44" s="1">
        <f>AK43+20</f>
        <v/>
      </c>
      <c r="AL44" s="1">
        <f>AM43</f>
        <v/>
      </c>
      <c r="AO44" t="inlineStr">
        <is>
          <t>60mL/3s/30s</t>
        </is>
      </c>
      <c r="AS44" s="1">
        <f>IF(AM44="", "", (AL44-AM44)*1000/(AK44-AK43))</f>
        <v/>
      </c>
      <c r="AT44" s="1">
        <f>IF(AS44="","",AS44/AP$2/3)</f>
        <v/>
      </c>
      <c r="AU44" s="1">
        <f>IF(AS44="","", 100*_xlfn.STDEV.P(AS43:AS44)/AVERAGE(AS43:AS44))</f>
        <v/>
      </c>
      <c r="AV44" s="8">
        <f t="array" ref="AV44">IF(AS44="","", IFERROR(((IF(AS$5&lt;&gt;"", AS$5*AK$5, 0) + SUMPRODUCT(--(AS$6:AS44&lt;&gt;""), AS$6:AS44, (AK$6:AK44-AK$5:AK43)))/1000), ""))</f>
        <v/>
      </c>
      <c r="AW44" s="1">
        <f>AW43+20</f>
        <v/>
      </c>
      <c r="AX44" s="1">
        <f>AY43</f>
        <v/>
      </c>
      <c r="BA44" t="inlineStr">
        <is>
          <t>60mL/3s/30s</t>
        </is>
      </c>
      <c r="BE44" s="1">
        <f>IF(AY44="", "", (AX44-AY44)*1000/(AW44-AW43))</f>
        <v/>
      </c>
      <c r="BF44" s="1">
        <f>IF(BE44="","",BE44/BB$2/3)</f>
        <v/>
      </c>
      <c r="BG44" s="1">
        <f>IF(BE44="","", 100*_xlfn.STDEV.P(BE43:BE44)/AVERAGE(BE43:BE44))</f>
        <v/>
      </c>
      <c r="BH44" s="8">
        <f t="array" ref="BH44">IF(BE44="","", IFERROR(((IF(BE$5&lt;&gt;"", BE$5*AW$5, 0) + SUMPRODUCT(--(BE$6:BE44&lt;&gt;""), BE$6:BE44, (AW$6:AW44-AW$5:AW43)))/1000), ""))</f>
        <v/>
      </c>
      <c r="BI44" s="1">
        <f>BI43+20</f>
        <v/>
      </c>
      <c r="BJ44" s="1">
        <f>BK43</f>
        <v/>
      </c>
      <c r="BM44" t="inlineStr">
        <is>
          <t>60mL/3s/30s</t>
        </is>
      </c>
      <c r="BQ44" s="1">
        <f>IF(BK44="", "", (BJ44-BK44)*1000/(BI44-BI43))</f>
        <v/>
      </c>
      <c r="BR44" s="1">
        <f>IF(BQ44="","",BQ44/BN$2/3)</f>
        <v/>
      </c>
      <c r="BS44" s="1">
        <f>IF(BQ44="","", 100*_xlfn.STDEV.P(BQ43:BQ44)/AVERAGE(BQ43:BQ44))</f>
        <v/>
      </c>
      <c r="BT44" s="8">
        <f t="array" ref="BT44">IF(BQ44="","", IFERROR(((IF(BQ$5&lt;&gt;"", BQ$5*BI$5, 0) + SUMPRODUCT(--(BQ$6:BQ44&lt;&gt;""), BQ$6:BQ44, (BI$6:BI44-BI$5:BI43)))/1000), ""))</f>
        <v/>
      </c>
      <c r="BU44" s="1">
        <f>BU43+20</f>
        <v/>
      </c>
      <c r="BV44" s="1">
        <f>BW43</f>
        <v/>
      </c>
      <c r="BY44" t="inlineStr">
        <is>
          <t>60mL/3s/30s</t>
        </is>
      </c>
      <c r="CC44" s="1">
        <f>IF(BW44="", "", (BV44-BW44)*1000/(BU44-BU43))</f>
        <v/>
      </c>
      <c r="CD44" s="1">
        <f>IF(CC44="","",CC44/BZ$2/3)</f>
        <v/>
      </c>
      <c r="CE44" s="1">
        <f>IF(CC44="","", 100*_xlfn.STDEV.P(CC43:CC44)/AVERAGE(CC43:CC44))</f>
        <v/>
      </c>
      <c r="CF44" s="8">
        <f t="array" ref="CF44">IF(CC44="","", IFERROR(((IF(CC$5&lt;&gt;"", CC$5*BU$5, 0) + SUMPRODUCT(--(CC$6:CC44&lt;&gt;""), CC$6:CC44, (BU$6:BU44-BU$5:BU43)))/1000), ""))</f>
        <v/>
      </c>
      <c r="CG44" s="1">
        <f>CG43+20</f>
        <v/>
      </c>
      <c r="CH44" s="1">
        <f>CI43</f>
        <v/>
      </c>
      <c r="CK44" t="inlineStr">
        <is>
          <t>60mL/3s/30s</t>
        </is>
      </c>
      <c r="CO44" s="1">
        <f>IF(CI44="", "", (CH44-CI44)*1000/(CG44-CG43))</f>
        <v/>
      </c>
      <c r="CP44" s="1">
        <f>IF(CO44="","",CO44/CL$2/3)</f>
        <v/>
      </c>
      <c r="CQ44" s="1">
        <f>IF(CO44="","", 100*_xlfn.STDEV.P(CO43:CO44)/AVERAGE(CO43:CO44))</f>
        <v/>
      </c>
      <c r="CR44" s="8">
        <f t="array" ref="CR44">IF(CO44="","", IFERROR(((IF(CO$5&lt;&gt;"", CO$5*CG$5, 0) + SUMPRODUCT(--(CO$6:CO44&lt;&gt;""), CO$6:CO44, (CG$6:CG44-CG$5:CG43)))/1000), ""))</f>
        <v/>
      </c>
    </row>
    <row r="45">
      <c r="A45" s="1">
        <f>A44+20</f>
        <v/>
      </c>
      <c r="B45" s="1">
        <f>C44</f>
        <v/>
      </c>
      <c r="E45" t="inlineStr">
        <is>
          <t>60mL/3s/30s</t>
        </is>
      </c>
      <c r="I45" s="1">
        <f>IF(C45="", "", (B45-C45)*1000/(A45-A44))</f>
        <v/>
      </c>
      <c r="J45" s="1">
        <f>IF(I45="","",I45/F$2/3)</f>
        <v/>
      </c>
      <c r="K45" s="1">
        <f>IF(I45="","", 100*_xlfn.STDEV.P(I44:I45)/AVERAGE(I44:I45))</f>
        <v/>
      </c>
      <c r="L45" s="8">
        <f t="array" ref="L45">IF(I45="","", IFERROR(((IF(I$5&lt;&gt;"", I$5*A$5, 0) + SUMPRODUCT(--(I$6:I45&lt;&gt;""), I$6:I45, (A$6:A45-A$5:A44)))/1000), ""))</f>
        <v/>
      </c>
      <c r="M45" s="1">
        <f>M44+20</f>
        <v/>
      </c>
      <c r="N45" s="1">
        <f>O44</f>
        <v/>
      </c>
      <c r="Q45" t="inlineStr">
        <is>
          <t>60mL/3s/30s</t>
        </is>
      </c>
      <c r="U45" s="1">
        <f>IF(O45="", "", (N45-O45)*1000/(M45-M44))</f>
        <v/>
      </c>
      <c r="V45" s="1">
        <f>IF(U45="","",U45/R$2/3)</f>
        <v/>
      </c>
      <c r="W45" s="1">
        <f>IF(U45="","", 100*_xlfn.STDEV.P(U44:U45)/AVERAGE(U44:U45))</f>
        <v/>
      </c>
      <c r="X45" s="8">
        <f t="array" ref="X45">IF(U45="","", IFERROR(((IF(U$5&lt;&gt;"", U$5*M$5, 0) + SUMPRODUCT(--(U$6:U45&lt;&gt;""), U$6:U45, (M$6:M45-M$5:M44)))/1000), ""))</f>
        <v/>
      </c>
      <c r="Y45" s="1">
        <f>Y44+20</f>
        <v/>
      </c>
      <c r="Z45" s="1">
        <f>AA44</f>
        <v/>
      </c>
      <c r="AC45" t="inlineStr">
        <is>
          <t>60mL/3s/30s</t>
        </is>
      </c>
      <c r="AG45" s="1">
        <f>IF(AA45="", "", (Z45-AA45)*1000/(Y45-Y44))</f>
        <v/>
      </c>
      <c r="AH45" s="1">
        <f>IF(AG45="","",AG45/AD$2/3)</f>
        <v/>
      </c>
      <c r="AI45" s="1">
        <f>IF(AG45="","", 100*_xlfn.STDEV.P(AG44:AG45)/AVERAGE(AG44:AG45))</f>
        <v/>
      </c>
      <c r="AJ45" s="8">
        <f t="array" ref="AJ45">IF(AG45="","", IFERROR(((IF(AG$5&lt;&gt;"", AG$5*Y$5, 0) + SUMPRODUCT(--(AG$6:AG45&lt;&gt;""), AG$6:AG45, (Y$6:Y45-Y$5:Y44)))/1000), ""))</f>
        <v/>
      </c>
      <c r="AK45" s="1">
        <f>AK44+20</f>
        <v/>
      </c>
      <c r="AL45" s="1">
        <f>AM44</f>
        <v/>
      </c>
      <c r="AO45" t="inlineStr">
        <is>
          <t>60mL/3s/30s</t>
        </is>
      </c>
      <c r="AS45" s="1">
        <f>IF(AM45="", "", (AL45-AM45)*1000/(AK45-AK44))</f>
        <v/>
      </c>
      <c r="AT45" s="1">
        <f>IF(AS45="","",AS45/AP$2/3)</f>
        <v/>
      </c>
      <c r="AU45" s="1">
        <f>IF(AS45="","", 100*_xlfn.STDEV.P(AS44:AS45)/AVERAGE(AS44:AS45))</f>
        <v/>
      </c>
      <c r="AV45" s="8">
        <f t="array" ref="AV45">IF(AS45="","", IFERROR(((IF(AS$5&lt;&gt;"", AS$5*AK$5, 0) + SUMPRODUCT(--(AS$6:AS45&lt;&gt;""), AS$6:AS45, (AK$6:AK45-AK$5:AK44)))/1000), ""))</f>
        <v/>
      </c>
      <c r="AW45" s="1">
        <f>AW44+20</f>
        <v/>
      </c>
      <c r="AX45" s="1">
        <f>AY44</f>
        <v/>
      </c>
      <c r="BA45" t="inlineStr">
        <is>
          <t>60mL/3s/30s</t>
        </is>
      </c>
      <c r="BE45" s="1">
        <f>IF(AY45="", "", (AX45-AY45)*1000/(AW45-AW44))</f>
        <v/>
      </c>
      <c r="BF45" s="1">
        <f>IF(BE45="","",BE45/BB$2/3)</f>
        <v/>
      </c>
      <c r="BG45" s="1">
        <f>IF(BE45="","", 100*_xlfn.STDEV.P(BE44:BE45)/AVERAGE(BE44:BE45))</f>
        <v/>
      </c>
      <c r="BH45" s="8">
        <f t="array" ref="BH45">IF(BE45="","", IFERROR(((IF(BE$5&lt;&gt;"", BE$5*AW$5, 0) + SUMPRODUCT(--(BE$6:BE45&lt;&gt;""), BE$6:BE45, (AW$6:AW45-AW$5:AW44)))/1000), ""))</f>
        <v/>
      </c>
      <c r="BI45" s="1">
        <f>BI44+20</f>
        <v/>
      </c>
      <c r="BJ45" s="1">
        <f>BK44</f>
        <v/>
      </c>
      <c r="BM45" t="inlineStr">
        <is>
          <t>60mL/3s/30s</t>
        </is>
      </c>
      <c r="BQ45" s="1">
        <f>IF(BK45="", "", (BJ45-BK45)*1000/(BI45-BI44))</f>
        <v/>
      </c>
      <c r="BR45" s="1">
        <f>IF(BQ45="","",BQ45/BN$2/3)</f>
        <v/>
      </c>
      <c r="BS45" s="1">
        <f>IF(BQ45="","", 100*_xlfn.STDEV.P(BQ44:BQ45)/AVERAGE(BQ44:BQ45))</f>
        <v/>
      </c>
      <c r="BT45" s="8">
        <f t="array" ref="BT45">IF(BQ45="","", IFERROR(((IF(BQ$5&lt;&gt;"", BQ$5*BI$5, 0) + SUMPRODUCT(--(BQ$6:BQ45&lt;&gt;""), BQ$6:BQ45, (BI$6:BI45-BI$5:BI44)))/1000), ""))</f>
        <v/>
      </c>
      <c r="BU45" s="1">
        <f>BU44+20</f>
        <v/>
      </c>
      <c r="BV45" s="1">
        <f>BW44</f>
        <v/>
      </c>
      <c r="BY45" t="inlineStr">
        <is>
          <t>60mL/3s/30s</t>
        </is>
      </c>
      <c r="CC45" s="1">
        <f>IF(BW45="", "", (BV45-BW45)*1000/(BU45-BU44))</f>
        <v/>
      </c>
      <c r="CD45" s="1">
        <f>IF(CC45="","",CC45/BZ$2/3)</f>
        <v/>
      </c>
      <c r="CE45" s="1">
        <f>IF(CC45="","", 100*_xlfn.STDEV.P(CC44:CC45)/AVERAGE(CC44:CC45))</f>
        <v/>
      </c>
      <c r="CF45" s="8">
        <f t="array" ref="CF45">IF(CC45="","", IFERROR(((IF(CC$5&lt;&gt;"", CC$5*BU$5, 0) + SUMPRODUCT(--(CC$6:CC45&lt;&gt;""), CC$6:CC45, (BU$6:BU45-BU$5:BU44)))/1000), ""))</f>
        <v/>
      </c>
      <c r="CG45" s="1">
        <f>CG44+20</f>
        <v/>
      </c>
      <c r="CH45" s="1">
        <f>CI44</f>
        <v/>
      </c>
      <c r="CK45" t="inlineStr">
        <is>
          <t>60mL/3s/30s</t>
        </is>
      </c>
      <c r="CO45" s="1">
        <f>IF(CI45="", "", (CH45-CI45)*1000/(CG45-CG44))</f>
        <v/>
      </c>
      <c r="CP45" s="1">
        <f>IF(CO45="","",CO45/CL$2/3)</f>
        <v/>
      </c>
      <c r="CQ45" s="1">
        <f>IF(CO45="","", 100*_xlfn.STDEV.P(CO44:CO45)/AVERAGE(CO44:CO45))</f>
        <v/>
      </c>
      <c r="CR45" s="8">
        <f t="array" ref="CR45">IF(CO45="","", IFERROR(((IF(CO$5&lt;&gt;"", CO$5*CG$5, 0) + SUMPRODUCT(--(CO$6:CO45&lt;&gt;""), CO$6:CO45, (CG$6:CG45-CG$5:CG44)))/1000), ""))</f>
        <v/>
      </c>
    </row>
    <row r="46">
      <c r="A46" s="1">
        <f>A45+20</f>
        <v/>
      </c>
      <c r="B46" s="1">
        <f>C45</f>
        <v/>
      </c>
      <c r="E46" t="inlineStr">
        <is>
          <t>60mL/3s/30s</t>
        </is>
      </c>
      <c r="I46" s="1">
        <f>IF(C46="", "", (B46-C46)*1000/(A46-A45))</f>
        <v/>
      </c>
      <c r="J46" s="1">
        <f>IF(I46="","",I46/F$2/3)</f>
        <v/>
      </c>
      <c r="K46" s="1">
        <f>IF(I46="","", 100*_xlfn.STDEV.P(I45:I46)/AVERAGE(I45:I46))</f>
        <v/>
      </c>
      <c r="L46" s="8">
        <f t="array" ref="L46">IF(I46="","", IFERROR(((IF(I$5&lt;&gt;"", I$5*A$5, 0) + SUMPRODUCT(--(I$6:I46&lt;&gt;""), I$6:I46, (A$6:A46-A$5:A45)))/1000), ""))</f>
        <v/>
      </c>
      <c r="M46" s="1">
        <f>M45+20</f>
        <v/>
      </c>
      <c r="N46" s="1">
        <f>O45</f>
        <v/>
      </c>
      <c r="Q46" t="inlineStr">
        <is>
          <t>60mL/3s/30s</t>
        </is>
      </c>
      <c r="U46" s="1">
        <f>IF(O46="", "", (N46-O46)*1000/(M46-M45))</f>
        <v/>
      </c>
      <c r="V46" s="1">
        <f>IF(U46="","",U46/R$2/3)</f>
        <v/>
      </c>
      <c r="W46" s="1">
        <f>IF(U46="","", 100*_xlfn.STDEV.P(U45:U46)/AVERAGE(U45:U46))</f>
        <v/>
      </c>
      <c r="X46" s="8">
        <f t="array" ref="X46">IF(U46="","", IFERROR(((IF(U$5&lt;&gt;"", U$5*M$5, 0) + SUMPRODUCT(--(U$6:U46&lt;&gt;""), U$6:U46, (M$6:M46-M$5:M45)))/1000), ""))</f>
        <v/>
      </c>
      <c r="Y46" s="1">
        <f>Y45+20</f>
        <v/>
      </c>
      <c r="Z46" s="1">
        <f>AA45</f>
        <v/>
      </c>
      <c r="AC46" t="inlineStr">
        <is>
          <t>60mL/3s/30s</t>
        </is>
      </c>
      <c r="AG46" s="1">
        <f>IF(AA46="", "", (Z46-AA46)*1000/(Y46-Y45))</f>
        <v/>
      </c>
      <c r="AH46" s="1">
        <f>IF(AG46="","",AG46/AD$2/3)</f>
        <v/>
      </c>
      <c r="AI46" s="1">
        <f>IF(AG46="","", 100*_xlfn.STDEV.P(AG45:AG46)/AVERAGE(AG45:AG46))</f>
        <v/>
      </c>
      <c r="AJ46" s="8">
        <f t="array" ref="AJ46">IF(AG46="","", IFERROR(((IF(AG$5&lt;&gt;"", AG$5*Y$5, 0) + SUMPRODUCT(--(AG$6:AG46&lt;&gt;""), AG$6:AG46, (Y$6:Y46-Y$5:Y45)))/1000), ""))</f>
        <v/>
      </c>
      <c r="AK46" s="1">
        <f>AK45+20</f>
        <v/>
      </c>
      <c r="AL46" s="1">
        <f>AM45</f>
        <v/>
      </c>
      <c r="AO46" t="inlineStr">
        <is>
          <t>60mL/3s/30s</t>
        </is>
      </c>
      <c r="AS46" s="1">
        <f>IF(AM46="", "", (AL46-AM46)*1000/(AK46-AK45))</f>
        <v/>
      </c>
      <c r="AT46" s="1">
        <f>IF(AS46="","",AS46/AP$2/3)</f>
        <v/>
      </c>
      <c r="AU46" s="1">
        <f>IF(AS46="","", 100*_xlfn.STDEV.P(AS45:AS46)/AVERAGE(AS45:AS46))</f>
        <v/>
      </c>
      <c r="AV46" s="8">
        <f t="array" ref="AV46">IF(AS46="","", IFERROR(((IF(AS$5&lt;&gt;"", AS$5*AK$5, 0) + SUMPRODUCT(--(AS$6:AS46&lt;&gt;""), AS$6:AS46, (AK$6:AK46-AK$5:AK45)))/1000), ""))</f>
        <v/>
      </c>
      <c r="AW46" s="1">
        <f>AW45+20</f>
        <v/>
      </c>
      <c r="AX46" s="1">
        <f>AY45</f>
        <v/>
      </c>
      <c r="BA46" t="inlineStr">
        <is>
          <t>60mL/3s/30s</t>
        </is>
      </c>
      <c r="BE46" s="1">
        <f>IF(AY46="", "", (AX46-AY46)*1000/(AW46-AW45))</f>
        <v/>
      </c>
      <c r="BF46" s="1">
        <f>IF(BE46="","",BE46/BB$2/3)</f>
        <v/>
      </c>
      <c r="BG46" s="1">
        <f>IF(BE46="","", 100*_xlfn.STDEV.P(BE45:BE46)/AVERAGE(BE45:BE46))</f>
        <v/>
      </c>
      <c r="BH46" s="8">
        <f t="array" ref="BH46">IF(BE46="","", IFERROR(((IF(BE$5&lt;&gt;"", BE$5*AW$5, 0) + SUMPRODUCT(--(BE$6:BE46&lt;&gt;""), BE$6:BE46, (AW$6:AW46-AW$5:AW45)))/1000), ""))</f>
        <v/>
      </c>
      <c r="BI46" s="1">
        <f>BI45+20</f>
        <v/>
      </c>
      <c r="BJ46" s="1">
        <f>BK45</f>
        <v/>
      </c>
      <c r="BM46" t="inlineStr">
        <is>
          <t>60mL/3s/30s</t>
        </is>
      </c>
      <c r="BQ46" s="1">
        <f>IF(BK46="", "", (BJ46-BK46)*1000/(BI46-BI45))</f>
        <v/>
      </c>
      <c r="BR46" s="1">
        <f>IF(BQ46="","",BQ46/BN$2/3)</f>
        <v/>
      </c>
      <c r="BS46" s="1">
        <f>IF(BQ46="","", 100*_xlfn.STDEV.P(BQ45:BQ46)/AVERAGE(BQ45:BQ46))</f>
        <v/>
      </c>
      <c r="BT46" s="8">
        <f t="array" ref="BT46">IF(BQ46="","", IFERROR(((IF(BQ$5&lt;&gt;"", BQ$5*BI$5, 0) + SUMPRODUCT(--(BQ$6:BQ46&lt;&gt;""), BQ$6:BQ46, (BI$6:BI46-BI$5:BI45)))/1000), ""))</f>
        <v/>
      </c>
      <c r="BU46" s="1">
        <f>BU45+20</f>
        <v/>
      </c>
      <c r="BV46" s="1">
        <f>BW45</f>
        <v/>
      </c>
      <c r="BY46" t="inlineStr">
        <is>
          <t>60mL/3s/30s</t>
        </is>
      </c>
      <c r="CC46" s="1">
        <f>IF(BW46="", "", (BV46-BW46)*1000/(BU46-BU45))</f>
        <v/>
      </c>
      <c r="CD46" s="1">
        <f>IF(CC46="","",CC46/BZ$2/3)</f>
        <v/>
      </c>
      <c r="CE46" s="1">
        <f>IF(CC46="","", 100*_xlfn.STDEV.P(CC45:CC46)/AVERAGE(CC45:CC46))</f>
        <v/>
      </c>
      <c r="CF46" s="8">
        <f t="array" ref="CF46">IF(CC46="","", IFERROR(((IF(CC$5&lt;&gt;"", CC$5*BU$5, 0) + SUMPRODUCT(--(CC$6:CC46&lt;&gt;""), CC$6:CC46, (BU$6:BU46-BU$5:BU45)))/1000), ""))</f>
        <v/>
      </c>
      <c r="CG46" s="1">
        <f>CG45+20</f>
        <v/>
      </c>
      <c r="CH46" s="1">
        <f>CI45</f>
        <v/>
      </c>
      <c r="CK46" t="inlineStr">
        <is>
          <t>60mL/3s/30s</t>
        </is>
      </c>
      <c r="CO46" s="1">
        <f>IF(CI46="", "", (CH46-CI46)*1000/(CG46-CG45))</f>
        <v/>
      </c>
      <c r="CP46" s="1">
        <f>IF(CO46="","",CO46/CL$2/3)</f>
        <v/>
      </c>
      <c r="CQ46" s="1">
        <f>IF(CO46="","", 100*_xlfn.STDEV.P(CO45:CO46)/AVERAGE(CO45:CO46))</f>
        <v/>
      </c>
      <c r="CR46" s="8">
        <f t="array" ref="CR46">IF(CO46="","", IFERROR(((IF(CO$5&lt;&gt;"", CO$5*CG$5, 0) + SUMPRODUCT(--(CO$6:CO46&lt;&gt;""), CO$6:CO46, (CG$6:CG46-CG$5:CG45)))/1000), ""))</f>
        <v/>
      </c>
    </row>
    <row r="47">
      <c r="A47" s="1">
        <f>A46+20</f>
        <v/>
      </c>
      <c r="B47" s="1">
        <f>C46</f>
        <v/>
      </c>
      <c r="E47" t="inlineStr">
        <is>
          <t>60mL/3s/30s</t>
        </is>
      </c>
      <c r="I47" s="1">
        <f>IF(C47="", "", (B47-C47)*1000/(A47-A46))</f>
        <v/>
      </c>
      <c r="J47" s="1">
        <f>IF(I47="","",I47/F$2/3)</f>
        <v/>
      </c>
      <c r="K47" s="1">
        <f>IF(I47="","", 100*_xlfn.STDEV.P(I46:I47)/AVERAGE(I46:I47))</f>
        <v/>
      </c>
      <c r="L47" s="8">
        <f t="array" ref="L47">IF(I47="","", IFERROR(((IF(I$5&lt;&gt;"", I$5*A$5, 0) + SUMPRODUCT(--(I$6:I47&lt;&gt;""), I$6:I47, (A$6:A47-A$5:A46)))/1000), ""))</f>
        <v/>
      </c>
      <c r="M47" s="1">
        <f>M46+20</f>
        <v/>
      </c>
      <c r="N47" s="1">
        <f>O46</f>
        <v/>
      </c>
      <c r="Q47" t="inlineStr">
        <is>
          <t>60mL/3s/30s</t>
        </is>
      </c>
      <c r="U47" s="1">
        <f>IF(O47="", "", (N47-O47)*1000/(M47-M46))</f>
        <v/>
      </c>
      <c r="V47" s="1">
        <f>IF(U47="","",U47/R$2/3)</f>
        <v/>
      </c>
      <c r="W47" s="1">
        <f>IF(U47="","", 100*_xlfn.STDEV.P(U46:U47)/AVERAGE(U46:U47))</f>
        <v/>
      </c>
      <c r="X47" s="8">
        <f t="array" ref="X47">IF(U47="","", IFERROR(((IF(U$5&lt;&gt;"", U$5*M$5, 0) + SUMPRODUCT(--(U$6:U47&lt;&gt;""), U$6:U47, (M$6:M47-M$5:M46)))/1000), ""))</f>
        <v/>
      </c>
      <c r="Y47" s="1">
        <f>Y46+20</f>
        <v/>
      </c>
      <c r="Z47" s="1">
        <f>AA46</f>
        <v/>
      </c>
      <c r="AC47" t="inlineStr">
        <is>
          <t>60mL/3s/30s</t>
        </is>
      </c>
      <c r="AG47" s="1">
        <f>IF(AA47="", "", (Z47-AA47)*1000/(Y47-Y46))</f>
        <v/>
      </c>
      <c r="AH47" s="1">
        <f>IF(AG47="","",AG47/AD$2/3)</f>
        <v/>
      </c>
      <c r="AI47" s="1">
        <f>IF(AG47="","", 100*_xlfn.STDEV.P(AG46:AG47)/AVERAGE(AG46:AG47))</f>
        <v/>
      </c>
      <c r="AJ47" s="8">
        <f t="array" ref="AJ47">IF(AG47="","", IFERROR(((IF(AG$5&lt;&gt;"", AG$5*Y$5, 0) + SUMPRODUCT(--(AG$6:AG47&lt;&gt;""), AG$6:AG47, (Y$6:Y47-Y$5:Y46)))/1000), ""))</f>
        <v/>
      </c>
      <c r="AK47" s="1">
        <f>AK46+20</f>
        <v/>
      </c>
      <c r="AL47" s="1">
        <f>AM46</f>
        <v/>
      </c>
      <c r="AO47" t="inlineStr">
        <is>
          <t>60mL/3s/30s</t>
        </is>
      </c>
      <c r="AS47" s="1">
        <f>IF(AM47="", "", (AL47-AM47)*1000/(AK47-AK46))</f>
        <v/>
      </c>
      <c r="AT47" s="1">
        <f>IF(AS47="","",AS47/AP$2/3)</f>
        <v/>
      </c>
      <c r="AU47" s="1">
        <f>IF(AS47="","", 100*_xlfn.STDEV.P(AS46:AS47)/AVERAGE(AS46:AS47))</f>
        <v/>
      </c>
      <c r="AV47" s="8">
        <f t="array" ref="AV47">IF(AS47="","", IFERROR(((IF(AS$5&lt;&gt;"", AS$5*AK$5, 0) + SUMPRODUCT(--(AS$6:AS47&lt;&gt;""), AS$6:AS47, (AK$6:AK47-AK$5:AK46)))/1000), ""))</f>
        <v/>
      </c>
      <c r="AW47" s="1">
        <f>AW46+20</f>
        <v/>
      </c>
      <c r="AX47" s="1">
        <f>AY46</f>
        <v/>
      </c>
      <c r="BA47" t="inlineStr">
        <is>
          <t>60mL/3s/30s</t>
        </is>
      </c>
      <c r="BE47" s="1">
        <f>IF(AY47="", "", (AX47-AY47)*1000/(AW47-AW46))</f>
        <v/>
      </c>
      <c r="BF47" s="1">
        <f>IF(BE47="","",BE47/BB$2/3)</f>
        <v/>
      </c>
      <c r="BG47" s="1">
        <f>IF(BE47="","", 100*_xlfn.STDEV.P(BE46:BE47)/AVERAGE(BE46:BE47))</f>
        <v/>
      </c>
      <c r="BH47" s="8">
        <f t="array" ref="BH47">IF(BE47="","", IFERROR(((IF(BE$5&lt;&gt;"", BE$5*AW$5, 0) + SUMPRODUCT(--(BE$6:BE47&lt;&gt;""), BE$6:BE47, (AW$6:AW47-AW$5:AW46)))/1000), ""))</f>
        <v/>
      </c>
      <c r="BI47" s="1">
        <f>BI46+20</f>
        <v/>
      </c>
      <c r="BJ47" s="1">
        <f>BK46</f>
        <v/>
      </c>
      <c r="BM47" t="inlineStr">
        <is>
          <t>60mL/3s/30s</t>
        </is>
      </c>
      <c r="BQ47" s="1">
        <f>IF(BK47="", "", (BJ47-BK47)*1000/(BI47-BI46))</f>
        <v/>
      </c>
      <c r="BR47" s="1">
        <f>IF(BQ47="","",BQ47/BN$2/3)</f>
        <v/>
      </c>
      <c r="BS47" s="1">
        <f>IF(BQ47="","", 100*_xlfn.STDEV.P(BQ46:BQ47)/AVERAGE(BQ46:BQ47))</f>
        <v/>
      </c>
      <c r="BT47" s="8">
        <f t="array" ref="BT47">IF(BQ47="","", IFERROR(((IF(BQ$5&lt;&gt;"", BQ$5*BI$5, 0) + SUMPRODUCT(--(BQ$6:BQ47&lt;&gt;""), BQ$6:BQ47, (BI$6:BI47-BI$5:BI46)))/1000), ""))</f>
        <v/>
      </c>
      <c r="BU47" s="1">
        <f>BU46+20</f>
        <v/>
      </c>
      <c r="BV47" s="1">
        <f>BW46</f>
        <v/>
      </c>
      <c r="BY47" t="inlineStr">
        <is>
          <t>60mL/3s/30s</t>
        </is>
      </c>
      <c r="CC47" s="1">
        <f>IF(BW47="", "", (BV47-BW47)*1000/(BU47-BU46))</f>
        <v/>
      </c>
      <c r="CD47" s="1">
        <f>IF(CC47="","",CC47/BZ$2/3)</f>
        <v/>
      </c>
      <c r="CE47" s="1">
        <f>IF(CC47="","", 100*_xlfn.STDEV.P(CC46:CC47)/AVERAGE(CC46:CC47))</f>
        <v/>
      </c>
      <c r="CF47" s="8">
        <f t="array" ref="CF47">IF(CC47="","", IFERROR(((IF(CC$5&lt;&gt;"", CC$5*BU$5, 0) + SUMPRODUCT(--(CC$6:CC47&lt;&gt;""), CC$6:CC47, (BU$6:BU47-BU$5:BU46)))/1000), ""))</f>
        <v/>
      </c>
      <c r="CG47" s="1">
        <f>CG46+20</f>
        <v/>
      </c>
      <c r="CH47" s="1">
        <f>CI46</f>
        <v/>
      </c>
      <c r="CK47" t="inlineStr">
        <is>
          <t>60mL/3s/30s</t>
        </is>
      </c>
      <c r="CO47" s="1">
        <f>IF(CI47="", "", (CH47-CI47)*1000/(CG47-CG46))</f>
        <v/>
      </c>
      <c r="CP47" s="1">
        <f>IF(CO47="","",CO47/CL$2/3)</f>
        <v/>
      </c>
      <c r="CQ47" s="1">
        <f>IF(CO47="","", 100*_xlfn.STDEV.P(CO46:CO47)/AVERAGE(CO46:CO47))</f>
        <v/>
      </c>
      <c r="CR47" s="8">
        <f t="array" ref="CR47">IF(CO47="","", IFERROR(((IF(CO$5&lt;&gt;"", CO$5*CG$5, 0) + SUMPRODUCT(--(CO$6:CO47&lt;&gt;""), CO$6:CO47, (CG$6:CG47-CG$5:CG46)))/1000), ""))</f>
        <v/>
      </c>
    </row>
    <row r="48">
      <c r="A48" s="1">
        <f>A47+20</f>
        <v/>
      </c>
      <c r="B48" s="1">
        <f>C47</f>
        <v/>
      </c>
      <c r="E48" t="inlineStr">
        <is>
          <t>60mL/3s/30s</t>
        </is>
      </c>
      <c r="I48" s="1">
        <f>IF(C48="", "", (B48-C48)*1000/(A48-A47))</f>
        <v/>
      </c>
      <c r="J48" s="1">
        <f>IF(I48="","",I48/F$2/3)</f>
        <v/>
      </c>
      <c r="K48" s="1">
        <f>IF(I48="","", 100*_xlfn.STDEV.P(I47:I48)/AVERAGE(I47:I48))</f>
        <v/>
      </c>
      <c r="L48" s="8">
        <f t="array" ref="L48">IF(I48="","", IFERROR(((IF(I$5&lt;&gt;"", I$5*A$5, 0) + SUMPRODUCT(--(I$6:I48&lt;&gt;""), I$6:I48, (A$6:A48-A$5:A47)))/1000), ""))</f>
        <v/>
      </c>
      <c r="M48" s="1">
        <f>M47+20</f>
        <v/>
      </c>
      <c r="N48" s="1">
        <f>O47</f>
        <v/>
      </c>
      <c r="Q48" t="inlineStr">
        <is>
          <t>60mL/3s/30s</t>
        </is>
      </c>
      <c r="U48" s="1">
        <f>IF(O48="", "", (N48-O48)*1000/(M48-M47))</f>
        <v/>
      </c>
      <c r="V48" s="1">
        <f>IF(U48="","",U48/R$2/3)</f>
        <v/>
      </c>
      <c r="W48" s="1">
        <f>IF(U48="","", 100*_xlfn.STDEV.P(U47:U48)/AVERAGE(U47:U48))</f>
        <v/>
      </c>
      <c r="X48" s="8">
        <f t="array" ref="X48">IF(U48="","", IFERROR(((IF(U$5&lt;&gt;"", U$5*M$5, 0) + SUMPRODUCT(--(U$6:U48&lt;&gt;""), U$6:U48, (M$6:M48-M$5:M47)))/1000), ""))</f>
        <v/>
      </c>
      <c r="Y48" s="1">
        <f>Y47+20</f>
        <v/>
      </c>
      <c r="Z48" s="1">
        <f>AA47</f>
        <v/>
      </c>
      <c r="AC48" t="inlineStr">
        <is>
          <t>60mL/3s/30s</t>
        </is>
      </c>
      <c r="AG48" s="1">
        <f>IF(AA48="", "", (Z48-AA48)*1000/(Y48-Y47))</f>
        <v/>
      </c>
      <c r="AH48" s="1">
        <f>IF(AG48="","",AG48/AD$2/3)</f>
        <v/>
      </c>
      <c r="AI48" s="1">
        <f>IF(AG48="","", 100*_xlfn.STDEV.P(AG47:AG48)/AVERAGE(AG47:AG48))</f>
        <v/>
      </c>
      <c r="AJ48" s="8">
        <f t="array" ref="AJ48">IF(AG48="","", IFERROR(((IF(AG$5&lt;&gt;"", AG$5*Y$5, 0) + SUMPRODUCT(--(AG$6:AG48&lt;&gt;""), AG$6:AG48, (Y$6:Y48-Y$5:Y47)))/1000), ""))</f>
        <v/>
      </c>
      <c r="AK48" s="1">
        <f>AK47+20</f>
        <v/>
      </c>
      <c r="AL48" s="1">
        <f>AM47</f>
        <v/>
      </c>
      <c r="AO48" t="inlineStr">
        <is>
          <t>60mL/3s/30s</t>
        </is>
      </c>
      <c r="AS48" s="1">
        <f>IF(AM48="", "", (AL48-AM48)*1000/(AK48-AK47))</f>
        <v/>
      </c>
      <c r="AT48" s="1">
        <f>IF(AS48="","",AS48/AP$2/3)</f>
        <v/>
      </c>
      <c r="AU48" s="1">
        <f>IF(AS48="","", 100*_xlfn.STDEV.P(AS47:AS48)/AVERAGE(AS47:AS48))</f>
        <v/>
      </c>
      <c r="AV48" s="8">
        <f t="array" ref="AV48">IF(AS48="","", IFERROR(((IF(AS$5&lt;&gt;"", AS$5*AK$5, 0) + SUMPRODUCT(--(AS$6:AS48&lt;&gt;""), AS$6:AS48, (AK$6:AK48-AK$5:AK47)))/1000), ""))</f>
        <v/>
      </c>
      <c r="AW48" s="1">
        <f>AW47+20</f>
        <v/>
      </c>
      <c r="AX48" s="1">
        <f>AY47</f>
        <v/>
      </c>
      <c r="BA48" t="inlineStr">
        <is>
          <t>60mL/3s/30s</t>
        </is>
      </c>
      <c r="BE48" s="1">
        <f>IF(AY48="", "", (AX48-AY48)*1000/(AW48-AW47))</f>
        <v/>
      </c>
      <c r="BF48" s="1">
        <f>IF(BE48="","",BE48/BB$2/3)</f>
        <v/>
      </c>
      <c r="BG48" s="1">
        <f>IF(BE48="","", 100*_xlfn.STDEV.P(BE47:BE48)/AVERAGE(BE47:BE48))</f>
        <v/>
      </c>
      <c r="BH48" s="8">
        <f t="array" ref="BH48">IF(BE48="","", IFERROR(((IF(BE$5&lt;&gt;"", BE$5*AW$5, 0) + SUMPRODUCT(--(BE$6:BE48&lt;&gt;""), BE$6:BE48, (AW$6:AW48-AW$5:AW47)))/1000), ""))</f>
        <v/>
      </c>
      <c r="BI48" s="1">
        <f>BI47+20</f>
        <v/>
      </c>
      <c r="BJ48" s="1">
        <f>BK47</f>
        <v/>
      </c>
      <c r="BM48" t="inlineStr">
        <is>
          <t>60mL/3s/30s</t>
        </is>
      </c>
      <c r="BQ48" s="1">
        <f>IF(BK48="", "", (BJ48-BK48)*1000/(BI48-BI47))</f>
        <v/>
      </c>
      <c r="BR48" s="1">
        <f>IF(BQ48="","",BQ48/BN$2/3)</f>
        <v/>
      </c>
      <c r="BS48" s="1">
        <f>IF(BQ48="","", 100*_xlfn.STDEV.P(BQ47:BQ48)/AVERAGE(BQ47:BQ48))</f>
        <v/>
      </c>
      <c r="BT48" s="8">
        <f t="array" ref="BT48">IF(BQ48="","", IFERROR(((IF(BQ$5&lt;&gt;"", BQ$5*BI$5, 0) + SUMPRODUCT(--(BQ$6:BQ48&lt;&gt;""), BQ$6:BQ48, (BI$6:BI48-BI$5:BI47)))/1000), ""))</f>
        <v/>
      </c>
      <c r="BU48" s="1">
        <f>BU47+20</f>
        <v/>
      </c>
      <c r="BV48" s="1">
        <f>BW47</f>
        <v/>
      </c>
      <c r="BY48" t="inlineStr">
        <is>
          <t>60mL/3s/30s</t>
        </is>
      </c>
      <c r="CC48" s="1">
        <f>IF(BW48="", "", (BV48-BW48)*1000/(BU48-BU47))</f>
        <v/>
      </c>
      <c r="CD48" s="1">
        <f>IF(CC48="","",CC48/BZ$2/3)</f>
        <v/>
      </c>
      <c r="CE48" s="1">
        <f>IF(CC48="","", 100*_xlfn.STDEV.P(CC47:CC48)/AVERAGE(CC47:CC48))</f>
        <v/>
      </c>
      <c r="CF48" s="8">
        <f t="array" ref="CF48">IF(CC48="","", IFERROR(((IF(CC$5&lt;&gt;"", CC$5*BU$5, 0) + SUMPRODUCT(--(CC$6:CC48&lt;&gt;""), CC$6:CC48, (BU$6:BU48-BU$5:BU47)))/1000), ""))</f>
        <v/>
      </c>
      <c r="CG48" s="1">
        <f>CG47+20</f>
        <v/>
      </c>
      <c r="CH48" s="1">
        <f>CI47</f>
        <v/>
      </c>
      <c r="CK48" t="inlineStr">
        <is>
          <t>60mL/3s/30s</t>
        </is>
      </c>
      <c r="CO48" s="1">
        <f>IF(CI48="", "", (CH48-CI48)*1000/(CG48-CG47))</f>
        <v/>
      </c>
      <c r="CP48" s="1">
        <f>IF(CO48="","",CO48/CL$2/3)</f>
        <v/>
      </c>
      <c r="CQ48" s="1">
        <f>IF(CO48="","", 100*_xlfn.STDEV.P(CO47:CO48)/AVERAGE(CO47:CO48))</f>
        <v/>
      </c>
      <c r="CR48" s="8">
        <f t="array" ref="CR48">IF(CO48="","", IFERROR(((IF(CO$5&lt;&gt;"", CO$5*CG$5, 0) + SUMPRODUCT(--(CO$6:CO48&lt;&gt;""), CO$6:CO48, (CG$6:CG48-CG$5:CG47)))/1000), ""))</f>
        <v/>
      </c>
    </row>
    <row r="49">
      <c r="A49" s="1">
        <f>A48+20</f>
        <v/>
      </c>
      <c r="B49" s="1">
        <f>C48</f>
        <v/>
      </c>
      <c r="E49" t="inlineStr">
        <is>
          <t>60mL/3s/30s</t>
        </is>
      </c>
      <c r="I49" s="1">
        <f>IF(C49="", "", (B49-C49)*1000/(A49-A48))</f>
        <v/>
      </c>
      <c r="J49" s="1">
        <f>IF(I49="","",I49/F$2/3)</f>
        <v/>
      </c>
      <c r="K49" s="1">
        <f>IF(I49="","", 100*_xlfn.STDEV.P(I48:I49)/AVERAGE(I48:I49))</f>
        <v/>
      </c>
      <c r="L49" s="8">
        <f t="array" ref="L49">IF(I49="","", IFERROR(((IF(I$5&lt;&gt;"", I$5*A$5, 0) + SUMPRODUCT(--(I$6:I49&lt;&gt;""), I$6:I49, (A$6:A49-A$5:A48)))/1000), ""))</f>
        <v/>
      </c>
      <c r="M49" s="1">
        <f>M48+20</f>
        <v/>
      </c>
      <c r="N49" s="1">
        <f>O48</f>
        <v/>
      </c>
      <c r="Q49" t="inlineStr">
        <is>
          <t>60mL/3s/30s</t>
        </is>
      </c>
      <c r="U49" s="1">
        <f>IF(O49="", "", (N49-O49)*1000/(M49-M48))</f>
        <v/>
      </c>
      <c r="V49" s="1">
        <f>IF(U49="","",U49/R$2/3)</f>
        <v/>
      </c>
      <c r="W49" s="1">
        <f>IF(U49="","", 100*_xlfn.STDEV.P(U48:U49)/AVERAGE(U48:U49))</f>
        <v/>
      </c>
      <c r="X49" s="8">
        <f t="array" ref="X49">IF(U49="","", IFERROR(((IF(U$5&lt;&gt;"", U$5*M$5, 0) + SUMPRODUCT(--(U$6:U49&lt;&gt;""), U$6:U49, (M$6:M49-M$5:M48)))/1000), ""))</f>
        <v/>
      </c>
      <c r="Y49" s="1">
        <f>Y48+20</f>
        <v/>
      </c>
      <c r="Z49" s="1">
        <f>AA48</f>
        <v/>
      </c>
      <c r="AC49" t="inlineStr">
        <is>
          <t>60mL/3s/30s</t>
        </is>
      </c>
      <c r="AG49" s="1">
        <f>IF(AA49="", "", (Z49-AA49)*1000/(Y49-Y48))</f>
        <v/>
      </c>
      <c r="AH49" s="1">
        <f>IF(AG49="","",AG49/AD$2/3)</f>
        <v/>
      </c>
      <c r="AI49" s="1">
        <f>IF(AG49="","", 100*_xlfn.STDEV.P(AG48:AG49)/AVERAGE(AG48:AG49))</f>
        <v/>
      </c>
      <c r="AJ49" s="8">
        <f t="array" ref="AJ49">IF(AG49="","", IFERROR(((IF(AG$5&lt;&gt;"", AG$5*Y$5, 0) + SUMPRODUCT(--(AG$6:AG49&lt;&gt;""), AG$6:AG49, (Y$6:Y49-Y$5:Y48)))/1000), ""))</f>
        <v/>
      </c>
      <c r="AK49" s="1">
        <f>AK48+20</f>
        <v/>
      </c>
      <c r="AL49" s="1">
        <f>AM48</f>
        <v/>
      </c>
      <c r="AO49" t="inlineStr">
        <is>
          <t>60mL/3s/30s</t>
        </is>
      </c>
      <c r="AS49" s="1">
        <f>IF(AM49="", "", (AL49-AM49)*1000/(AK49-AK48))</f>
        <v/>
      </c>
      <c r="AT49" s="1">
        <f>IF(AS49="","",AS49/AP$2/3)</f>
        <v/>
      </c>
      <c r="AU49" s="1">
        <f>IF(AS49="","", 100*_xlfn.STDEV.P(AS48:AS49)/AVERAGE(AS48:AS49))</f>
        <v/>
      </c>
      <c r="AV49" s="8">
        <f t="array" ref="AV49">IF(AS49="","", IFERROR(((IF(AS$5&lt;&gt;"", AS$5*AK$5, 0) + SUMPRODUCT(--(AS$6:AS49&lt;&gt;""), AS$6:AS49, (AK$6:AK49-AK$5:AK48)))/1000), ""))</f>
        <v/>
      </c>
      <c r="AW49" s="1">
        <f>AW48+20</f>
        <v/>
      </c>
      <c r="AX49" s="1">
        <f>AY48</f>
        <v/>
      </c>
      <c r="BA49" t="inlineStr">
        <is>
          <t>60mL/3s/30s</t>
        </is>
      </c>
      <c r="BE49" s="1">
        <f>IF(AY49="", "", (AX49-AY49)*1000/(AW49-AW48))</f>
        <v/>
      </c>
      <c r="BF49" s="1">
        <f>IF(BE49="","",BE49/BB$2/3)</f>
        <v/>
      </c>
      <c r="BG49" s="1">
        <f>IF(BE49="","", 100*_xlfn.STDEV.P(BE48:BE49)/AVERAGE(BE48:BE49))</f>
        <v/>
      </c>
      <c r="BH49" s="8">
        <f t="array" ref="BH49">IF(BE49="","", IFERROR(((IF(BE$5&lt;&gt;"", BE$5*AW$5, 0) + SUMPRODUCT(--(BE$6:BE49&lt;&gt;""), BE$6:BE49, (AW$6:AW49-AW$5:AW48)))/1000), ""))</f>
        <v/>
      </c>
      <c r="BI49" s="1">
        <f>BI48+20</f>
        <v/>
      </c>
      <c r="BJ49" s="1">
        <f>BK48</f>
        <v/>
      </c>
      <c r="BM49" t="inlineStr">
        <is>
          <t>60mL/3s/30s</t>
        </is>
      </c>
      <c r="BQ49" s="1">
        <f>IF(BK49="", "", (BJ49-BK49)*1000/(BI49-BI48))</f>
        <v/>
      </c>
      <c r="BR49" s="1">
        <f>IF(BQ49="","",BQ49/BN$2/3)</f>
        <v/>
      </c>
      <c r="BS49" s="1">
        <f>IF(BQ49="","", 100*_xlfn.STDEV.P(BQ48:BQ49)/AVERAGE(BQ48:BQ49))</f>
        <v/>
      </c>
      <c r="BT49" s="8">
        <f t="array" ref="BT49">IF(BQ49="","", IFERROR(((IF(BQ$5&lt;&gt;"", BQ$5*BI$5, 0) + SUMPRODUCT(--(BQ$6:BQ49&lt;&gt;""), BQ$6:BQ49, (BI$6:BI49-BI$5:BI48)))/1000), ""))</f>
        <v/>
      </c>
      <c r="BU49" s="1">
        <f>BU48+20</f>
        <v/>
      </c>
      <c r="BV49" s="1">
        <f>BW48</f>
        <v/>
      </c>
      <c r="BY49" t="inlineStr">
        <is>
          <t>60mL/3s/30s</t>
        </is>
      </c>
      <c r="CC49" s="1">
        <f>IF(BW49="", "", (BV49-BW49)*1000/(BU49-BU48))</f>
        <v/>
      </c>
      <c r="CD49" s="1">
        <f>IF(CC49="","",CC49/BZ$2/3)</f>
        <v/>
      </c>
      <c r="CE49" s="1">
        <f>IF(CC49="","", 100*_xlfn.STDEV.P(CC48:CC49)/AVERAGE(CC48:CC49))</f>
        <v/>
      </c>
      <c r="CF49" s="8">
        <f t="array" ref="CF49">IF(CC49="","", IFERROR(((IF(CC$5&lt;&gt;"", CC$5*BU$5, 0) + SUMPRODUCT(--(CC$6:CC49&lt;&gt;""), CC$6:CC49, (BU$6:BU49-BU$5:BU48)))/1000), ""))</f>
        <v/>
      </c>
      <c r="CG49" s="1">
        <f>CG48+20</f>
        <v/>
      </c>
      <c r="CH49" s="1">
        <f>CI48</f>
        <v/>
      </c>
      <c r="CK49" t="inlineStr">
        <is>
          <t>60mL/3s/30s</t>
        </is>
      </c>
      <c r="CO49" s="1">
        <f>IF(CI49="", "", (CH49-CI49)*1000/(CG49-CG48))</f>
        <v/>
      </c>
      <c r="CP49" s="1">
        <f>IF(CO49="","",CO49/CL$2/3)</f>
        <v/>
      </c>
      <c r="CQ49" s="1">
        <f>IF(CO49="","", 100*_xlfn.STDEV.P(CO48:CO49)/AVERAGE(CO48:CO49))</f>
        <v/>
      </c>
      <c r="CR49" s="8">
        <f t="array" ref="CR49">IF(CO49="","", IFERROR(((IF(CO$5&lt;&gt;"", CO$5*CG$5, 0) + SUMPRODUCT(--(CO$6:CO49&lt;&gt;""), CO$6:CO49, (CG$6:CG49-CG$5:CG48)))/1000), ""))</f>
        <v/>
      </c>
    </row>
    <row r="50">
      <c r="A50" s="1">
        <f>A49+20</f>
        <v/>
      </c>
      <c r="B50" s="1">
        <f>C49</f>
        <v/>
      </c>
      <c r="E50" t="inlineStr">
        <is>
          <t>60mL/3s/30s</t>
        </is>
      </c>
      <c r="I50" s="1">
        <f>IF(C50="", "", (B50-C50)*1000/(A50-A49))</f>
        <v/>
      </c>
      <c r="J50" s="1">
        <f>IF(I50="","",I50/F$2/3)</f>
        <v/>
      </c>
      <c r="K50" s="1">
        <f>IF(I50="","", 100*_xlfn.STDEV.P(I49:I50)/AVERAGE(I49:I50))</f>
        <v/>
      </c>
      <c r="L50" s="8">
        <f t="array" ref="L50">IF(I50="","", IFERROR(((IF(I$5&lt;&gt;"", I$5*A$5, 0) + SUMPRODUCT(--(I$6:I50&lt;&gt;""), I$6:I50, (A$6:A50-A$5:A49)))/1000), ""))</f>
        <v/>
      </c>
      <c r="M50" s="1">
        <f>M49+20</f>
        <v/>
      </c>
      <c r="N50" s="1">
        <f>O49</f>
        <v/>
      </c>
      <c r="Q50" t="inlineStr">
        <is>
          <t>60mL/3s/30s</t>
        </is>
      </c>
      <c r="U50" s="1">
        <f>IF(O50="", "", (N50-O50)*1000/(M50-M49))</f>
        <v/>
      </c>
      <c r="V50" s="1">
        <f>IF(U50="","",U50/R$2/3)</f>
        <v/>
      </c>
      <c r="W50" s="1">
        <f>IF(U50="","", 100*_xlfn.STDEV.P(U49:U50)/AVERAGE(U49:U50))</f>
        <v/>
      </c>
      <c r="X50" s="8">
        <f t="array" ref="X50">IF(U50="","", IFERROR(((IF(U$5&lt;&gt;"", U$5*M$5, 0) + SUMPRODUCT(--(U$6:U50&lt;&gt;""), U$6:U50, (M$6:M50-M$5:M49)))/1000), ""))</f>
        <v/>
      </c>
      <c r="Y50" s="1">
        <f>Y49+20</f>
        <v/>
      </c>
      <c r="Z50" s="1">
        <f>AA49</f>
        <v/>
      </c>
      <c r="AC50" t="inlineStr">
        <is>
          <t>60mL/3s/30s</t>
        </is>
      </c>
      <c r="AG50" s="1">
        <f>IF(AA50="", "", (Z50-AA50)*1000/(Y50-Y49))</f>
        <v/>
      </c>
      <c r="AH50" s="1">
        <f>IF(AG50="","",AG50/AD$2/3)</f>
        <v/>
      </c>
      <c r="AI50" s="1">
        <f>IF(AG50="","", 100*_xlfn.STDEV.P(AG49:AG50)/AVERAGE(AG49:AG50))</f>
        <v/>
      </c>
      <c r="AJ50" s="8">
        <f t="array" ref="AJ50">IF(AG50="","", IFERROR(((IF(AG$5&lt;&gt;"", AG$5*Y$5, 0) + SUMPRODUCT(--(AG$6:AG50&lt;&gt;""), AG$6:AG50, (Y$6:Y50-Y$5:Y49)))/1000), ""))</f>
        <v/>
      </c>
      <c r="AK50" s="1">
        <f>AK49+20</f>
        <v/>
      </c>
      <c r="AL50" s="1">
        <f>AM49</f>
        <v/>
      </c>
      <c r="AO50" t="inlineStr">
        <is>
          <t>60mL/3s/30s</t>
        </is>
      </c>
      <c r="AS50" s="1">
        <f>IF(AM50="", "", (AL50-AM50)*1000/(AK50-AK49))</f>
        <v/>
      </c>
      <c r="AT50" s="1">
        <f>IF(AS50="","",AS50/AP$2/3)</f>
        <v/>
      </c>
      <c r="AU50" s="1">
        <f>IF(AS50="","", 100*_xlfn.STDEV.P(AS49:AS50)/AVERAGE(AS49:AS50))</f>
        <v/>
      </c>
      <c r="AV50" s="8">
        <f t="array" ref="AV50">IF(AS50="","", IFERROR(((IF(AS$5&lt;&gt;"", AS$5*AK$5, 0) + SUMPRODUCT(--(AS$6:AS50&lt;&gt;""), AS$6:AS50, (AK$6:AK50-AK$5:AK49)))/1000), ""))</f>
        <v/>
      </c>
      <c r="AW50" s="1">
        <f>AW49+20</f>
        <v/>
      </c>
      <c r="AX50" s="1">
        <f>AY49</f>
        <v/>
      </c>
      <c r="BA50" t="inlineStr">
        <is>
          <t>60mL/3s/30s</t>
        </is>
      </c>
      <c r="BE50" s="1">
        <f>IF(AY50="", "", (AX50-AY50)*1000/(AW50-AW49))</f>
        <v/>
      </c>
      <c r="BF50" s="1">
        <f>IF(BE50="","",BE50/BB$2/3)</f>
        <v/>
      </c>
      <c r="BG50" s="1">
        <f>IF(BE50="","", 100*_xlfn.STDEV.P(BE49:BE50)/AVERAGE(BE49:BE50))</f>
        <v/>
      </c>
      <c r="BH50" s="8">
        <f t="array" ref="BH50">IF(BE50="","", IFERROR(((IF(BE$5&lt;&gt;"", BE$5*AW$5, 0) + SUMPRODUCT(--(BE$6:BE50&lt;&gt;""), BE$6:BE50, (AW$6:AW50-AW$5:AW49)))/1000), ""))</f>
        <v/>
      </c>
      <c r="BI50" s="1">
        <f>BI49+20</f>
        <v/>
      </c>
      <c r="BJ50" s="1">
        <f>BK49</f>
        <v/>
      </c>
      <c r="BM50" t="inlineStr">
        <is>
          <t>60mL/3s/30s</t>
        </is>
      </c>
      <c r="BQ50" s="1">
        <f>IF(BK50="", "", (BJ50-BK50)*1000/(BI50-BI49))</f>
        <v/>
      </c>
      <c r="BR50" s="1">
        <f>IF(BQ50="","",BQ50/BN$2/3)</f>
        <v/>
      </c>
      <c r="BS50" s="1">
        <f>IF(BQ50="","", 100*_xlfn.STDEV.P(BQ49:BQ50)/AVERAGE(BQ49:BQ50))</f>
        <v/>
      </c>
      <c r="BT50" s="8">
        <f t="array" ref="BT50">IF(BQ50="","", IFERROR(((IF(BQ$5&lt;&gt;"", BQ$5*BI$5, 0) + SUMPRODUCT(--(BQ$6:BQ50&lt;&gt;""), BQ$6:BQ50, (BI$6:BI50-BI$5:BI49)))/1000), ""))</f>
        <v/>
      </c>
      <c r="BU50" s="1">
        <f>BU49+20</f>
        <v/>
      </c>
      <c r="BV50" s="1">
        <f>BW49</f>
        <v/>
      </c>
      <c r="BY50" t="inlineStr">
        <is>
          <t>60mL/3s/30s</t>
        </is>
      </c>
      <c r="CC50" s="1">
        <f>IF(BW50="", "", (BV50-BW50)*1000/(BU50-BU49))</f>
        <v/>
      </c>
      <c r="CD50" s="1">
        <f>IF(CC50="","",CC50/BZ$2/3)</f>
        <v/>
      </c>
      <c r="CE50" s="1">
        <f>IF(CC50="","", 100*_xlfn.STDEV.P(CC49:CC50)/AVERAGE(CC49:CC50))</f>
        <v/>
      </c>
      <c r="CF50" s="8">
        <f t="array" ref="CF50">IF(CC50="","", IFERROR(((IF(CC$5&lt;&gt;"", CC$5*BU$5, 0) + SUMPRODUCT(--(CC$6:CC50&lt;&gt;""), CC$6:CC50, (BU$6:BU50-BU$5:BU49)))/1000), ""))</f>
        <v/>
      </c>
      <c r="CG50" s="1">
        <f>CG49+20</f>
        <v/>
      </c>
      <c r="CH50" s="1">
        <f>CI49</f>
        <v/>
      </c>
      <c r="CK50" t="inlineStr">
        <is>
          <t>60mL/3s/30s</t>
        </is>
      </c>
      <c r="CO50" s="1">
        <f>IF(CI50="", "", (CH50-CI50)*1000/(CG50-CG49))</f>
        <v/>
      </c>
      <c r="CP50" s="1">
        <f>IF(CO50="","",CO50/CL$2/3)</f>
        <v/>
      </c>
      <c r="CQ50" s="1">
        <f>IF(CO50="","", 100*_xlfn.STDEV.P(CO49:CO50)/AVERAGE(CO49:CO50))</f>
        <v/>
      </c>
      <c r="CR50" s="8">
        <f t="array" ref="CR50">IF(CO50="","", IFERROR(((IF(CO$5&lt;&gt;"", CO$5*CG$5, 0) + SUMPRODUCT(--(CO$6:CO50&lt;&gt;""), CO$6:CO50, (CG$6:CG50-CG$5:CG49)))/1000), ""))</f>
        <v/>
      </c>
    </row>
    <row r="51">
      <c r="A51" s="1">
        <f>A50+20</f>
        <v/>
      </c>
      <c r="B51" s="1">
        <f>C50</f>
        <v/>
      </c>
      <c r="E51" t="inlineStr">
        <is>
          <t>60mL/3s/30s</t>
        </is>
      </c>
      <c r="I51" s="1">
        <f>IF(C51="", "", (B51-C51)*1000/(A51-A50))</f>
        <v/>
      </c>
      <c r="J51" s="1">
        <f>IF(I51="","",I51/F$2/3)</f>
        <v/>
      </c>
      <c r="K51" s="1">
        <f>IF(I51="","", 100*_xlfn.STDEV.P(I50:I51)/AVERAGE(I50:I51))</f>
        <v/>
      </c>
      <c r="L51" s="8">
        <f t="array" ref="L51">IF(I51="","", IFERROR(((IF(I$5&lt;&gt;"", I$5*A$5, 0) + SUMPRODUCT(--(I$6:I51&lt;&gt;""), I$6:I51, (A$6:A51-A$5:A50)))/1000), ""))</f>
        <v/>
      </c>
      <c r="M51" s="1">
        <f>M50+20</f>
        <v/>
      </c>
      <c r="N51" s="1">
        <f>O50</f>
        <v/>
      </c>
      <c r="Q51" t="inlineStr">
        <is>
          <t>60mL/3s/30s</t>
        </is>
      </c>
      <c r="U51" s="1">
        <f>IF(O51="", "", (N51-O51)*1000/(M51-M50))</f>
        <v/>
      </c>
      <c r="V51" s="1">
        <f>IF(U51="","",U51/R$2/3)</f>
        <v/>
      </c>
      <c r="W51" s="1">
        <f>IF(U51="","", 100*_xlfn.STDEV.P(U50:U51)/AVERAGE(U50:U51))</f>
        <v/>
      </c>
      <c r="X51" s="8">
        <f t="array" ref="X51">IF(U51="","", IFERROR(((IF(U$5&lt;&gt;"", U$5*M$5, 0) + SUMPRODUCT(--(U$6:U51&lt;&gt;""), U$6:U51, (M$6:M51-M$5:M50)))/1000), ""))</f>
        <v/>
      </c>
      <c r="Y51" s="1">
        <f>Y50+20</f>
        <v/>
      </c>
      <c r="Z51" s="1">
        <f>AA50</f>
        <v/>
      </c>
      <c r="AC51" t="inlineStr">
        <is>
          <t>60mL/3s/30s</t>
        </is>
      </c>
      <c r="AG51" s="1">
        <f>IF(AA51="", "", (Z51-AA51)*1000/(Y51-Y50))</f>
        <v/>
      </c>
      <c r="AH51" s="1">
        <f>IF(AG51="","",AG51/AD$2/3)</f>
        <v/>
      </c>
      <c r="AI51" s="1">
        <f>IF(AG51="","", 100*_xlfn.STDEV.P(AG50:AG51)/AVERAGE(AG50:AG51))</f>
        <v/>
      </c>
      <c r="AJ51" s="8">
        <f t="array" ref="AJ51">IF(AG51="","", IFERROR(((IF(AG$5&lt;&gt;"", AG$5*Y$5, 0) + SUMPRODUCT(--(AG$6:AG51&lt;&gt;""), AG$6:AG51, (Y$6:Y51-Y$5:Y50)))/1000), ""))</f>
        <v/>
      </c>
      <c r="AK51" s="1">
        <f>AK50+20</f>
        <v/>
      </c>
      <c r="AL51" s="1">
        <f>AM50</f>
        <v/>
      </c>
      <c r="AO51" t="inlineStr">
        <is>
          <t>60mL/3s/30s</t>
        </is>
      </c>
      <c r="AS51" s="1">
        <f>IF(AM51="", "", (AL51-AM51)*1000/(AK51-AK50))</f>
        <v/>
      </c>
      <c r="AT51" s="1">
        <f>IF(AS51="","",AS51/AP$2/3)</f>
        <v/>
      </c>
      <c r="AU51" s="1">
        <f>IF(AS51="","", 100*_xlfn.STDEV.P(AS50:AS51)/AVERAGE(AS50:AS51))</f>
        <v/>
      </c>
      <c r="AV51" s="8">
        <f t="array" ref="AV51">IF(AS51="","", IFERROR(((IF(AS$5&lt;&gt;"", AS$5*AK$5, 0) + SUMPRODUCT(--(AS$6:AS51&lt;&gt;""), AS$6:AS51, (AK$6:AK51-AK$5:AK50)))/1000), ""))</f>
        <v/>
      </c>
      <c r="AW51" s="1">
        <f>AW50+20</f>
        <v/>
      </c>
      <c r="AX51" s="1">
        <f>AY50</f>
        <v/>
      </c>
      <c r="BA51" t="inlineStr">
        <is>
          <t>60mL/3s/30s</t>
        </is>
      </c>
      <c r="BE51" s="1">
        <f>IF(AY51="", "", (AX51-AY51)*1000/(AW51-AW50))</f>
        <v/>
      </c>
      <c r="BF51" s="1">
        <f>IF(BE51="","",BE51/BB$2/3)</f>
        <v/>
      </c>
      <c r="BG51" s="1">
        <f>IF(BE51="","", 100*_xlfn.STDEV.P(BE50:BE51)/AVERAGE(BE50:BE51))</f>
        <v/>
      </c>
      <c r="BH51" s="8">
        <f t="array" ref="BH51">IF(BE51="","", IFERROR(((IF(BE$5&lt;&gt;"", BE$5*AW$5, 0) + SUMPRODUCT(--(BE$6:BE51&lt;&gt;""), BE$6:BE51, (AW$6:AW51-AW$5:AW50)))/1000), ""))</f>
        <v/>
      </c>
      <c r="BI51" s="1">
        <f>BI50+20</f>
        <v/>
      </c>
      <c r="BJ51" s="1">
        <f>BK50</f>
        <v/>
      </c>
      <c r="BM51" t="inlineStr">
        <is>
          <t>60mL/3s/30s</t>
        </is>
      </c>
      <c r="BQ51" s="1">
        <f>IF(BK51="", "", (BJ51-BK51)*1000/(BI51-BI50))</f>
        <v/>
      </c>
      <c r="BR51" s="1">
        <f>IF(BQ51="","",BQ51/BN$2/3)</f>
        <v/>
      </c>
      <c r="BS51" s="1">
        <f>IF(BQ51="","", 100*_xlfn.STDEV.P(BQ50:BQ51)/AVERAGE(BQ50:BQ51))</f>
        <v/>
      </c>
      <c r="BT51" s="8">
        <f t="array" ref="BT51">IF(BQ51="","", IFERROR(((IF(BQ$5&lt;&gt;"", BQ$5*BI$5, 0) + SUMPRODUCT(--(BQ$6:BQ51&lt;&gt;""), BQ$6:BQ51, (BI$6:BI51-BI$5:BI50)))/1000), ""))</f>
        <v/>
      </c>
      <c r="BU51" s="1">
        <f>BU50+20</f>
        <v/>
      </c>
      <c r="BV51" s="1">
        <f>BW50</f>
        <v/>
      </c>
      <c r="BY51" t="inlineStr">
        <is>
          <t>60mL/3s/30s</t>
        </is>
      </c>
      <c r="CC51" s="1">
        <f>IF(BW51="", "", (BV51-BW51)*1000/(BU51-BU50))</f>
        <v/>
      </c>
      <c r="CD51" s="1">
        <f>IF(CC51="","",CC51/BZ$2/3)</f>
        <v/>
      </c>
      <c r="CE51" s="1">
        <f>IF(CC51="","", 100*_xlfn.STDEV.P(CC50:CC51)/AVERAGE(CC50:CC51))</f>
        <v/>
      </c>
      <c r="CF51" s="8">
        <f t="array" ref="CF51">IF(CC51="","", IFERROR(((IF(CC$5&lt;&gt;"", CC$5*BU$5, 0) + SUMPRODUCT(--(CC$6:CC51&lt;&gt;""), CC$6:CC51, (BU$6:BU51-BU$5:BU50)))/1000), ""))</f>
        <v/>
      </c>
      <c r="CG51" s="1">
        <f>CG50+20</f>
        <v/>
      </c>
      <c r="CH51" s="1">
        <f>CI50</f>
        <v/>
      </c>
      <c r="CK51" t="inlineStr">
        <is>
          <t>60mL/3s/30s</t>
        </is>
      </c>
      <c r="CO51" s="1">
        <f>IF(CI51="", "", (CH51-CI51)*1000/(CG51-CG50))</f>
        <v/>
      </c>
      <c r="CP51" s="1">
        <f>IF(CO51="","",CO51/CL$2/3)</f>
        <v/>
      </c>
      <c r="CQ51" s="1">
        <f>IF(CO51="","", 100*_xlfn.STDEV.P(CO50:CO51)/AVERAGE(CO50:CO51))</f>
        <v/>
      </c>
      <c r="CR51" s="8">
        <f t="array" ref="CR51">IF(CO51="","", IFERROR(((IF(CO$5&lt;&gt;"", CO$5*CG$5, 0) + SUMPRODUCT(--(CO$6:CO51&lt;&gt;""), CO$6:CO51, (CG$6:CG51-CG$5:CG50)))/1000), ""))</f>
        <v/>
      </c>
    </row>
    <row r="52">
      <c r="A52" s="1">
        <f>A51+20</f>
        <v/>
      </c>
      <c r="B52" s="1">
        <f>C51</f>
        <v/>
      </c>
      <c r="E52" t="inlineStr">
        <is>
          <t>60mL/3s/30s</t>
        </is>
      </c>
      <c r="I52" s="1">
        <f>IF(C52="", "", (B52-C52)*1000/(A52-A51))</f>
        <v/>
      </c>
      <c r="J52" s="1">
        <f>IF(I52="","",I52/F$2/3)</f>
        <v/>
      </c>
      <c r="K52" s="1">
        <f>IF(I52="","", 100*_xlfn.STDEV.P(I51:I52)/AVERAGE(I51:I52))</f>
        <v/>
      </c>
      <c r="L52" s="8">
        <f t="array" ref="L52">IF(I52="","", IFERROR(((IF(I$5&lt;&gt;"", I$5*A$5, 0) + SUMPRODUCT(--(I$6:I52&lt;&gt;""), I$6:I52, (A$6:A52-A$5:A51)))/1000), ""))</f>
        <v/>
      </c>
      <c r="M52" s="1">
        <f>M51+20</f>
        <v/>
      </c>
      <c r="N52" s="1">
        <f>O51</f>
        <v/>
      </c>
      <c r="Q52" t="inlineStr">
        <is>
          <t>60mL/3s/30s</t>
        </is>
      </c>
      <c r="U52" s="1">
        <f>IF(O52="", "", (N52-O52)*1000/(M52-M51))</f>
        <v/>
      </c>
      <c r="V52" s="1">
        <f>IF(U52="","",U52/R$2/3)</f>
        <v/>
      </c>
      <c r="W52" s="1">
        <f>IF(U52="","", 100*_xlfn.STDEV.P(U51:U52)/AVERAGE(U51:U52))</f>
        <v/>
      </c>
      <c r="X52" s="8">
        <f t="array" ref="X52">IF(U52="","", IFERROR(((IF(U$5&lt;&gt;"", U$5*M$5, 0) + SUMPRODUCT(--(U$6:U52&lt;&gt;""), U$6:U52, (M$6:M52-M$5:M51)))/1000), ""))</f>
        <v/>
      </c>
      <c r="Y52" s="1">
        <f>Y51+20</f>
        <v/>
      </c>
      <c r="Z52" s="1">
        <f>AA51</f>
        <v/>
      </c>
      <c r="AC52" t="inlineStr">
        <is>
          <t>60mL/3s/30s</t>
        </is>
      </c>
      <c r="AG52" s="1">
        <f>IF(AA52="", "", (Z52-AA52)*1000/(Y52-Y51))</f>
        <v/>
      </c>
      <c r="AH52" s="1">
        <f>IF(AG52="","",AG52/AD$2/3)</f>
        <v/>
      </c>
      <c r="AI52" s="1">
        <f>IF(AG52="","", 100*_xlfn.STDEV.P(AG51:AG52)/AVERAGE(AG51:AG52))</f>
        <v/>
      </c>
      <c r="AJ52" s="8">
        <f t="array" ref="AJ52">IF(AG52="","", IFERROR(((IF(AG$5&lt;&gt;"", AG$5*Y$5, 0) + SUMPRODUCT(--(AG$6:AG52&lt;&gt;""), AG$6:AG52, (Y$6:Y52-Y$5:Y51)))/1000), ""))</f>
        <v/>
      </c>
      <c r="AK52" s="1">
        <f>AK51+20</f>
        <v/>
      </c>
      <c r="AL52" s="1">
        <f>AM51</f>
        <v/>
      </c>
      <c r="AO52" t="inlineStr">
        <is>
          <t>60mL/3s/30s</t>
        </is>
      </c>
      <c r="AS52" s="1">
        <f>IF(AM52="", "", (AL52-AM52)*1000/(AK52-AK51))</f>
        <v/>
      </c>
      <c r="AT52" s="1">
        <f>IF(AS52="","",AS52/AP$2/3)</f>
        <v/>
      </c>
      <c r="AU52" s="1">
        <f>IF(AS52="","", 100*_xlfn.STDEV.P(AS51:AS52)/AVERAGE(AS51:AS52))</f>
        <v/>
      </c>
      <c r="AV52" s="8">
        <f t="array" ref="AV52">IF(AS52="","", IFERROR(((IF(AS$5&lt;&gt;"", AS$5*AK$5, 0) + SUMPRODUCT(--(AS$6:AS52&lt;&gt;""), AS$6:AS52, (AK$6:AK52-AK$5:AK51)))/1000), ""))</f>
        <v/>
      </c>
      <c r="AW52" s="1">
        <f>AW51+20</f>
        <v/>
      </c>
      <c r="AX52" s="1">
        <f>AY51</f>
        <v/>
      </c>
      <c r="BA52" t="inlineStr">
        <is>
          <t>60mL/3s/30s</t>
        </is>
      </c>
      <c r="BE52" s="1">
        <f>IF(AY52="", "", (AX52-AY52)*1000/(AW52-AW51))</f>
        <v/>
      </c>
      <c r="BF52" s="1">
        <f>IF(BE52="","",BE52/BB$2/3)</f>
        <v/>
      </c>
      <c r="BG52" s="1">
        <f>IF(BE52="","", 100*_xlfn.STDEV.P(BE51:BE52)/AVERAGE(BE51:BE52))</f>
        <v/>
      </c>
      <c r="BH52" s="8">
        <f t="array" ref="BH52">IF(BE52="","", IFERROR(((IF(BE$5&lt;&gt;"", BE$5*AW$5, 0) + SUMPRODUCT(--(BE$6:BE52&lt;&gt;""), BE$6:BE52, (AW$6:AW52-AW$5:AW51)))/1000), ""))</f>
        <v/>
      </c>
      <c r="BI52" s="1">
        <f>BI51+20</f>
        <v/>
      </c>
      <c r="BJ52" s="1">
        <f>BK51</f>
        <v/>
      </c>
      <c r="BM52" t="inlineStr">
        <is>
          <t>60mL/3s/30s</t>
        </is>
      </c>
      <c r="BQ52" s="1">
        <f>IF(BK52="", "", (BJ52-BK52)*1000/(BI52-BI51))</f>
        <v/>
      </c>
      <c r="BR52" s="1">
        <f>IF(BQ52="","",BQ52/BN$2/3)</f>
        <v/>
      </c>
      <c r="BS52" s="1">
        <f>IF(BQ52="","", 100*_xlfn.STDEV.P(BQ51:BQ52)/AVERAGE(BQ51:BQ52))</f>
        <v/>
      </c>
      <c r="BT52" s="8">
        <f t="array" ref="BT52">IF(BQ52="","", IFERROR(((IF(BQ$5&lt;&gt;"", BQ$5*BI$5, 0) + SUMPRODUCT(--(BQ$6:BQ52&lt;&gt;""), BQ$6:BQ52, (BI$6:BI52-BI$5:BI51)))/1000), ""))</f>
        <v/>
      </c>
      <c r="BU52" s="1">
        <f>BU51+20</f>
        <v/>
      </c>
      <c r="BV52" s="1">
        <f>BW51</f>
        <v/>
      </c>
      <c r="BY52" t="inlineStr">
        <is>
          <t>60mL/3s/30s</t>
        </is>
      </c>
      <c r="CC52" s="1">
        <f>IF(BW52="", "", (BV52-BW52)*1000/(BU52-BU51))</f>
        <v/>
      </c>
      <c r="CD52" s="1">
        <f>IF(CC52="","",CC52/BZ$2/3)</f>
        <v/>
      </c>
      <c r="CE52" s="1">
        <f>IF(CC52="","", 100*_xlfn.STDEV.P(CC51:CC52)/AVERAGE(CC51:CC52))</f>
        <v/>
      </c>
      <c r="CF52" s="8">
        <f t="array" ref="CF52">IF(CC52="","", IFERROR(((IF(CC$5&lt;&gt;"", CC$5*BU$5, 0) + SUMPRODUCT(--(CC$6:CC52&lt;&gt;""), CC$6:CC52, (BU$6:BU52-BU$5:BU51)))/1000), ""))</f>
        <v/>
      </c>
      <c r="CG52" s="1">
        <f>CG51+20</f>
        <v/>
      </c>
      <c r="CH52" s="1">
        <f>CI51</f>
        <v/>
      </c>
      <c r="CK52" t="inlineStr">
        <is>
          <t>60mL/3s/30s</t>
        </is>
      </c>
      <c r="CO52" s="1">
        <f>IF(CI52="", "", (CH52-CI52)*1000/(CG52-CG51))</f>
        <v/>
      </c>
      <c r="CP52" s="1">
        <f>IF(CO52="","",CO52/CL$2/3)</f>
        <v/>
      </c>
      <c r="CQ52" s="1">
        <f>IF(CO52="","", 100*_xlfn.STDEV.P(CO51:CO52)/AVERAGE(CO51:CO52))</f>
        <v/>
      </c>
      <c r="CR52" s="8">
        <f t="array" ref="CR52">IF(CO52="","", IFERROR(((IF(CO$5&lt;&gt;"", CO$5*CG$5, 0) + SUMPRODUCT(--(CO$6:CO52&lt;&gt;""), CO$6:CO52, (CG$6:CG52-CG$5:CG51)))/1000), ""))</f>
        <v/>
      </c>
    </row>
    <row r="53">
      <c r="A53" s="1">
        <f>A52+20</f>
        <v/>
      </c>
      <c r="B53" s="1">
        <f>C52</f>
        <v/>
      </c>
      <c r="E53" t="inlineStr">
        <is>
          <t>60mL/3s/30s</t>
        </is>
      </c>
      <c r="I53" s="1">
        <f>IF(C53="", "", (B53-C53)*1000/(A53-A52))</f>
        <v/>
      </c>
      <c r="J53" s="1">
        <f>IF(I53="","",I53/F$2/3)</f>
        <v/>
      </c>
      <c r="K53" s="1">
        <f>IF(I53="","", 100*_xlfn.STDEV.P(I52:I53)/AVERAGE(I52:I53))</f>
        <v/>
      </c>
      <c r="L53" s="8">
        <f t="array" ref="L53">IF(I53="","", IFERROR(((IF(I$5&lt;&gt;"", I$5*A$5, 0) + SUMPRODUCT(--(I$6:I53&lt;&gt;""), I$6:I53, (A$6:A53-A$5:A52)))/1000), ""))</f>
        <v/>
      </c>
      <c r="M53" s="1">
        <f>M52+20</f>
        <v/>
      </c>
      <c r="N53" s="1">
        <f>O52</f>
        <v/>
      </c>
      <c r="Q53" t="inlineStr">
        <is>
          <t>60mL/3s/30s</t>
        </is>
      </c>
      <c r="U53" s="1">
        <f>IF(O53="", "", (N53-O53)*1000/(M53-M52))</f>
        <v/>
      </c>
      <c r="V53" s="1">
        <f>IF(U53="","",U53/R$2/3)</f>
        <v/>
      </c>
      <c r="W53" s="1">
        <f>IF(U53="","", 100*_xlfn.STDEV.P(U52:U53)/AVERAGE(U52:U53))</f>
        <v/>
      </c>
      <c r="X53" s="8">
        <f t="array" ref="X53">IF(U53="","", IFERROR(((IF(U$5&lt;&gt;"", U$5*M$5, 0) + SUMPRODUCT(--(U$6:U53&lt;&gt;""), U$6:U53, (M$6:M53-M$5:M52)))/1000), ""))</f>
        <v/>
      </c>
      <c r="Y53" s="1">
        <f>Y52+20</f>
        <v/>
      </c>
      <c r="Z53" s="1">
        <f>AA52</f>
        <v/>
      </c>
      <c r="AC53" t="inlineStr">
        <is>
          <t>60mL/3s/30s</t>
        </is>
      </c>
      <c r="AG53" s="1">
        <f>IF(AA53="", "", (Z53-AA53)*1000/(Y53-Y52))</f>
        <v/>
      </c>
      <c r="AH53" s="1">
        <f>IF(AG53="","",AG53/AD$2/3)</f>
        <v/>
      </c>
      <c r="AI53" s="1">
        <f>IF(AG53="","", 100*_xlfn.STDEV.P(AG52:AG53)/AVERAGE(AG52:AG53))</f>
        <v/>
      </c>
      <c r="AJ53" s="8">
        <f t="array" ref="AJ53">IF(AG53="","", IFERROR(((IF(AG$5&lt;&gt;"", AG$5*Y$5, 0) + SUMPRODUCT(--(AG$6:AG53&lt;&gt;""), AG$6:AG53, (Y$6:Y53-Y$5:Y52)))/1000), ""))</f>
        <v/>
      </c>
      <c r="AK53" s="1">
        <f>AK52+20</f>
        <v/>
      </c>
      <c r="AL53" s="1">
        <f>AM52</f>
        <v/>
      </c>
      <c r="AO53" t="inlineStr">
        <is>
          <t>60mL/3s/30s</t>
        </is>
      </c>
      <c r="AS53" s="1">
        <f>IF(AM53="", "", (AL53-AM53)*1000/(AK53-AK52))</f>
        <v/>
      </c>
      <c r="AT53" s="1">
        <f>IF(AS53="","",AS53/AP$2/3)</f>
        <v/>
      </c>
      <c r="AU53" s="1">
        <f>IF(AS53="","", 100*_xlfn.STDEV.P(AS52:AS53)/AVERAGE(AS52:AS53))</f>
        <v/>
      </c>
      <c r="AV53" s="8">
        <f t="array" ref="AV53">IF(AS53="","", IFERROR(((IF(AS$5&lt;&gt;"", AS$5*AK$5, 0) + SUMPRODUCT(--(AS$6:AS53&lt;&gt;""), AS$6:AS53, (AK$6:AK53-AK$5:AK52)))/1000), ""))</f>
        <v/>
      </c>
      <c r="AW53" s="1">
        <f>AW52+20</f>
        <v/>
      </c>
      <c r="AX53" s="1">
        <f>AY52</f>
        <v/>
      </c>
      <c r="BA53" t="inlineStr">
        <is>
          <t>60mL/3s/30s</t>
        </is>
      </c>
      <c r="BE53" s="1">
        <f>IF(AY53="", "", (AX53-AY53)*1000/(AW53-AW52))</f>
        <v/>
      </c>
      <c r="BF53" s="1">
        <f>IF(BE53="","",BE53/BB$2/3)</f>
        <v/>
      </c>
      <c r="BG53" s="1">
        <f>IF(BE53="","", 100*_xlfn.STDEV.P(BE52:BE53)/AVERAGE(BE52:BE53))</f>
        <v/>
      </c>
      <c r="BH53" s="8">
        <f t="array" ref="BH53">IF(BE53="","", IFERROR(((IF(BE$5&lt;&gt;"", BE$5*AW$5, 0) + SUMPRODUCT(--(BE$6:BE53&lt;&gt;""), BE$6:BE53, (AW$6:AW53-AW$5:AW52)))/1000), ""))</f>
        <v/>
      </c>
      <c r="BI53" s="1">
        <f>BI52+20</f>
        <v/>
      </c>
      <c r="BJ53" s="1">
        <f>BK52</f>
        <v/>
      </c>
      <c r="BM53" t="inlineStr">
        <is>
          <t>60mL/3s/30s</t>
        </is>
      </c>
      <c r="BQ53" s="1">
        <f>IF(BK53="", "", (BJ53-BK53)*1000/(BI53-BI52))</f>
        <v/>
      </c>
      <c r="BR53" s="1">
        <f>IF(BQ53="","",BQ53/BN$2/3)</f>
        <v/>
      </c>
      <c r="BS53" s="1">
        <f>IF(BQ53="","", 100*_xlfn.STDEV.P(BQ52:BQ53)/AVERAGE(BQ52:BQ53))</f>
        <v/>
      </c>
      <c r="BT53" s="8">
        <f t="array" ref="BT53">IF(BQ53="","", IFERROR(((IF(BQ$5&lt;&gt;"", BQ$5*BI$5, 0) + SUMPRODUCT(--(BQ$6:BQ53&lt;&gt;""), BQ$6:BQ53, (BI$6:BI53-BI$5:BI52)))/1000), ""))</f>
        <v/>
      </c>
      <c r="BU53" s="1">
        <f>BU52+20</f>
        <v/>
      </c>
      <c r="BV53" s="1">
        <f>BW52</f>
        <v/>
      </c>
      <c r="BY53" t="inlineStr">
        <is>
          <t>60mL/3s/30s</t>
        </is>
      </c>
      <c r="CC53" s="1">
        <f>IF(BW53="", "", (BV53-BW53)*1000/(BU53-BU52))</f>
        <v/>
      </c>
      <c r="CD53" s="1">
        <f>IF(CC53="","",CC53/BZ$2/3)</f>
        <v/>
      </c>
      <c r="CE53" s="1">
        <f>IF(CC53="","", 100*_xlfn.STDEV.P(CC52:CC53)/AVERAGE(CC52:CC53))</f>
        <v/>
      </c>
      <c r="CF53" s="8">
        <f t="array" ref="CF53">IF(CC53="","", IFERROR(((IF(CC$5&lt;&gt;"", CC$5*BU$5, 0) + SUMPRODUCT(--(CC$6:CC53&lt;&gt;""), CC$6:CC53, (BU$6:BU53-BU$5:BU52)))/1000), ""))</f>
        <v/>
      </c>
      <c r="CG53" s="1">
        <f>CG52+20</f>
        <v/>
      </c>
      <c r="CH53" s="1">
        <f>CI52</f>
        <v/>
      </c>
      <c r="CK53" t="inlineStr">
        <is>
          <t>60mL/3s/30s</t>
        </is>
      </c>
      <c r="CO53" s="1">
        <f>IF(CI53="", "", (CH53-CI53)*1000/(CG53-CG52))</f>
        <v/>
      </c>
      <c r="CP53" s="1">
        <f>IF(CO53="","",CO53/CL$2/3)</f>
        <v/>
      </c>
      <c r="CQ53" s="1">
        <f>IF(CO53="","", 100*_xlfn.STDEV.P(CO52:CO53)/AVERAGE(CO52:CO53))</f>
        <v/>
      </c>
      <c r="CR53" s="8">
        <f t="array" ref="CR53">IF(CO53="","", IFERROR(((IF(CO$5&lt;&gt;"", CO$5*CG$5, 0) + SUMPRODUCT(--(CO$6:CO53&lt;&gt;""), CO$6:CO53, (CG$6:CG53-CG$5:CG52)))/1000), ""))</f>
        <v/>
      </c>
    </row>
    <row r="54">
      <c r="A54" s="1">
        <f>A53+20</f>
        <v/>
      </c>
      <c r="B54" s="1">
        <f>C53</f>
        <v/>
      </c>
      <c r="E54" t="inlineStr">
        <is>
          <t>60mL/3s/30s</t>
        </is>
      </c>
      <c r="I54" s="1">
        <f>IF(C54="", "", (B54-C54)*1000/(A54-A53))</f>
        <v/>
      </c>
      <c r="J54" s="1">
        <f>IF(I54="","",I54/F$2/3)</f>
        <v/>
      </c>
      <c r="K54" s="1">
        <f>IF(I54="","", 100*_xlfn.STDEV.P(I53:I54)/AVERAGE(I53:I54))</f>
        <v/>
      </c>
      <c r="L54" s="8">
        <f t="array" ref="L54">IF(I54="","", IFERROR(((IF(I$5&lt;&gt;"", I$5*A$5, 0) + SUMPRODUCT(--(I$6:I54&lt;&gt;""), I$6:I54, (A$6:A54-A$5:A53)))/1000), ""))</f>
        <v/>
      </c>
      <c r="M54" s="1">
        <f>M53+20</f>
        <v/>
      </c>
      <c r="N54" s="1">
        <f>O53</f>
        <v/>
      </c>
      <c r="Q54" t="inlineStr">
        <is>
          <t>60mL/3s/30s</t>
        </is>
      </c>
      <c r="U54" s="1">
        <f>IF(O54="", "", (N54-O54)*1000/(M54-M53))</f>
        <v/>
      </c>
      <c r="V54" s="1">
        <f>IF(U54="","",U54/R$2/3)</f>
        <v/>
      </c>
      <c r="W54" s="1">
        <f>IF(U54="","", 100*_xlfn.STDEV.P(U53:U54)/AVERAGE(U53:U54))</f>
        <v/>
      </c>
      <c r="X54" s="8">
        <f t="array" ref="X54">IF(U54="","", IFERROR(((IF(U$5&lt;&gt;"", U$5*M$5, 0) + SUMPRODUCT(--(U$6:U54&lt;&gt;""), U$6:U54, (M$6:M54-M$5:M53)))/1000), ""))</f>
        <v/>
      </c>
      <c r="Y54" s="1">
        <f>Y53+20</f>
        <v/>
      </c>
      <c r="Z54" s="1">
        <f>AA53</f>
        <v/>
      </c>
      <c r="AC54" t="inlineStr">
        <is>
          <t>60mL/3s/30s</t>
        </is>
      </c>
      <c r="AG54" s="1">
        <f>IF(AA54="", "", (Z54-AA54)*1000/(Y54-Y53))</f>
        <v/>
      </c>
      <c r="AH54" s="1">
        <f>IF(AG54="","",AG54/AD$2/3)</f>
        <v/>
      </c>
      <c r="AI54" s="1">
        <f>IF(AG54="","", 100*_xlfn.STDEV.P(AG53:AG54)/AVERAGE(AG53:AG54))</f>
        <v/>
      </c>
      <c r="AJ54" s="8">
        <f t="array" ref="AJ54">IF(AG54="","", IFERROR(((IF(AG$5&lt;&gt;"", AG$5*Y$5, 0) + SUMPRODUCT(--(AG$6:AG54&lt;&gt;""), AG$6:AG54, (Y$6:Y54-Y$5:Y53)))/1000), ""))</f>
        <v/>
      </c>
      <c r="AK54" s="1">
        <f>AK53+20</f>
        <v/>
      </c>
      <c r="AL54" s="1">
        <f>AM53</f>
        <v/>
      </c>
      <c r="AO54" t="inlineStr">
        <is>
          <t>60mL/3s/30s</t>
        </is>
      </c>
      <c r="AS54" s="1">
        <f>IF(AM54="", "", (AL54-AM54)*1000/(AK54-AK53))</f>
        <v/>
      </c>
      <c r="AT54" s="1">
        <f>IF(AS54="","",AS54/AP$2/3)</f>
        <v/>
      </c>
      <c r="AU54" s="1">
        <f>IF(AS54="","", 100*_xlfn.STDEV.P(AS53:AS54)/AVERAGE(AS53:AS54))</f>
        <v/>
      </c>
      <c r="AV54" s="8">
        <f t="array" ref="AV54">IF(AS54="","", IFERROR(((IF(AS$5&lt;&gt;"", AS$5*AK$5, 0) + SUMPRODUCT(--(AS$6:AS54&lt;&gt;""), AS$6:AS54, (AK$6:AK54-AK$5:AK53)))/1000), ""))</f>
        <v/>
      </c>
      <c r="AW54" s="1">
        <f>AW53+20</f>
        <v/>
      </c>
      <c r="AX54" s="1">
        <f>AY53</f>
        <v/>
      </c>
      <c r="BA54" t="inlineStr">
        <is>
          <t>60mL/3s/30s</t>
        </is>
      </c>
      <c r="BE54" s="1">
        <f>IF(AY54="", "", (AX54-AY54)*1000/(AW54-AW53))</f>
        <v/>
      </c>
      <c r="BF54" s="1">
        <f>IF(BE54="","",BE54/BB$2/3)</f>
        <v/>
      </c>
      <c r="BG54" s="1">
        <f>IF(BE54="","", 100*_xlfn.STDEV.P(BE53:BE54)/AVERAGE(BE53:BE54))</f>
        <v/>
      </c>
      <c r="BH54" s="8">
        <f t="array" ref="BH54">IF(BE54="","", IFERROR(((IF(BE$5&lt;&gt;"", BE$5*AW$5, 0) + SUMPRODUCT(--(BE$6:BE54&lt;&gt;""), BE$6:BE54, (AW$6:AW54-AW$5:AW53)))/1000), ""))</f>
        <v/>
      </c>
      <c r="BI54" s="1">
        <f>BI53+20</f>
        <v/>
      </c>
      <c r="BJ54" s="1">
        <f>BK53</f>
        <v/>
      </c>
      <c r="BM54" t="inlineStr">
        <is>
          <t>60mL/3s/30s</t>
        </is>
      </c>
      <c r="BQ54" s="1">
        <f>IF(BK54="", "", (BJ54-BK54)*1000/(BI54-BI53))</f>
        <v/>
      </c>
      <c r="BR54" s="1">
        <f>IF(BQ54="","",BQ54/BN$2/3)</f>
        <v/>
      </c>
      <c r="BS54" s="1">
        <f>IF(BQ54="","", 100*_xlfn.STDEV.P(BQ53:BQ54)/AVERAGE(BQ53:BQ54))</f>
        <v/>
      </c>
      <c r="BT54" s="8">
        <f t="array" ref="BT54">IF(BQ54="","", IFERROR(((IF(BQ$5&lt;&gt;"", BQ$5*BI$5, 0) + SUMPRODUCT(--(BQ$6:BQ54&lt;&gt;""), BQ$6:BQ54, (BI$6:BI54-BI$5:BI53)))/1000), ""))</f>
        <v/>
      </c>
      <c r="BU54" s="1">
        <f>BU53+20</f>
        <v/>
      </c>
      <c r="BV54" s="1">
        <f>BW53</f>
        <v/>
      </c>
      <c r="BY54" t="inlineStr">
        <is>
          <t>60mL/3s/30s</t>
        </is>
      </c>
      <c r="CC54" s="1">
        <f>IF(BW54="", "", (BV54-BW54)*1000/(BU54-BU53))</f>
        <v/>
      </c>
      <c r="CD54" s="1">
        <f>IF(CC54="","",CC54/BZ$2/3)</f>
        <v/>
      </c>
      <c r="CE54" s="1">
        <f>IF(CC54="","", 100*_xlfn.STDEV.P(CC53:CC54)/AVERAGE(CC53:CC54))</f>
        <v/>
      </c>
      <c r="CF54" s="8">
        <f t="array" ref="CF54">IF(CC54="","", IFERROR(((IF(CC$5&lt;&gt;"", CC$5*BU$5, 0) + SUMPRODUCT(--(CC$6:CC54&lt;&gt;""), CC$6:CC54, (BU$6:BU54-BU$5:BU53)))/1000), ""))</f>
        <v/>
      </c>
      <c r="CG54" s="1">
        <f>CG53+20</f>
        <v/>
      </c>
      <c r="CH54" s="1">
        <f>CI53</f>
        <v/>
      </c>
      <c r="CK54" t="inlineStr">
        <is>
          <t>60mL/3s/30s</t>
        </is>
      </c>
      <c r="CO54" s="1">
        <f>IF(CI54="", "", (CH54-CI54)*1000/(CG54-CG53))</f>
        <v/>
      </c>
      <c r="CP54" s="1">
        <f>IF(CO54="","",CO54/CL$2/3)</f>
        <v/>
      </c>
      <c r="CQ54" s="1">
        <f>IF(CO54="","", 100*_xlfn.STDEV.P(CO53:CO54)/AVERAGE(CO53:CO54))</f>
        <v/>
      </c>
      <c r="CR54" s="8">
        <f t="array" ref="CR54">IF(CO54="","", IFERROR(((IF(CO$5&lt;&gt;"", CO$5*CG$5, 0) + SUMPRODUCT(--(CO$6:CO54&lt;&gt;""), CO$6:CO54, (CG$6:CG54-CG$5:CG53)))/1000), ""))</f>
        <v/>
      </c>
    </row>
    <row r="55">
      <c r="A55" s="1">
        <f>A54+20</f>
        <v/>
      </c>
      <c r="B55" s="1">
        <f>C54</f>
        <v/>
      </c>
      <c r="E55" t="inlineStr">
        <is>
          <t>60mL/3s/30s</t>
        </is>
      </c>
      <c r="I55" s="1">
        <f>IF(C55="", "", (B55-C55)*1000/(A55-A54))</f>
        <v/>
      </c>
      <c r="J55" s="1">
        <f>IF(I55="","",I55/F$2/3)</f>
        <v/>
      </c>
      <c r="K55" s="1">
        <f>IF(I55="","", 100*_xlfn.STDEV.P(I54:I55)/AVERAGE(I54:I55))</f>
        <v/>
      </c>
      <c r="L55" s="8">
        <f t="array" ref="L55">IF(I55="","", IFERROR(((IF(I$5&lt;&gt;"", I$5*A$5, 0) + SUMPRODUCT(--(I$6:I55&lt;&gt;""), I$6:I55, (A$6:A55-A$5:A54)))/1000), ""))</f>
        <v/>
      </c>
      <c r="M55" s="1">
        <f>M54+20</f>
        <v/>
      </c>
      <c r="N55" s="1">
        <f>O54</f>
        <v/>
      </c>
      <c r="Q55" t="inlineStr">
        <is>
          <t>60mL/3s/30s</t>
        </is>
      </c>
      <c r="U55" s="1">
        <f>IF(O55="", "", (N55-O55)*1000/(M55-M54))</f>
        <v/>
      </c>
      <c r="V55" s="1">
        <f>IF(U55="","",U55/R$2/3)</f>
        <v/>
      </c>
      <c r="W55" s="1">
        <f>IF(U55="","", 100*_xlfn.STDEV.P(U54:U55)/AVERAGE(U54:U55))</f>
        <v/>
      </c>
      <c r="X55" s="8">
        <f t="array" ref="X55">IF(U55="","", IFERROR(((IF(U$5&lt;&gt;"", U$5*M$5, 0) + SUMPRODUCT(--(U$6:U55&lt;&gt;""), U$6:U55, (M$6:M55-M$5:M54)))/1000), ""))</f>
        <v/>
      </c>
      <c r="Y55" s="1">
        <f>Y54+20</f>
        <v/>
      </c>
      <c r="Z55" s="1">
        <f>AA54</f>
        <v/>
      </c>
      <c r="AC55" t="inlineStr">
        <is>
          <t>60mL/3s/30s</t>
        </is>
      </c>
      <c r="AG55" s="1">
        <f>IF(AA55="", "", (Z55-AA55)*1000/(Y55-Y54))</f>
        <v/>
      </c>
      <c r="AH55" s="1">
        <f>IF(AG55="","",AG55/AD$2/3)</f>
        <v/>
      </c>
      <c r="AI55" s="1">
        <f>IF(AG55="","", 100*_xlfn.STDEV.P(AG54:AG55)/AVERAGE(AG54:AG55))</f>
        <v/>
      </c>
      <c r="AJ55" s="8">
        <f t="array" ref="AJ55">IF(AG55="","", IFERROR(((IF(AG$5&lt;&gt;"", AG$5*Y$5, 0) + SUMPRODUCT(--(AG$6:AG55&lt;&gt;""), AG$6:AG55, (Y$6:Y55-Y$5:Y54)))/1000), ""))</f>
        <v/>
      </c>
      <c r="AK55" s="1">
        <f>AK54+20</f>
        <v/>
      </c>
      <c r="AL55" s="1">
        <f>AM54</f>
        <v/>
      </c>
      <c r="AO55" t="inlineStr">
        <is>
          <t>60mL/3s/30s</t>
        </is>
      </c>
      <c r="AS55" s="1">
        <f>IF(AM55="", "", (AL55-AM55)*1000/(AK55-AK54))</f>
        <v/>
      </c>
      <c r="AT55" s="1">
        <f>IF(AS55="","",AS55/AP$2/3)</f>
        <v/>
      </c>
      <c r="AU55" s="1">
        <f>IF(AS55="","", 100*_xlfn.STDEV.P(AS54:AS55)/AVERAGE(AS54:AS55))</f>
        <v/>
      </c>
      <c r="AV55" s="8">
        <f t="array" ref="AV55">IF(AS55="","", IFERROR(((IF(AS$5&lt;&gt;"", AS$5*AK$5, 0) + SUMPRODUCT(--(AS$6:AS55&lt;&gt;""), AS$6:AS55, (AK$6:AK55-AK$5:AK54)))/1000), ""))</f>
        <v/>
      </c>
      <c r="AW55" s="1">
        <f>AW54+20</f>
        <v/>
      </c>
      <c r="AX55" s="1">
        <f>AY54</f>
        <v/>
      </c>
      <c r="BA55" t="inlineStr">
        <is>
          <t>60mL/3s/30s</t>
        </is>
      </c>
      <c r="BE55" s="1">
        <f>IF(AY55="", "", (AX55-AY55)*1000/(AW55-AW54))</f>
        <v/>
      </c>
      <c r="BF55" s="1">
        <f>IF(BE55="","",BE55/BB$2/3)</f>
        <v/>
      </c>
      <c r="BG55" s="1">
        <f>IF(BE55="","", 100*_xlfn.STDEV.P(BE54:BE55)/AVERAGE(BE54:BE55))</f>
        <v/>
      </c>
      <c r="BH55" s="8">
        <f t="array" ref="BH55">IF(BE55="","", IFERROR(((IF(BE$5&lt;&gt;"", BE$5*AW$5, 0) + SUMPRODUCT(--(BE$6:BE55&lt;&gt;""), BE$6:BE55, (AW$6:AW55-AW$5:AW54)))/1000), ""))</f>
        <v/>
      </c>
      <c r="BI55" s="1">
        <f>BI54+20</f>
        <v/>
      </c>
      <c r="BJ55" s="1">
        <f>BK54</f>
        <v/>
      </c>
      <c r="BM55" t="inlineStr">
        <is>
          <t>60mL/3s/30s</t>
        </is>
      </c>
      <c r="BQ55" s="1">
        <f>IF(BK55="", "", (BJ55-BK55)*1000/(BI55-BI54))</f>
        <v/>
      </c>
      <c r="BR55" s="1">
        <f>IF(BQ55="","",BQ55/BN$2/3)</f>
        <v/>
      </c>
      <c r="BS55" s="1">
        <f>IF(BQ55="","", 100*_xlfn.STDEV.P(BQ54:BQ55)/AVERAGE(BQ54:BQ55))</f>
        <v/>
      </c>
      <c r="BT55" s="8">
        <f t="array" ref="BT55">IF(BQ55="","", IFERROR(((IF(BQ$5&lt;&gt;"", BQ$5*BI$5, 0) + SUMPRODUCT(--(BQ$6:BQ55&lt;&gt;""), BQ$6:BQ55, (BI$6:BI55-BI$5:BI54)))/1000), ""))</f>
        <v/>
      </c>
      <c r="BU55" s="1">
        <f>BU54+20</f>
        <v/>
      </c>
      <c r="BV55" s="1">
        <f>BW54</f>
        <v/>
      </c>
      <c r="BY55" t="inlineStr">
        <is>
          <t>60mL/3s/30s</t>
        </is>
      </c>
      <c r="CC55" s="1">
        <f>IF(BW55="", "", (BV55-BW55)*1000/(BU55-BU54))</f>
        <v/>
      </c>
      <c r="CD55" s="1">
        <f>IF(CC55="","",CC55/BZ$2/3)</f>
        <v/>
      </c>
      <c r="CE55" s="1">
        <f>IF(CC55="","", 100*_xlfn.STDEV.P(CC54:CC55)/AVERAGE(CC54:CC55))</f>
        <v/>
      </c>
      <c r="CF55" s="8">
        <f t="array" ref="CF55">IF(CC55="","", IFERROR(((IF(CC$5&lt;&gt;"", CC$5*BU$5, 0) + SUMPRODUCT(--(CC$6:CC55&lt;&gt;""), CC$6:CC55, (BU$6:BU55-BU$5:BU54)))/1000), ""))</f>
        <v/>
      </c>
      <c r="CG55" s="1">
        <f>CG54+20</f>
        <v/>
      </c>
      <c r="CH55" s="1">
        <f>CI54</f>
        <v/>
      </c>
      <c r="CK55" t="inlineStr">
        <is>
          <t>60mL/3s/30s</t>
        </is>
      </c>
      <c r="CO55" s="1">
        <f>IF(CI55="", "", (CH55-CI55)*1000/(CG55-CG54))</f>
        <v/>
      </c>
      <c r="CP55" s="1">
        <f>IF(CO55="","",CO55/CL$2/3)</f>
        <v/>
      </c>
      <c r="CQ55" s="1">
        <f>IF(CO55="","", 100*_xlfn.STDEV.P(CO54:CO55)/AVERAGE(CO54:CO55))</f>
        <v/>
      </c>
      <c r="CR55" s="8">
        <f t="array" ref="CR55">IF(CO55="","", IFERROR(((IF(CO$5&lt;&gt;"", CO$5*CG$5, 0) + SUMPRODUCT(--(CO$6:CO55&lt;&gt;""), CO$6:CO55, (CG$6:CG55-CG$5:CG54)))/1000), ""))</f>
        <v/>
      </c>
    </row>
    <row r="56">
      <c r="A56" s="1">
        <f>A55+20</f>
        <v/>
      </c>
      <c r="B56" s="1">
        <f>C55</f>
        <v/>
      </c>
      <c r="E56" t="inlineStr">
        <is>
          <t>60mL/3s/30s</t>
        </is>
      </c>
      <c r="I56" s="1">
        <f>IF(C56="", "", (B56-C56)*1000/(A56-A55))</f>
        <v/>
      </c>
      <c r="J56" s="1">
        <f>IF(I56="","",I56/F$2/3)</f>
        <v/>
      </c>
      <c r="K56" s="1">
        <f>IF(I56="","", 100*_xlfn.STDEV.P(I55:I56)/AVERAGE(I55:I56))</f>
        <v/>
      </c>
      <c r="L56" s="8">
        <f t="array" ref="L56">IF(I56="","", IFERROR(((IF(I$5&lt;&gt;"", I$5*A$5, 0) + SUMPRODUCT(--(I$6:I56&lt;&gt;""), I$6:I56, (A$6:A56-A$5:A55)))/1000), ""))</f>
        <v/>
      </c>
      <c r="M56" s="1">
        <f>M55+20</f>
        <v/>
      </c>
      <c r="N56" s="1">
        <f>O55</f>
        <v/>
      </c>
      <c r="Q56" t="inlineStr">
        <is>
          <t>60mL/3s/30s</t>
        </is>
      </c>
      <c r="U56" s="1">
        <f>IF(O56="", "", (N56-O56)*1000/(M56-M55))</f>
        <v/>
      </c>
      <c r="V56" s="1">
        <f>IF(U56="","",U56/R$2/3)</f>
        <v/>
      </c>
      <c r="W56" s="1">
        <f>IF(U56="","", 100*_xlfn.STDEV.P(U55:U56)/AVERAGE(U55:U56))</f>
        <v/>
      </c>
      <c r="X56" s="8">
        <f t="array" ref="X56">IF(U56="","", IFERROR(((IF(U$5&lt;&gt;"", U$5*M$5, 0) + SUMPRODUCT(--(U$6:U56&lt;&gt;""), U$6:U56, (M$6:M56-M$5:M55)))/1000), ""))</f>
        <v/>
      </c>
      <c r="Y56" s="1">
        <f>Y55+20</f>
        <v/>
      </c>
      <c r="Z56" s="1">
        <f>AA55</f>
        <v/>
      </c>
      <c r="AC56" t="inlineStr">
        <is>
          <t>60mL/3s/30s</t>
        </is>
      </c>
      <c r="AG56" s="1">
        <f>IF(AA56="", "", (Z56-AA56)*1000/(Y56-Y55))</f>
        <v/>
      </c>
      <c r="AH56" s="1">
        <f>IF(AG56="","",AG56/AD$2/3)</f>
        <v/>
      </c>
      <c r="AI56" s="1">
        <f>IF(AG56="","", 100*_xlfn.STDEV.P(AG55:AG56)/AVERAGE(AG55:AG56))</f>
        <v/>
      </c>
      <c r="AJ56" s="8">
        <f t="array" ref="AJ56">IF(AG56="","", IFERROR(((IF(AG$5&lt;&gt;"", AG$5*Y$5, 0) + SUMPRODUCT(--(AG$6:AG56&lt;&gt;""), AG$6:AG56, (Y$6:Y56-Y$5:Y55)))/1000), ""))</f>
        <v/>
      </c>
      <c r="AK56" s="1">
        <f>AK55+20</f>
        <v/>
      </c>
      <c r="AL56" s="1">
        <f>AM55</f>
        <v/>
      </c>
      <c r="AO56" t="inlineStr">
        <is>
          <t>60mL/3s/30s</t>
        </is>
      </c>
      <c r="AS56" s="1">
        <f>IF(AM56="", "", (AL56-AM56)*1000/(AK56-AK55))</f>
        <v/>
      </c>
      <c r="AT56" s="1">
        <f>IF(AS56="","",AS56/AP$2/3)</f>
        <v/>
      </c>
      <c r="AU56" s="1">
        <f>IF(AS56="","", 100*_xlfn.STDEV.P(AS55:AS56)/AVERAGE(AS55:AS56))</f>
        <v/>
      </c>
      <c r="AV56" s="8">
        <f t="array" ref="AV56">IF(AS56="","", IFERROR(((IF(AS$5&lt;&gt;"", AS$5*AK$5, 0) + SUMPRODUCT(--(AS$6:AS56&lt;&gt;""), AS$6:AS56, (AK$6:AK56-AK$5:AK55)))/1000), ""))</f>
        <v/>
      </c>
      <c r="AW56" s="1">
        <f>AW55+20</f>
        <v/>
      </c>
      <c r="AX56" s="1">
        <f>AY55</f>
        <v/>
      </c>
      <c r="BA56" t="inlineStr">
        <is>
          <t>60mL/3s/30s</t>
        </is>
      </c>
      <c r="BE56" s="1">
        <f>IF(AY56="", "", (AX56-AY56)*1000/(AW56-AW55))</f>
        <v/>
      </c>
      <c r="BF56" s="1">
        <f>IF(BE56="","",BE56/BB$2/3)</f>
        <v/>
      </c>
      <c r="BG56" s="1">
        <f>IF(BE56="","", 100*_xlfn.STDEV.P(BE55:BE56)/AVERAGE(BE55:BE56))</f>
        <v/>
      </c>
      <c r="BH56" s="8">
        <f t="array" ref="BH56">IF(BE56="","", IFERROR(((IF(BE$5&lt;&gt;"", BE$5*AW$5, 0) + SUMPRODUCT(--(BE$6:BE56&lt;&gt;""), BE$6:BE56, (AW$6:AW56-AW$5:AW55)))/1000), ""))</f>
        <v/>
      </c>
      <c r="BI56" s="1">
        <f>BI55+20</f>
        <v/>
      </c>
      <c r="BJ56" s="1">
        <f>BK55</f>
        <v/>
      </c>
      <c r="BM56" t="inlineStr">
        <is>
          <t>60mL/3s/30s</t>
        </is>
      </c>
      <c r="BQ56" s="1">
        <f>IF(BK56="", "", (BJ56-BK56)*1000/(BI56-BI55))</f>
        <v/>
      </c>
      <c r="BR56" s="1">
        <f>IF(BQ56="","",BQ56/BN$2/3)</f>
        <v/>
      </c>
      <c r="BS56" s="1">
        <f>IF(BQ56="","", 100*_xlfn.STDEV.P(BQ55:BQ56)/AVERAGE(BQ55:BQ56))</f>
        <v/>
      </c>
      <c r="BT56" s="8">
        <f t="array" ref="BT56">IF(BQ56="","", IFERROR(((IF(BQ$5&lt;&gt;"", BQ$5*BI$5, 0) + SUMPRODUCT(--(BQ$6:BQ56&lt;&gt;""), BQ$6:BQ56, (BI$6:BI56-BI$5:BI55)))/1000), ""))</f>
        <v/>
      </c>
      <c r="BU56" s="1">
        <f>BU55+20</f>
        <v/>
      </c>
      <c r="BV56" s="1">
        <f>BW55</f>
        <v/>
      </c>
      <c r="BY56" t="inlineStr">
        <is>
          <t>60mL/3s/30s</t>
        </is>
      </c>
      <c r="CC56" s="1">
        <f>IF(BW56="", "", (BV56-BW56)*1000/(BU56-BU55))</f>
        <v/>
      </c>
      <c r="CD56" s="1">
        <f>IF(CC56="","",CC56/BZ$2/3)</f>
        <v/>
      </c>
      <c r="CE56" s="1">
        <f>IF(CC56="","", 100*_xlfn.STDEV.P(CC55:CC56)/AVERAGE(CC55:CC56))</f>
        <v/>
      </c>
      <c r="CF56" s="8">
        <f t="array" ref="CF56">IF(CC56="","", IFERROR(((IF(CC$5&lt;&gt;"", CC$5*BU$5, 0) + SUMPRODUCT(--(CC$6:CC56&lt;&gt;""), CC$6:CC56, (BU$6:BU56-BU$5:BU55)))/1000), ""))</f>
        <v/>
      </c>
      <c r="CG56" s="1">
        <f>CG55+20</f>
        <v/>
      </c>
      <c r="CH56" s="1">
        <f>CI55</f>
        <v/>
      </c>
      <c r="CK56" t="inlineStr">
        <is>
          <t>60mL/3s/30s</t>
        </is>
      </c>
      <c r="CO56" s="1">
        <f>IF(CI56="", "", (CH56-CI56)*1000/(CG56-CG55))</f>
        <v/>
      </c>
      <c r="CP56" s="1">
        <f>IF(CO56="","",CO56/CL$2/3)</f>
        <v/>
      </c>
      <c r="CQ56" s="1">
        <f>IF(CO56="","", 100*_xlfn.STDEV.P(CO55:CO56)/AVERAGE(CO55:CO56))</f>
        <v/>
      </c>
      <c r="CR56" s="8">
        <f t="array" ref="CR56">IF(CO56="","", IFERROR(((IF(CO$5&lt;&gt;"", CO$5*CG$5, 0) + SUMPRODUCT(--(CO$6:CO56&lt;&gt;""), CO$6:CO56, (CG$6:CG56-CG$5:CG55)))/1000), ""))</f>
        <v/>
      </c>
    </row>
    <row r="57">
      <c r="A57" s="1">
        <f>A56+20</f>
        <v/>
      </c>
      <c r="B57" s="1">
        <f>C56</f>
        <v/>
      </c>
      <c r="E57" t="inlineStr">
        <is>
          <t>60mL/3s/30s</t>
        </is>
      </c>
      <c r="I57" s="1">
        <f>IF(C57="", "", (B57-C57)*1000/(A57-A56))</f>
        <v/>
      </c>
      <c r="J57" s="1">
        <f>IF(I57="","",I57/F$2/3)</f>
        <v/>
      </c>
      <c r="K57" s="1">
        <f>IF(I57="","", 100*_xlfn.STDEV.P(I56:I57)/AVERAGE(I56:I57))</f>
        <v/>
      </c>
      <c r="L57" s="8">
        <f t="array" ref="L57">IF(I57="","", IFERROR(((IF(I$5&lt;&gt;"", I$5*A$5, 0) + SUMPRODUCT(--(I$6:I57&lt;&gt;""), I$6:I57, (A$6:A57-A$5:A56)))/1000), ""))</f>
        <v/>
      </c>
      <c r="M57" s="1">
        <f>M56+20</f>
        <v/>
      </c>
      <c r="N57" s="1">
        <f>O56</f>
        <v/>
      </c>
      <c r="Q57" t="inlineStr">
        <is>
          <t>60mL/3s/30s</t>
        </is>
      </c>
      <c r="U57" s="1">
        <f>IF(O57="", "", (N57-O57)*1000/(M57-M56))</f>
        <v/>
      </c>
      <c r="V57" s="1">
        <f>IF(U57="","",U57/R$2/3)</f>
        <v/>
      </c>
      <c r="W57" s="1">
        <f>IF(U57="","", 100*_xlfn.STDEV.P(U56:U57)/AVERAGE(U56:U57))</f>
        <v/>
      </c>
      <c r="X57" s="8">
        <f t="array" ref="X57">IF(U57="","", IFERROR(((IF(U$5&lt;&gt;"", U$5*M$5, 0) + SUMPRODUCT(--(U$6:U57&lt;&gt;""), U$6:U57, (M$6:M57-M$5:M56)))/1000), ""))</f>
        <v/>
      </c>
      <c r="Y57" s="1">
        <f>Y56+20</f>
        <v/>
      </c>
      <c r="Z57" s="1">
        <f>AA56</f>
        <v/>
      </c>
      <c r="AC57" t="inlineStr">
        <is>
          <t>60mL/3s/30s</t>
        </is>
      </c>
      <c r="AG57" s="1">
        <f>IF(AA57="", "", (Z57-AA57)*1000/(Y57-Y56))</f>
        <v/>
      </c>
      <c r="AH57" s="1">
        <f>IF(AG57="","",AG57/AD$2/3)</f>
        <v/>
      </c>
      <c r="AI57" s="1">
        <f>IF(AG57="","", 100*_xlfn.STDEV.P(AG56:AG57)/AVERAGE(AG56:AG57))</f>
        <v/>
      </c>
      <c r="AJ57" s="8">
        <f t="array" ref="AJ57">IF(AG57="","", IFERROR(((IF(AG$5&lt;&gt;"", AG$5*Y$5, 0) + SUMPRODUCT(--(AG$6:AG57&lt;&gt;""), AG$6:AG57, (Y$6:Y57-Y$5:Y56)))/1000), ""))</f>
        <v/>
      </c>
      <c r="AK57" s="1">
        <f>AK56+20</f>
        <v/>
      </c>
      <c r="AL57" s="1">
        <f>AM56</f>
        <v/>
      </c>
      <c r="AO57" t="inlineStr">
        <is>
          <t>60mL/3s/30s</t>
        </is>
      </c>
      <c r="AS57" s="1">
        <f>IF(AM57="", "", (AL57-AM57)*1000/(AK57-AK56))</f>
        <v/>
      </c>
      <c r="AT57" s="1">
        <f>IF(AS57="","",AS57/AP$2/3)</f>
        <v/>
      </c>
      <c r="AU57" s="1">
        <f>IF(AS57="","", 100*_xlfn.STDEV.P(AS56:AS57)/AVERAGE(AS56:AS57))</f>
        <v/>
      </c>
      <c r="AV57" s="8">
        <f t="array" ref="AV57">IF(AS57="","", IFERROR(((IF(AS$5&lt;&gt;"", AS$5*AK$5, 0) + SUMPRODUCT(--(AS$6:AS57&lt;&gt;""), AS$6:AS57, (AK$6:AK57-AK$5:AK56)))/1000), ""))</f>
        <v/>
      </c>
      <c r="AW57" s="1">
        <f>AW56+20</f>
        <v/>
      </c>
      <c r="AX57" s="1">
        <f>AY56</f>
        <v/>
      </c>
      <c r="BA57" t="inlineStr">
        <is>
          <t>60mL/3s/30s</t>
        </is>
      </c>
      <c r="BE57" s="1">
        <f>IF(AY57="", "", (AX57-AY57)*1000/(AW57-AW56))</f>
        <v/>
      </c>
      <c r="BF57" s="1">
        <f>IF(BE57="","",BE57/BB$2/3)</f>
        <v/>
      </c>
      <c r="BG57" s="1">
        <f>IF(BE57="","", 100*_xlfn.STDEV.P(BE56:BE57)/AVERAGE(BE56:BE57))</f>
        <v/>
      </c>
      <c r="BH57" s="8">
        <f t="array" ref="BH57">IF(BE57="","", IFERROR(((IF(BE$5&lt;&gt;"", BE$5*AW$5, 0) + SUMPRODUCT(--(BE$6:BE57&lt;&gt;""), BE$6:BE57, (AW$6:AW57-AW$5:AW56)))/1000), ""))</f>
        <v/>
      </c>
      <c r="BI57" s="1">
        <f>BI56+20</f>
        <v/>
      </c>
      <c r="BJ57" s="1">
        <f>BK56</f>
        <v/>
      </c>
      <c r="BM57" t="inlineStr">
        <is>
          <t>60mL/3s/30s</t>
        </is>
      </c>
      <c r="BQ57" s="1">
        <f>IF(BK57="", "", (BJ57-BK57)*1000/(BI57-BI56))</f>
        <v/>
      </c>
      <c r="BR57" s="1">
        <f>IF(BQ57="","",BQ57/BN$2/3)</f>
        <v/>
      </c>
      <c r="BS57" s="1">
        <f>IF(BQ57="","", 100*_xlfn.STDEV.P(BQ56:BQ57)/AVERAGE(BQ56:BQ57))</f>
        <v/>
      </c>
      <c r="BT57" s="8">
        <f t="array" ref="BT57">IF(BQ57="","", IFERROR(((IF(BQ$5&lt;&gt;"", BQ$5*BI$5, 0) + SUMPRODUCT(--(BQ$6:BQ57&lt;&gt;""), BQ$6:BQ57, (BI$6:BI57-BI$5:BI56)))/1000), ""))</f>
        <v/>
      </c>
      <c r="BU57" s="1">
        <f>BU56+20</f>
        <v/>
      </c>
      <c r="BV57" s="1">
        <f>BW56</f>
        <v/>
      </c>
      <c r="BY57" t="inlineStr">
        <is>
          <t>60mL/3s/30s</t>
        </is>
      </c>
      <c r="CC57" s="1">
        <f>IF(BW57="", "", (BV57-BW57)*1000/(BU57-BU56))</f>
        <v/>
      </c>
      <c r="CD57" s="1">
        <f>IF(CC57="","",CC57/BZ$2/3)</f>
        <v/>
      </c>
      <c r="CE57" s="1">
        <f>IF(CC57="","", 100*_xlfn.STDEV.P(CC56:CC57)/AVERAGE(CC56:CC57))</f>
        <v/>
      </c>
      <c r="CF57" s="8">
        <f t="array" ref="CF57">IF(CC57="","", IFERROR(((IF(CC$5&lt;&gt;"", CC$5*BU$5, 0) + SUMPRODUCT(--(CC$6:CC57&lt;&gt;""), CC$6:CC57, (BU$6:BU57-BU$5:BU56)))/1000), ""))</f>
        <v/>
      </c>
      <c r="CG57" s="1">
        <f>CG56+20</f>
        <v/>
      </c>
      <c r="CH57" s="1">
        <f>CI56</f>
        <v/>
      </c>
      <c r="CK57" t="inlineStr">
        <is>
          <t>60mL/3s/30s</t>
        </is>
      </c>
      <c r="CO57" s="1">
        <f>IF(CI57="", "", (CH57-CI57)*1000/(CG57-CG56))</f>
        <v/>
      </c>
      <c r="CP57" s="1">
        <f>IF(CO57="","",CO57/CL$2/3)</f>
        <v/>
      </c>
      <c r="CQ57" s="1">
        <f>IF(CO57="","", 100*_xlfn.STDEV.P(CO56:CO57)/AVERAGE(CO56:CO57))</f>
        <v/>
      </c>
      <c r="CR57" s="8">
        <f t="array" ref="CR57">IF(CO57="","", IFERROR(((IF(CO$5&lt;&gt;"", CO$5*CG$5, 0) + SUMPRODUCT(--(CO$6:CO57&lt;&gt;""), CO$6:CO57, (CG$6:CG57-CG$5:CG56)))/1000), ""))</f>
        <v/>
      </c>
    </row>
    <row r="58">
      <c r="A58" s="1">
        <f>A57+20</f>
        <v/>
      </c>
      <c r="B58" s="1">
        <f>C57</f>
        <v/>
      </c>
      <c r="E58" t="inlineStr">
        <is>
          <t>60mL/3s/30s</t>
        </is>
      </c>
      <c r="I58" s="1">
        <f>IF(C58="", "", (B58-C58)*1000/(A58-A57))</f>
        <v/>
      </c>
      <c r="J58" s="1">
        <f>IF(I58="","",I58/F$2/3)</f>
        <v/>
      </c>
      <c r="K58" s="1">
        <f>IF(I58="","", 100*_xlfn.STDEV.P(I57:I58)/AVERAGE(I57:I58))</f>
        <v/>
      </c>
      <c r="L58" s="8">
        <f t="array" ref="L58">IF(I58="","", IFERROR(((IF(I$5&lt;&gt;"", I$5*A$5, 0) + SUMPRODUCT(--(I$6:I58&lt;&gt;""), I$6:I58, (A$6:A58-A$5:A57)))/1000), ""))</f>
        <v/>
      </c>
      <c r="M58" s="1">
        <f>M57+20</f>
        <v/>
      </c>
      <c r="N58" s="1">
        <f>O57</f>
        <v/>
      </c>
      <c r="Q58" t="inlineStr">
        <is>
          <t>60mL/3s/30s</t>
        </is>
      </c>
      <c r="U58" s="1">
        <f>IF(O58="", "", (N58-O58)*1000/(M58-M57))</f>
        <v/>
      </c>
      <c r="V58" s="1">
        <f>IF(U58="","",U58/R$2/3)</f>
        <v/>
      </c>
      <c r="W58" s="1">
        <f>IF(U58="","", 100*_xlfn.STDEV.P(U57:U58)/AVERAGE(U57:U58))</f>
        <v/>
      </c>
      <c r="X58" s="8">
        <f t="array" ref="X58">IF(U58="","", IFERROR(((IF(U$5&lt;&gt;"", U$5*M$5, 0) + SUMPRODUCT(--(U$6:U58&lt;&gt;""), U$6:U58, (M$6:M58-M$5:M57)))/1000), ""))</f>
        <v/>
      </c>
      <c r="Y58" s="1">
        <f>Y57+20</f>
        <v/>
      </c>
      <c r="Z58" s="1">
        <f>AA57</f>
        <v/>
      </c>
      <c r="AC58" t="inlineStr">
        <is>
          <t>60mL/3s/30s</t>
        </is>
      </c>
      <c r="AG58" s="1">
        <f>IF(AA58="", "", (Z58-AA58)*1000/(Y58-Y57))</f>
        <v/>
      </c>
      <c r="AH58" s="1">
        <f>IF(AG58="","",AG58/AD$2/3)</f>
        <v/>
      </c>
      <c r="AI58" s="1">
        <f>IF(AG58="","", 100*_xlfn.STDEV.P(AG57:AG58)/AVERAGE(AG57:AG58))</f>
        <v/>
      </c>
      <c r="AJ58" s="8">
        <f t="array" ref="AJ58">IF(AG58="","", IFERROR(((IF(AG$5&lt;&gt;"", AG$5*Y$5, 0) + SUMPRODUCT(--(AG$6:AG58&lt;&gt;""), AG$6:AG58, (Y$6:Y58-Y$5:Y57)))/1000), ""))</f>
        <v/>
      </c>
      <c r="AK58" s="1">
        <f>AK57+20</f>
        <v/>
      </c>
      <c r="AL58" s="1">
        <f>AM57</f>
        <v/>
      </c>
      <c r="AO58" t="inlineStr">
        <is>
          <t>60mL/3s/30s</t>
        </is>
      </c>
      <c r="AS58" s="1">
        <f>IF(AM58="", "", (AL58-AM58)*1000/(AK58-AK57))</f>
        <v/>
      </c>
      <c r="AT58" s="1">
        <f>IF(AS58="","",AS58/AP$2/3)</f>
        <v/>
      </c>
      <c r="AU58" s="1">
        <f>IF(AS58="","", 100*_xlfn.STDEV.P(AS57:AS58)/AVERAGE(AS57:AS58))</f>
        <v/>
      </c>
      <c r="AV58" s="8">
        <f t="array" ref="AV58">IF(AS58="","", IFERROR(((IF(AS$5&lt;&gt;"", AS$5*AK$5, 0) + SUMPRODUCT(--(AS$6:AS58&lt;&gt;""), AS$6:AS58, (AK$6:AK58-AK$5:AK57)))/1000), ""))</f>
        <v/>
      </c>
      <c r="AW58" s="1">
        <f>AW57+20</f>
        <v/>
      </c>
      <c r="AX58" s="1">
        <f>AY57</f>
        <v/>
      </c>
      <c r="BA58" t="inlineStr">
        <is>
          <t>60mL/3s/30s</t>
        </is>
      </c>
      <c r="BE58" s="1">
        <f>IF(AY58="", "", (AX58-AY58)*1000/(AW58-AW57))</f>
        <v/>
      </c>
      <c r="BF58" s="1">
        <f>IF(BE58="","",BE58/BB$2/3)</f>
        <v/>
      </c>
      <c r="BG58" s="1">
        <f>IF(BE58="","", 100*_xlfn.STDEV.P(BE57:BE58)/AVERAGE(BE57:BE58))</f>
        <v/>
      </c>
      <c r="BH58" s="8">
        <f t="array" ref="BH58">IF(BE58="","", IFERROR(((IF(BE$5&lt;&gt;"", BE$5*AW$5, 0) + SUMPRODUCT(--(BE$6:BE58&lt;&gt;""), BE$6:BE58, (AW$6:AW58-AW$5:AW57)))/1000), ""))</f>
        <v/>
      </c>
      <c r="BI58" s="1">
        <f>BI57+20</f>
        <v/>
      </c>
      <c r="BJ58" s="1">
        <f>BK57</f>
        <v/>
      </c>
      <c r="BM58" t="inlineStr">
        <is>
          <t>60mL/3s/30s</t>
        </is>
      </c>
      <c r="BQ58" s="1">
        <f>IF(BK58="", "", (BJ58-BK58)*1000/(BI58-BI57))</f>
        <v/>
      </c>
      <c r="BR58" s="1">
        <f>IF(BQ58="","",BQ58/BN$2/3)</f>
        <v/>
      </c>
      <c r="BS58" s="1">
        <f>IF(BQ58="","", 100*_xlfn.STDEV.P(BQ57:BQ58)/AVERAGE(BQ57:BQ58))</f>
        <v/>
      </c>
      <c r="BT58" s="8">
        <f t="array" ref="BT58">IF(BQ58="","", IFERROR(((IF(BQ$5&lt;&gt;"", BQ$5*BI$5, 0) + SUMPRODUCT(--(BQ$6:BQ58&lt;&gt;""), BQ$6:BQ58, (BI$6:BI58-BI$5:BI57)))/1000), ""))</f>
        <v/>
      </c>
      <c r="BU58" s="1">
        <f>BU57+20</f>
        <v/>
      </c>
      <c r="BV58" s="1">
        <f>BW57</f>
        <v/>
      </c>
      <c r="BY58" t="inlineStr">
        <is>
          <t>60mL/3s/30s</t>
        </is>
      </c>
      <c r="CC58" s="1">
        <f>IF(BW58="", "", (BV58-BW58)*1000/(BU58-BU57))</f>
        <v/>
      </c>
      <c r="CD58" s="1">
        <f>IF(CC58="","",CC58/BZ$2/3)</f>
        <v/>
      </c>
      <c r="CE58" s="1">
        <f>IF(CC58="","", 100*_xlfn.STDEV.P(CC57:CC58)/AVERAGE(CC57:CC58))</f>
        <v/>
      </c>
      <c r="CF58" s="8">
        <f t="array" ref="CF58">IF(CC58="","", IFERROR(((IF(CC$5&lt;&gt;"", CC$5*BU$5, 0) + SUMPRODUCT(--(CC$6:CC58&lt;&gt;""), CC$6:CC58, (BU$6:BU58-BU$5:BU57)))/1000), ""))</f>
        <v/>
      </c>
      <c r="CG58" s="1">
        <f>CG57+20</f>
        <v/>
      </c>
      <c r="CH58" s="1">
        <f>CI57</f>
        <v/>
      </c>
      <c r="CK58" t="inlineStr">
        <is>
          <t>60mL/3s/30s</t>
        </is>
      </c>
      <c r="CO58" s="1">
        <f>IF(CI58="", "", (CH58-CI58)*1000/(CG58-CG57))</f>
        <v/>
      </c>
      <c r="CP58" s="1">
        <f>IF(CO58="","",CO58/CL$2/3)</f>
        <v/>
      </c>
      <c r="CQ58" s="1">
        <f>IF(CO58="","", 100*_xlfn.STDEV.P(CO57:CO58)/AVERAGE(CO57:CO58))</f>
        <v/>
      </c>
      <c r="CR58" s="8">
        <f t="array" ref="CR58">IF(CO58="","", IFERROR(((IF(CO$5&lt;&gt;"", CO$5*CG$5, 0) + SUMPRODUCT(--(CO$6:CO58&lt;&gt;""), CO$6:CO58, (CG$6:CG58-CG$5:CG57)))/1000), ""))</f>
        <v/>
      </c>
    </row>
    <row r="59">
      <c r="A59" s="1">
        <f>A58+20</f>
        <v/>
      </c>
      <c r="B59" s="1">
        <f>C58</f>
        <v/>
      </c>
      <c r="E59" t="inlineStr">
        <is>
          <t>60mL/3s/30s</t>
        </is>
      </c>
      <c r="I59" s="1">
        <f>IF(C59="", "", (B59-C59)*1000/(A59-A58))</f>
        <v/>
      </c>
      <c r="J59" s="1">
        <f>IF(I59="","",I59/F$2/3)</f>
        <v/>
      </c>
      <c r="K59" s="1">
        <f>IF(I59="","", 100*_xlfn.STDEV.P(I58:I59)/AVERAGE(I58:I59))</f>
        <v/>
      </c>
      <c r="L59" s="8">
        <f t="array" ref="L59">IF(I59="","", IFERROR(((IF(I$5&lt;&gt;"", I$5*A$5, 0) + SUMPRODUCT(--(I$6:I59&lt;&gt;""), I$6:I59, (A$6:A59-A$5:A58)))/1000), ""))</f>
        <v/>
      </c>
      <c r="M59" s="1">
        <f>M58+20</f>
        <v/>
      </c>
      <c r="N59" s="1">
        <f>O58</f>
        <v/>
      </c>
      <c r="Q59" t="inlineStr">
        <is>
          <t>60mL/3s/30s</t>
        </is>
      </c>
      <c r="U59" s="1">
        <f>IF(O59="", "", (N59-O59)*1000/(M59-M58))</f>
        <v/>
      </c>
      <c r="V59" s="1">
        <f>IF(U59="","",U59/R$2/3)</f>
        <v/>
      </c>
      <c r="W59" s="1">
        <f>IF(U59="","", 100*_xlfn.STDEV.P(U58:U59)/AVERAGE(U58:U59))</f>
        <v/>
      </c>
      <c r="X59" s="8">
        <f t="array" ref="X59">IF(U59="","", IFERROR(((IF(U$5&lt;&gt;"", U$5*M$5, 0) + SUMPRODUCT(--(U$6:U59&lt;&gt;""), U$6:U59, (M$6:M59-M$5:M58)))/1000), ""))</f>
        <v/>
      </c>
      <c r="Y59" s="1">
        <f>Y58+20</f>
        <v/>
      </c>
      <c r="Z59" s="1">
        <f>AA58</f>
        <v/>
      </c>
      <c r="AC59" t="inlineStr">
        <is>
          <t>60mL/3s/30s</t>
        </is>
      </c>
      <c r="AG59" s="1">
        <f>IF(AA59="", "", (Z59-AA59)*1000/(Y59-Y58))</f>
        <v/>
      </c>
      <c r="AH59" s="1">
        <f>IF(AG59="","",AG59/AD$2/3)</f>
        <v/>
      </c>
      <c r="AI59" s="1">
        <f>IF(AG59="","", 100*_xlfn.STDEV.P(AG58:AG59)/AVERAGE(AG58:AG59))</f>
        <v/>
      </c>
      <c r="AJ59" s="8">
        <f t="array" ref="AJ59">IF(AG59="","", IFERROR(((IF(AG$5&lt;&gt;"", AG$5*Y$5, 0) + SUMPRODUCT(--(AG$6:AG59&lt;&gt;""), AG$6:AG59, (Y$6:Y59-Y$5:Y58)))/1000), ""))</f>
        <v/>
      </c>
      <c r="AK59" s="1">
        <f>AK58+20</f>
        <v/>
      </c>
      <c r="AL59" s="1">
        <f>AM58</f>
        <v/>
      </c>
      <c r="AO59" t="inlineStr">
        <is>
          <t>60mL/3s/30s</t>
        </is>
      </c>
      <c r="AS59" s="1">
        <f>IF(AM59="", "", (AL59-AM59)*1000/(AK59-AK58))</f>
        <v/>
      </c>
      <c r="AT59" s="1">
        <f>IF(AS59="","",AS59/AP$2/3)</f>
        <v/>
      </c>
      <c r="AU59" s="1">
        <f>IF(AS59="","", 100*_xlfn.STDEV.P(AS58:AS59)/AVERAGE(AS58:AS59))</f>
        <v/>
      </c>
      <c r="AV59" s="8">
        <f t="array" ref="AV59">IF(AS59="","", IFERROR(((IF(AS$5&lt;&gt;"", AS$5*AK$5, 0) + SUMPRODUCT(--(AS$6:AS59&lt;&gt;""), AS$6:AS59, (AK$6:AK59-AK$5:AK58)))/1000), ""))</f>
        <v/>
      </c>
      <c r="AW59" s="1">
        <f>AW58+20</f>
        <v/>
      </c>
      <c r="AX59" s="1">
        <f>AY58</f>
        <v/>
      </c>
      <c r="BA59" t="inlineStr">
        <is>
          <t>60mL/3s/30s</t>
        </is>
      </c>
      <c r="BE59" s="1">
        <f>IF(AY59="", "", (AX59-AY59)*1000/(AW59-AW58))</f>
        <v/>
      </c>
      <c r="BF59" s="1">
        <f>IF(BE59="","",BE59/BB$2/3)</f>
        <v/>
      </c>
      <c r="BG59" s="1">
        <f>IF(BE59="","", 100*_xlfn.STDEV.P(BE58:BE59)/AVERAGE(BE58:BE59))</f>
        <v/>
      </c>
      <c r="BH59" s="8">
        <f t="array" ref="BH59">IF(BE59="","", IFERROR(((IF(BE$5&lt;&gt;"", BE$5*AW$5, 0) + SUMPRODUCT(--(BE$6:BE59&lt;&gt;""), BE$6:BE59, (AW$6:AW59-AW$5:AW58)))/1000), ""))</f>
        <v/>
      </c>
      <c r="BI59" s="1">
        <f>BI58+20</f>
        <v/>
      </c>
      <c r="BJ59" s="1">
        <f>BK58</f>
        <v/>
      </c>
      <c r="BM59" t="inlineStr">
        <is>
          <t>60mL/3s/30s</t>
        </is>
      </c>
      <c r="BQ59" s="1">
        <f>IF(BK59="", "", (BJ59-BK59)*1000/(BI59-BI58))</f>
        <v/>
      </c>
      <c r="BR59" s="1">
        <f>IF(BQ59="","",BQ59/BN$2/3)</f>
        <v/>
      </c>
      <c r="BS59" s="1">
        <f>IF(BQ59="","", 100*_xlfn.STDEV.P(BQ58:BQ59)/AVERAGE(BQ58:BQ59))</f>
        <v/>
      </c>
      <c r="BT59" s="8">
        <f t="array" ref="BT59">IF(BQ59="","", IFERROR(((IF(BQ$5&lt;&gt;"", BQ$5*BI$5, 0) + SUMPRODUCT(--(BQ$6:BQ59&lt;&gt;""), BQ$6:BQ59, (BI$6:BI59-BI$5:BI58)))/1000), ""))</f>
        <v/>
      </c>
      <c r="BU59" s="1">
        <f>BU58+20</f>
        <v/>
      </c>
      <c r="BV59" s="1">
        <f>BW58</f>
        <v/>
      </c>
      <c r="BY59" t="inlineStr">
        <is>
          <t>60mL/3s/30s</t>
        </is>
      </c>
      <c r="CC59" s="1">
        <f>IF(BW59="", "", (BV59-BW59)*1000/(BU59-BU58))</f>
        <v/>
      </c>
      <c r="CD59" s="1">
        <f>IF(CC59="","",CC59/BZ$2/3)</f>
        <v/>
      </c>
      <c r="CE59" s="1">
        <f>IF(CC59="","", 100*_xlfn.STDEV.P(CC58:CC59)/AVERAGE(CC58:CC59))</f>
        <v/>
      </c>
      <c r="CF59" s="8">
        <f t="array" ref="CF59">IF(CC59="","", IFERROR(((IF(CC$5&lt;&gt;"", CC$5*BU$5, 0) + SUMPRODUCT(--(CC$6:CC59&lt;&gt;""), CC$6:CC59, (BU$6:BU59-BU$5:BU58)))/1000), ""))</f>
        <v/>
      </c>
      <c r="CG59" s="1">
        <f>CG58+20</f>
        <v/>
      </c>
      <c r="CH59" s="1">
        <f>CI58</f>
        <v/>
      </c>
      <c r="CK59" t="inlineStr">
        <is>
          <t>60mL/3s/30s</t>
        </is>
      </c>
      <c r="CO59" s="1">
        <f>IF(CI59="", "", (CH59-CI59)*1000/(CG59-CG58))</f>
        <v/>
      </c>
      <c r="CP59" s="1">
        <f>IF(CO59="","",CO59/CL$2/3)</f>
        <v/>
      </c>
      <c r="CQ59" s="1">
        <f>IF(CO59="","", 100*_xlfn.STDEV.P(CO58:CO59)/AVERAGE(CO58:CO59))</f>
        <v/>
      </c>
      <c r="CR59" s="8">
        <f t="array" ref="CR59">IF(CO59="","", IFERROR(((IF(CO$5&lt;&gt;"", CO$5*CG$5, 0) + SUMPRODUCT(--(CO$6:CO59&lt;&gt;""), CO$6:CO59, (CG$6:CG59-CG$5:CG58)))/1000), ""))</f>
        <v/>
      </c>
    </row>
    <row r="60">
      <c r="A60" s="1">
        <f>A59+20</f>
        <v/>
      </c>
      <c r="B60" s="1">
        <f>C59</f>
        <v/>
      </c>
      <c r="E60" t="inlineStr">
        <is>
          <t>60mL/3s/30s</t>
        </is>
      </c>
      <c r="I60" s="1">
        <f>IF(C60="", "", (B60-C60)*1000/(A60-A59))</f>
        <v/>
      </c>
      <c r="J60" s="1">
        <f>IF(I60="","",I60/F$2/3)</f>
        <v/>
      </c>
      <c r="K60" s="1">
        <f>IF(I60="","", 100*_xlfn.STDEV.P(I59:I60)/AVERAGE(I59:I60))</f>
        <v/>
      </c>
      <c r="L60" s="8">
        <f t="array" ref="L60">IF(I60="","", IFERROR(((IF(I$5&lt;&gt;"", I$5*A$5, 0) + SUMPRODUCT(--(I$6:I60&lt;&gt;""), I$6:I60, (A$6:A60-A$5:A59)))/1000), ""))</f>
        <v/>
      </c>
      <c r="M60" s="1">
        <f>M59+20</f>
        <v/>
      </c>
      <c r="N60" s="1">
        <f>O59</f>
        <v/>
      </c>
      <c r="Q60" t="inlineStr">
        <is>
          <t>60mL/3s/30s</t>
        </is>
      </c>
      <c r="U60" s="1">
        <f>IF(O60="", "", (N60-O60)*1000/(M60-M59))</f>
        <v/>
      </c>
      <c r="V60" s="1">
        <f>IF(U60="","",U60/R$2/3)</f>
        <v/>
      </c>
      <c r="W60" s="1">
        <f>IF(U60="","", 100*_xlfn.STDEV.P(U59:U60)/AVERAGE(U59:U60))</f>
        <v/>
      </c>
      <c r="X60" s="8">
        <f t="array" ref="X60">IF(U60="","", IFERROR(((IF(U$5&lt;&gt;"", U$5*M$5, 0) + SUMPRODUCT(--(U$6:U60&lt;&gt;""), U$6:U60, (M$6:M60-M$5:M59)))/1000), ""))</f>
        <v/>
      </c>
      <c r="Y60" s="1">
        <f>Y59+20</f>
        <v/>
      </c>
      <c r="Z60" s="1">
        <f>AA59</f>
        <v/>
      </c>
      <c r="AC60" t="inlineStr">
        <is>
          <t>60mL/3s/30s</t>
        </is>
      </c>
      <c r="AG60" s="1">
        <f>IF(AA60="", "", (Z60-AA60)*1000/(Y60-Y59))</f>
        <v/>
      </c>
      <c r="AH60" s="1">
        <f>IF(AG60="","",AG60/AD$2/3)</f>
        <v/>
      </c>
      <c r="AI60" s="1">
        <f>IF(AG60="","", 100*_xlfn.STDEV.P(AG59:AG60)/AVERAGE(AG59:AG60))</f>
        <v/>
      </c>
      <c r="AJ60" s="8">
        <f t="array" ref="AJ60">IF(AG60="","", IFERROR(((IF(AG$5&lt;&gt;"", AG$5*Y$5, 0) + SUMPRODUCT(--(AG$6:AG60&lt;&gt;""), AG$6:AG60, (Y$6:Y60-Y$5:Y59)))/1000), ""))</f>
        <v/>
      </c>
      <c r="AK60" s="1">
        <f>AK59+20</f>
        <v/>
      </c>
      <c r="AL60" s="1">
        <f>AM59</f>
        <v/>
      </c>
      <c r="AO60" t="inlineStr">
        <is>
          <t>60mL/3s/30s</t>
        </is>
      </c>
      <c r="AS60" s="1">
        <f>IF(AM60="", "", (AL60-AM60)*1000/(AK60-AK59))</f>
        <v/>
      </c>
      <c r="AT60" s="1">
        <f>IF(AS60="","",AS60/AP$2/3)</f>
        <v/>
      </c>
      <c r="AU60" s="1">
        <f>IF(AS60="","", 100*_xlfn.STDEV.P(AS59:AS60)/AVERAGE(AS59:AS60))</f>
        <v/>
      </c>
      <c r="AV60" s="8">
        <f t="array" ref="AV60">IF(AS60="","", IFERROR(((IF(AS$5&lt;&gt;"", AS$5*AK$5, 0) + SUMPRODUCT(--(AS$6:AS60&lt;&gt;""), AS$6:AS60, (AK$6:AK60-AK$5:AK59)))/1000), ""))</f>
        <v/>
      </c>
      <c r="AW60" s="1">
        <f>AW59+20</f>
        <v/>
      </c>
      <c r="AX60" s="1">
        <f>AY59</f>
        <v/>
      </c>
      <c r="BA60" t="inlineStr">
        <is>
          <t>60mL/3s/30s</t>
        </is>
      </c>
      <c r="BE60" s="1">
        <f>IF(AY60="", "", (AX60-AY60)*1000/(AW60-AW59))</f>
        <v/>
      </c>
      <c r="BF60" s="1">
        <f>IF(BE60="","",BE60/BB$2/3)</f>
        <v/>
      </c>
      <c r="BG60" s="1">
        <f>IF(BE60="","", 100*_xlfn.STDEV.P(BE59:BE60)/AVERAGE(BE59:BE60))</f>
        <v/>
      </c>
      <c r="BH60" s="8">
        <f t="array" ref="BH60">IF(BE60="","", IFERROR(((IF(BE$5&lt;&gt;"", BE$5*AW$5, 0) + SUMPRODUCT(--(BE$6:BE60&lt;&gt;""), BE$6:BE60, (AW$6:AW60-AW$5:AW59)))/1000), ""))</f>
        <v/>
      </c>
      <c r="BI60" s="1">
        <f>BI59+20</f>
        <v/>
      </c>
      <c r="BJ60" s="1">
        <f>BK59</f>
        <v/>
      </c>
      <c r="BM60" t="inlineStr">
        <is>
          <t>60mL/3s/30s</t>
        </is>
      </c>
      <c r="BQ60" s="1">
        <f>IF(BK60="", "", (BJ60-BK60)*1000/(BI60-BI59))</f>
        <v/>
      </c>
      <c r="BR60" s="1">
        <f>IF(BQ60="","",BQ60/BN$2/3)</f>
        <v/>
      </c>
      <c r="BS60" s="1">
        <f>IF(BQ60="","", 100*_xlfn.STDEV.P(BQ59:BQ60)/AVERAGE(BQ59:BQ60))</f>
        <v/>
      </c>
      <c r="BT60" s="8">
        <f t="array" ref="BT60">IF(BQ60="","", IFERROR(((IF(BQ$5&lt;&gt;"", BQ$5*BI$5, 0) + SUMPRODUCT(--(BQ$6:BQ60&lt;&gt;""), BQ$6:BQ60, (BI$6:BI60-BI$5:BI59)))/1000), ""))</f>
        <v/>
      </c>
      <c r="BU60" s="1">
        <f>BU59+20</f>
        <v/>
      </c>
      <c r="BV60" s="1">
        <f>BW59</f>
        <v/>
      </c>
      <c r="BY60" t="inlineStr">
        <is>
          <t>60mL/3s/30s</t>
        </is>
      </c>
      <c r="CC60" s="1">
        <f>IF(BW60="", "", (BV60-BW60)*1000/(BU60-BU59))</f>
        <v/>
      </c>
      <c r="CD60" s="1">
        <f>IF(CC60="","",CC60/BZ$2/3)</f>
        <v/>
      </c>
      <c r="CE60" s="1">
        <f>IF(CC60="","", 100*_xlfn.STDEV.P(CC59:CC60)/AVERAGE(CC59:CC60))</f>
        <v/>
      </c>
      <c r="CF60" s="8">
        <f t="array" ref="CF60">IF(CC60="","", IFERROR(((IF(CC$5&lt;&gt;"", CC$5*BU$5, 0) + SUMPRODUCT(--(CC$6:CC60&lt;&gt;""), CC$6:CC60, (BU$6:BU60-BU$5:BU59)))/1000), ""))</f>
        <v/>
      </c>
      <c r="CG60" s="1">
        <f>CG59+20</f>
        <v/>
      </c>
      <c r="CH60" s="1">
        <f>CI59</f>
        <v/>
      </c>
      <c r="CK60" t="inlineStr">
        <is>
          <t>60mL/3s/30s</t>
        </is>
      </c>
      <c r="CO60" s="1">
        <f>IF(CI60="", "", (CH60-CI60)*1000/(CG60-CG59))</f>
        <v/>
      </c>
      <c r="CP60" s="1">
        <f>IF(CO60="","",CO60/CL$2/3)</f>
        <v/>
      </c>
      <c r="CQ60" s="1">
        <f>IF(CO60="","", 100*_xlfn.STDEV.P(CO59:CO60)/AVERAGE(CO59:CO60))</f>
        <v/>
      </c>
      <c r="CR60" s="8">
        <f t="array" ref="CR60">IF(CO60="","", IFERROR(((IF(CO$5&lt;&gt;"", CO$5*CG$5, 0) + SUMPRODUCT(--(CO$6:CO60&lt;&gt;""), CO$6:CO60, (CG$6:CG60-CG$5:CG59)))/1000), ""))</f>
        <v/>
      </c>
    </row>
    <row r="61">
      <c r="A61" s="1">
        <f>A60+20</f>
        <v/>
      </c>
      <c r="B61" s="1">
        <f>C60</f>
        <v/>
      </c>
      <c r="E61" t="inlineStr">
        <is>
          <t>60mL/3s/30s</t>
        </is>
      </c>
      <c r="I61" s="1">
        <f>IF(C61="", "", (B61-C61)*1000/(A61-A60))</f>
        <v/>
      </c>
      <c r="J61" s="1">
        <f>IF(I61="","",I61/F$2/3)</f>
        <v/>
      </c>
      <c r="K61" s="1">
        <f>IF(I61="","", 100*_xlfn.STDEV.P(I60:I61)/AVERAGE(I60:I61))</f>
        <v/>
      </c>
      <c r="L61" s="8">
        <f t="array" ref="L61">IF(I61="","", IFERROR(((IF(I$5&lt;&gt;"", I$5*A$5, 0) + SUMPRODUCT(--(I$6:I61&lt;&gt;""), I$6:I61, (A$6:A61-A$5:A60)))/1000), ""))</f>
        <v/>
      </c>
      <c r="M61" s="1">
        <f>M60+20</f>
        <v/>
      </c>
      <c r="N61" s="1">
        <f>O60</f>
        <v/>
      </c>
      <c r="Q61" t="inlineStr">
        <is>
          <t>60mL/3s/30s</t>
        </is>
      </c>
      <c r="U61" s="1">
        <f>IF(O61="", "", (N61-O61)*1000/(M61-M60))</f>
        <v/>
      </c>
      <c r="V61" s="1">
        <f>IF(U61="","",U61/R$2/3)</f>
        <v/>
      </c>
      <c r="W61" s="1">
        <f>IF(U61="","", 100*_xlfn.STDEV.P(U60:U61)/AVERAGE(U60:U61))</f>
        <v/>
      </c>
      <c r="X61" s="8">
        <f t="array" ref="X61">IF(U61="","", IFERROR(((IF(U$5&lt;&gt;"", U$5*M$5, 0) + SUMPRODUCT(--(U$6:U61&lt;&gt;""), U$6:U61, (M$6:M61-M$5:M60)))/1000), ""))</f>
        <v/>
      </c>
      <c r="Y61" s="1">
        <f>Y60+20</f>
        <v/>
      </c>
      <c r="Z61" s="1">
        <f>AA60</f>
        <v/>
      </c>
      <c r="AC61" t="inlineStr">
        <is>
          <t>60mL/3s/30s</t>
        </is>
      </c>
      <c r="AG61" s="1">
        <f>IF(AA61="", "", (Z61-AA61)*1000/(Y61-Y60))</f>
        <v/>
      </c>
      <c r="AH61" s="1">
        <f>IF(AG61="","",AG61/AD$2/3)</f>
        <v/>
      </c>
      <c r="AI61" s="1">
        <f>IF(AG61="","", 100*_xlfn.STDEV.P(AG60:AG61)/AVERAGE(AG60:AG61))</f>
        <v/>
      </c>
      <c r="AJ61" s="8">
        <f t="array" ref="AJ61">IF(AG61="","", IFERROR(((IF(AG$5&lt;&gt;"", AG$5*Y$5, 0) + SUMPRODUCT(--(AG$6:AG61&lt;&gt;""), AG$6:AG61, (Y$6:Y61-Y$5:Y60)))/1000), ""))</f>
        <v/>
      </c>
      <c r="AK61" s="1">
        <f>AK60+20</f>
        <v/>
      </c>
      <c r="AL61" s="1">
        <f>AM60</f>
        <v/>
      </c>
      <c r="AO61" t="inlineStr">
        <is>
          <t>60mL/3s/30s</t>
        </is>
      </c>
      <c r="AS61" s="1">
        <f>IF(AM61="", "", (AL61-AM61)*1000/(AK61-AK60))</f>
        <v/>
      </c>
      <c r="AT61" s="1">
        <f>IF(AS61="","",AS61/AP$2/3)</f>
        <v/>
      </c>
      <c r="AU61" s="1">
        <f>IF(AS61="","", 100*_xlfn.STDEV.P(AS60:AS61)/AVERAGE(AS60:AS61))</f>
        <v/>
      </c>
      <c r="AV61" s="8">
        <f t="array" ref="AV61">IF(AS61="","", IFERROR(((IF(AS$5&lt;&gt;"", AS$5*AK$5, 0) + SUMPRODUCT(--(AS$6:AS61&lt;&gt;""), AS$6:AS61, (AK$6:AK61-AK$5:AK60)))/1000), ""))</f>
        <v/>
      </c>
      <c r="AW61" s="1">
        <f>AW60+20</f>
        <v/>
      </c>
      <c r="AX61" s="1">
        <f>AY60</f>
        <v/>
      </c>
      <c r="BA61" t="inlineStr">
        <is>
          <t>60mL/3s/30s</t>
        </is>
      </c>
      <c r="BE61" s="1">
        <f>IF(AY61="", "", (AX61-AY61)*1000/(AW61-AW60))</f>
        <v/>
      </c>
      <c r="BF61" s="1">
        <f>IF(BE61="","",BE61/BB$2/3)</f>
        <v/>
      </c>
      <c r="BG61" s="1">
        <f>IF(BE61="","", 100*_xlfn.STDEV.P(BE60:BE61)/AVERAGE(BE60:BE61))</f>
        <v/>
      </c>
      <c r="BH61" s="8">
        <f t="array" ref="BH61">IF(BE61="","", IFERROR(((IF(BE$5&lt;&gt;"", BE$5*AW$5, 0) + SUMPRODUCT(--(BE$6:BE61&lt;&gt;""), BE$6:BE61, (AW$6:AW61-AW$5:AW60)))/1000), ""))</f>
        <v/>
      </c>
      <c r="BI61" s="1">
        <f>BI60+20</f>
        <v/>
      </c>
      <c r="BJ61" s="1">
        <f>BK60</f>
        <v/>
      </c>
      <c r="BM61" t="inlineStr">
        <is>
          <t>60mL/3s/30s</t>
        </is>
      </c>
      <c r="BQ61" s="1">
        <f>IF(BK61="", "", (BJ61-BK61)*1000/(BI61-BI60))</f>
        <v/>
      </c>
      <c r="BR61" s="1">
        <f>IF(BQ61="","",BQ61/BN$2/3)</f>
        <v/>
      </c>
      <c r="BS61" s="1">
        <f>IF(BQ61="","", 100*_xlfn.STDEV.P(BQ60:BQ61)/AVERAGE(BQ60:BQ61))</f>
        <v/>
      </c>
      <c r="BT61" s="8">
        <f t="array" ref="BT61">IF(BQ61="","", IFERROR(((IF(BQ$5&lt;&gt;"", BQ$5*BI$5, 0) + SUMPRODUCT(--(BQ$6:BQ61&lt;&gt;""), BQ$6:BQ61, (BI$6:BI61-BI$5:BI60)))/1000), ""))</f>
        <v/>
      </c>
      <c r="BU61" s="1">
        <f>BU60+20</f>
        <v/>
      </c>
      <c r="BV61" s="1">
        <f>BW60</f>
        <v/>
      </c>
      <c r="BY61" t="inlineStr">
        <is>
          <t>60mL/3s/30s</t>
        </is>
      </c>
      <c r="CC61" s="1">
        <f>IF(BW61="", "", (BV61-BW61)*1000/(BU61-BU60))</f>
        <v/>
      </c>
      <c r="CD61" s="1">
        <f>IF(CC61="","",CC61/BZ$2/3)</f>
        <v/>
      </c>
      <c r="CE61" s="1">
        <f>IF(CC61="","", 100*_xlfn.STDEV.P(CC60:CC61)/AVERAGE(CC60:CC61))</f>
        <v/>
      </c>
      <c r="CF61" s="8">
        <f t="array" ref="CF61">IF(CC61="","", IFERROR(((IF(CC$5&lt;&gt;"", CC$5*BU$5, 0) + SUMPRODUCT(--(CC$6:CC61&lt;&gt;""), CC$6:CC61, (BU$6:BU61-BU$5:BU60)))/1000), ""))</f>
        <v/>
      </c>
      <c r="CG61" s="1">
        <f>CG60+20</f>
        <v/>
      </c>
      <c r="CH61" s="1">
        <f>CI60</f>
        <v/>
      </c>
      <c r="CK61" t="inlineStr">
        <is>
          <t>60mL/3s/30s</t>
        </is>
      </c>
      <c r="CO61" s="1">
        <f>IF(CI61="", "", (CH61-CI61)*1000/(CG61-CG60))</f>
        <v/>
      </c>
      <c r="CP61" s="1">
        <f>IF(CO61="","",CO61/CL$2/3)</f>
        <v/>
      </c>
      <c r="CQ61" s="1">
        <f>IF(CO61="","", 100*_xlfn.STDEV.P(CO60:CO61)/AVERAGE(CO60:CO61))</f>
        <v/>
      </c>
      <c r="CR61" s="8">
        <f t="array" ref="CR61">IF(CO61="","", IFERROR(((IF(CO$5&lt;&gt;"", CO$5*CG$5, 0) + SUMPRODUCT(--(CO$6:CO61&lt;&gt;""), CO$6:CO61, (CG$6:CG61-CG$5:CG60)))/1000), ""))</f>
        <v/>
      </c>
    </row>
    <row r="62">
      <c r="A62" s="1">
        <f>A61+20</f>
        <v/>
      </c>
      <c r="B62" s="1">
        <f>C61</f>
        <v/>
      </c>
      <c r="E62" t="inlineStr">
        <is>
          <t>60mL/3s/30s</t>
        </is>
      </c>
      <c r="I62" s="1">
        <f>IF(C62="", "", (B62-C62)*1000/(A62-A61))</f>
        <v/>
      </c>
      <c r="J62" s="1">
        <f>IF(I62="","",I62/F$2/3)</f>
        <v/>
      </c>
      <c r="K62" s="1">
        <f>IF(I62="","", 100*_xlfn.STDEV.P(I61:I62)/AVERAGE(I61:I62))</f>
        <v/>
      </c>
      <c r="L62" s="8">
        <f t="array" ref="L62">IF(I62="","", IFERROR(((IF(I$5&lt;&gt;"", I$5*A$5, 0) + SUMPRODUCT(--(I$6:I62&lt;&gt;""), I$6:I62, (A$6:A62-A$5:A61)))/1000), ""))</f>
        <v/>
      </c>
      <c r="M62" s="1">
        <f>M61+20</f>
        <v/>
      </c>
      <c r="N62" s="1">
        <f>O61</f>
        <v/>
      </c>
      <c r="Q62" t="inlineStr">
        <is>
          <t>60mL/3s/30s</t>
        </is>
      </c>
      <c r="U62" s="1">
        <f>IF(O62="", "", (N62-O62)*1000/(M62-M61))</f>
        <v/>
      </c>
      <c r="V62" s="1">
        <f>IF(U62="","",U62/R$2/3)</f>
        <v/>
      </c>
      <c r="W62" s="1">
        <f>IF(U62="","", 100*_xlfn.STDEV.P(U61:U62)/AVERAGE(U61:U62))</f>
        <v/>
      </c>
      <c r="X62" s="8">
        <f t="array" ref="X62">IF(U62="","", IFERROR(((IF(U$5&lt;&gt;"", U$5*M$5, 0) + SUMPRODUCT(--(U$6:U62&lt;&gt;""), U$6:U62, (M$6:M62-M$5:M61)))/1000), ""))</f>
        <v/>
      </c>
      <c r="Y62" s="1">
        <f>Y61+20</f>
        <v/>
      </c>
      <c r="Z62" s="1">
        <f>AA61</f>
        <v/>
      </c>
      <c r="AC62" t="inlineStr">
        <is>
          <t>60mL/3s/30s</t>
        </is>
      </c>
      <c r="AG62" s="1">
        <f>IF(AA62="", "", (Z62-AA62)*1000/(Y62-Y61))</f>
        <v/>
      </c>
      <c r="AH62" s="1">
        <f>IF(AG62="","",AG62/AD$2/3)</f>
        <v/>
      </c>
      <c r="AI62" s="1">
        <f>IF(AG62="","", 100*_xlfn.STDEV.P(AG61:AG62)/AVERAGE(AG61:AG62))</f>
        <v/>
      </c>
      <c r="AJ62" s="8">
        <f t="array" ref="AJ62">IF(AG62="","", IFERROR(((IF(AG$5&lt;&gt;"", AG$5*Y$5, 0) + SUMPRODUCT(--(AG$6:AG62&lt;&gt;""), AG$6:AG62, (Y$6:Y62-Y$5:Y61)))/1000), ""))</f>
        <v/>
      </c>
      <c r="AK62" s="1">
        <f>AK61+20</f>
        <v/>
      </c>
      <c r="AL62" s="1">
        <f>AM61</f>
        <v/>
      </c>
      <c r="AO62" t="inlineStr">
        <is>
          <t>60mL/3s/30s</t>
        </is>
      </c>
      <c r="AS62" s="1">
        <f>IF(AM62="", "", (AL62-AM62)*1000/(AK62-AK61))</f>
        <v/>
      </c>
      <c r="AT62" s="1">
        <f>IF(AS62="","",AS62/AP$2/3)</f>
        <v/>
      </c>
      <c r="AU62" s="1">
        <f>IF(AS62="","", 100*_xlfn.STDEV.P(AS61:AS62)/AVERAGE(AS61:AS62))</f>
        <v/>
      </c>
      <c r="AV62" s="8">
        <f t="array" ref="AV62">IF(AS62="","", IFERROR(((IF(AS$5&lt;&gt;"", AS$5*AK$5, 0) + SUMPRODUCT(--(AS$6:AS62&lt;&gt;""), AS$6:AS62, (AK$6:AK62-AK$5:AK61)))/1000), ""))</f>
        <v/>
      </c>
      <c r="AW62" s="1">
        <f>AW61+20</f>
        <v/>
      </c>
      <c r="AX62" s="1">
        <f>AY61</f>
        <v/>
      </c>
      <c r="BA62" t="inlineStr">
        <is>
          <t>60mL/3s/30s</t>
        </is>
      </c>
      <c r="BE62" s="1">
        <f>IF(AY62="", "", (AX62-AY62)*1000/(AW62-AW61))</f>
        <v/>
      </c>
      <c r="BF62" s="1">
        <f>IF(BE62="","",BE62/BB$2/3)</f>
        <v/>
      </c>
      <c r="BG62" s="1">
        <f>IF(BE62="","", 100*_xlfn.STDEV.P(BE61:BE62)/AVERAGE(BE61:BE62))</f>
        <v/>
      </c>
      <c r="BH62" s="8">
        <f t="array" ref="BH62">IF(BE62="","", IFERROR(((IF(BE$5&lt;&gt;"", BE$5*AW$5, 0) + SUMPRODUCT(--(BE$6:BE62&lt;&gt;""), BE$6:BE62, (AW$6:AW62-AW$5:AW61)))/1000), ""))</f>
        <v/>
      </c>
      <c r="BI62" s="1">
        <f>BI61+20</f>
        <v/>
      </c>
      <c r="BJ62" s="1">
        <f>BK61</f>
        <v/>
      </c>
      <c r="BM62" t="inlineStr">
        <is>
          <t>60mL/3s/30s</t>
        </is>
      </c>
      <c r="BQ62" s="1">
        <f>IF(BK62="", "", (BJ62-BK62)*1000/(BI62-BI61))</f>
        <v/>
      </c>
      <c r="BR62" s="1">
        <f>IF(BQ62="","",BQ62/BN$2/3)</f>
        <v/>
      </c>
      <c r="BS62" s="1">
        <f>IF(BQ62="","", 100*_xlfn.STDEV.P(BQ61:BQ62)/AVERAGE(BQ61:BQ62))</f>
        <v/>
      </c>
      <c r="BT62" s="8">
        <f t="array" ref="BT62">IF(BQ62="","", IFERROR(((IF(BQ$5&lt;&gt;"", BQ$5*BI$5, 0) + SUMPRODUCT(--(BQ$6:BQ62&lt;&gt;""), BQ$6:BQ62, (BI$6:BI62-BI$5:BI61)))/1000), ""))</f>
        <v/>
      </c>
      <c r="BU62" s="1">
        <f>BU61+20</f>
        <v/>
      </c>
      <c r="BV62" s="1">
        <f>BW61</f>
        <v/>
      </c>
      <c r="BY62" t="inlineStr">
        <is>
          <t>60mL/3s/30s</t>
        </is>
      </c>
      <c r="CC62" s="1">
        <f>IF(BW62="", "", (BV62-BW62)*1000/(BU62-BU61))</f>
        <v/>
      </c>
      <c r="CD62" s="1">
        <f>IF(CC62="","",CC62/BZ$2/3)</f>
        <v/>
      </c>
      <c r="CE62" s="1">
        <f>IF(CC62="","", 100*_xlfn.STDEV.P(CC61:CC62)/AVERAGE(CC61:CC62))</f>
        <v/>
      </c>
      <c r="CF62" s="8">
        <f t="array" ref="CF62">IF(CC62="","", IFERROR(((IF(CC$5&lt;&gt;"", CC$5*BU$5, 0) + SUMPRODUCT(--(CC$6:CC62&lt;&gt;""), CC$6:CC62, (BU$6:BU62-BU$5:BU61)))/1000), ""))</f>
        <v/>
      </c>
      <c r="CG62" s="1">
        <f>CG61+20</f>
        <v/>
      </c>
      <c r="CH62" s="1">
        <f>CI61</f>
        <v/>
      </c>
      <c r="CK62" t="inlineStr">
        <is>
          <t>60mL/3s/30s</t>
        </is>
      </c>
      <c r="CO62" s="1">
        <f>IF(CI62="", "", (CH62-CI62)*1000/(CG62-CG61))</f>
        <v/>
      </c>
      <c r="CP62" s="1">
        <f>IF(CO62="","",CO62/CL$2/3)</f>
        <v/>
      </c>
      <c r="CQ62" s="1">
        <f>IF(CO62="","", 100*_xlfn.STDEV.P(CO61:CO62)/AVERAGE(CO61:CO62))</f>
        <v/>
      </c>
      <c r="CR62" s="8">
        <f t="array" ref="CR62">IF(CO62="","", IFERROR(((IF(CO$5&lt;&gt;"", CO$5*CG$5, 0) + SUMPRODUCT(--(CO$6:CO62&lt;&gt;""), CO$6:CO62, (CG$6:CG62-CG$5:CG61)))/1000), ""))</f>
        <v/>
      </c>
    </row>
    <row r="63">
      <c r="A63" s="1">
        <f>A62+20</f>
        <v/>
      </c>
      <c r="B63" s="1">
        <f>C62</f>
        <v/>
      </c>
      <c r="E63" t="inlineStr">
        <is>
          <t>60mL/3s/30s</t>
        </is>
      </c>
      <c r="I63" s="1">
        <f>IF(C63="", "", (B63-C63)*1000/(A63-A62))</f>
        <v/>
      </c>
      <c r="J63" s="1">
        <f>IF(I63="","",I63/F$2/3)</f>
        <v/>
      </c>
      <c r="K63" s="1">
        <f>IF(I63="","", 100*_xlfn.STDEV.P(I62:I63)/AVERAGE(I62:I63))</f>
        <v/>
      </c>
      <c r="L63" s="8">
        <f t="array" ref="L63">IF(I63="","", IFERROR(((IF(I$5&lt;&gt;"", I$5*A$5, 0) + SUMPRODUCT(--(I$6:I63&lt;&gt;""), I$6:I63, (A$6:A63-A$5:A62)))/1000), ""))</f>
        <v/>
      </c>
      <c r="M63" s="1">
        <f>M62+20</f>
        <v/>
      </c>
      <c r="N63" s="1">
        <f>O62</f>
        <v/>
      </c>
      <c r="Q63" t="inlineStr">
        <is>
          <t>60mL/3s/30s</t>
        </is>
      </c>
      <c r="U63" s="1">
        <f>IF(O63="", "", (N63-O63)*1000/(M63-M62))</f>
        <v/>
      </c>
      <c r="V63" s="1">
        <f>IF(U63="","",U63/R$2/3)</f>
        <v/>
      </c>
      <c r="W63" s="1">
        <f>IF(U63="","", 100*_xlfn.STDEV.P(U62:U63)/AVERAGE(U62:U63))</f>
        <v/>
      </c>
      <c r="X63" s="8">
        <f t="array" ref="X63">IF(U63="","", IFERROR(((IF(U$5&lt;&gt;"", U$5*M$5, 0) + SUMPRODUCT(--(U$6:U63&lt;&gt;""), U$6:U63, (M$6:M63-M$5:M62)))/1000), ""))</f>
        <v/>
      </c>
      <c r="Y63" s="1">
        <f>Y62+20</f>
        <v/>
      </c>
      <c r="Z63" s="1">
        <f>AA62</f>
        <v/>
      </c>
      <c r="AC63" t="inlineStr">
        <is>
          <t>60mL/3s/30s</t>
        </is>
      </c>
      <c r="AG63" s="1">
        <f>IF(AA63="", "", (Z63-AA63)*1000/(Y63-Y62))</f>
        <v/>
      </c>
      <c r="AH63" s="1">
        <f>IF(AG63="","",AG63/AD$2/3)</f>
        <v/>
      </c>
      <c r="AI63" s="1">
        <f>IF(AG63="","", 100*_xlfn.STDEV.P(AG62:AG63)/AVERAGE(AG62:AG63))</f>
        <v/>
      </c>
      <c r="AJ63" s="8">
        <f t="array" ref="AJ63">IF(AG63="","", IFERROR(((IF(AG$5&lt;&gt;"", AG$5*Y$5, 0) + SUMPRODUCT(--(AG$6:AG63&lt;&gt;""), AG$6:AG63, (Y$6:Y63-Y$5:Y62)))/1000), ""))</f>
        <v/>
      </c>
      <c r="AK63" s="1">
        <f>AK62+20</f>
        <v/>
      </c>
      <c r="AL63" s="1">
        <f>AM62</f>
        <v/>
      </c>
      <c r="AO63" t="inlineStr">
        <is>
          <t>60mL/3s/30s</t>
        </is>
      </c>
      <c r="AS63" s="1">
        <f>IF(AM63="", "", (AL63-AM63)*1000/(AK63-AK62))</f>
        <v/>
      </c>
      <c r="AT63" s="1">
        <f>IF(AS63="","",AS63/AP$2/3)</f>
        <v/>
      </c>
      <c r="AU63" s="1">
        <f>IF(AS63="","", 100*_xlfn.STDEV.P(AS62:AS63)/AVERAGE(AS62:AS63))</f>
        <v/>
      </c>
      <c r="AV63" s="8">
        <f t="array" ref="AV63">IF(AS63="","", IFERROR(((IF(AS$5&lt;&gt;"", AS$5*AK$5, 0) + SUMPRODUCT(--(AS$6:AS63&lt;&gt;""), AS$6:AS63, (AK$6:AK63-AK$5:AK62)))/1000), ""))</f>
        <v/>
      </c>
      <c r="AW63" s="1">
        <f>AW62+20</f>
        <v/>
      </c>
      <c r="AX63" s="1">
        <f>AY62</f>
        <v/>
      </c>
      <c r="BA63" t="inlineStr">
        <is>
          <t>60mL/3s/30s</t>
        </is>
      </c>
      <c r="BE63" s="1">
        <f>IF(AY63="", "", (AX63-AY63)*1000/(AW63-AW62))</f>
        <v/>
      </c>
      <c r="BF63" s="1">
        <f>IF(BE63="","",BE63/BB$2/3)</f>
        <v/>
      </c>
      <c r="BG63" s="1">
        <f>IF(BE63="","", 100*_xlfn.STDEV.P(BE62:BE63)/AVERAGE(BE62:BE63))</f>
        <v/>
      </c>
      <c r="BH63" s="8">
        <f t="array" ref="BH63">IF(BE63="","", IFERROR(((IF(BE$5&lt;&gt;"", BE$5*AW$5, 0) + SUMPRODUCT(--(BE$6:BE63&lt;&gt;""), BE$6:BE63, (AW$6:AW63-AW$5:AW62)))/1000), ""))</f>
        <v/>
      </c>
      <c r="BI63" s="1">
        <f>BI62+20</f>
        <v/>
      </c>
      <c r="BJ63" s="1">
        <f>BK62</f>
        <v/>
      </c>
      <c r="BM63" t="inlineStr">
        <is>
          <t>60mL/3s/30s</t>
        </is>
      </c>
      <c r="BQ63" s="1">
        <f>IF(BK63="", "", (BJ63-BK63)*1000/(BI63-BI62))</f>
        <v/>
      </c>
      <c r="BR63" s="1">
        <f>IF(BQ63="","",BQ63/BN$2/3)</f>
        <v/>
      </c>
      <c r="BS63" s="1">
        <f>IF(BQ63="","", 100*_xlfn.STDEV.P(BQ62:BQ63)/AVERAGE(BQ62:BQ63))</f>
        <v/>
      </c>
      <c r="BT63" s="8">
        <f t="array" ref="BT63">IF(BQ63="","", IFERROR(((IF(BQ$5&lt;&gt;"", BQ$5*BI$5, 0) + SUMPRODUCT(--(BQ$6:BQ63&lt;&gt;""), BQ$6:BQ63, (BI$6:BI63-BI$5:BI62)))/1000), ""))</f>
        <v/>
      </c>
      <c r="BU63" s="1">
        <f>BU62+20</f>
        <v/>
      </c>
      <c r="BV63" s="1">
        <f>BW62</f>
        <v/>
      </c>
      <c r="BY63" t="inlineStr">
        <is>
          <t>60mL/3s/30s</t>
        </is>
      </c>
      <c r="CC63" s="1">
        <f>IF(BW63="", "", (BV63-BW63)*1000/(BU63-BU62))</f>
        <v/>
      </c>
      <c r="CD63" s="1">
        <f>IF(CC63="","",CC63/BZ$2/3)</f>
        <v/>
      </c>
      <c r="CE63" s="1">
        <f>IF(CC63="","", 100*_xlfn.STDEV.P(CC62:CC63)/AVERAGE(CC62:CC63))</f>
        <v/>
      </c>
      <c r="CF63" s="8">
        <f t="array" ref="CF63">IF(CC63="","", IFERROR(((IF(CC$5&lt;&gt;"", CC$5*BU$5, 0) + SUMPRODUCT(--(CC$6:CC63&lt;&gt;""), CC$6:CC63, (BU$6:BU63-BU$5:BU62)))/1000), ""))</f>
        <v/>
      </c>
      <c r="CG63" s="1">
        <f>CG62+20</f>
        <v/>
      </c>
      <c r="CH63" s="1">
        <f>CI62</f>
        <v/>
      </c>
      <c r="CK63" t="inlineStr">
        <is>
          <t>60mL/3s/30s</t>
        </is>
      </c>
      <c r="CO63" s="1">
        <f>IF(CI63="", "", (CH63-CI63)*1000/(CG63-CG62))</f>
        <v/>
      </c>
      <c r="CP63" s="1">
        <f>IF(CO63="","",CO63/CL$2/3)</f>
        <v/>
      </c>
      <c r="CQ63" s="1">
        <f>IF(CO63="","", 100*_xlfn.STDEV.P(CO62:CO63)/AVERAGE(CO62:CO63))</f>
        <v/>
      </c>
      <c r="CR63" s="8">
        <f t="array" ref="CR63">IF(CO63="","", IFERROR(((IF(CO$5&lt;&gt;"", CO$5*CG$5, 0) + SUMPRODUCT(--(CO$6:CO63&lt;&gt;""), CO$6:CO63, (CG$6:CG63-CG$5:CG62)))/1000), ""))</f>
        <v/>
      </c>
    </row>
    <row r="64">
      <c r="A64" s="1">
        <f>A63+20</f>
        <v/>
      </c>
      <c r="B64" s="1">
        <f>C63</f>
        <v/>
      </c>
      <c r="E64" t="inlineStr">
        <is>
          <t>60mL/3s/30s</t>
        </is>
      </c>
      <c r="I64" s="1">
        <f>IF(C64="", "", (B64-C64)*1000/(A64-A63))</f>
        <v/>
      </c>
      <c r="J64" s="1">
        <f>IF(I64="","",I64/F$2/3)</f>
        <v/>
      </c>
      <c r="K64" s="1">
        <f>IF(I64="","", 100*_xlfn.STDEV.P(I63:I64)/AVERAGE(I63:I64))</f>
        <v/>
      </c>
      <c r="L64" s="8">
        <f t="array" ref="L64">IF(I64="","", IFERROR(((IF(I$5&lt;&gt;"", I$5*A$5, 0) + SUMPRODUCT(--(I$6:I64&lt;&gt;""), I$6:I64, (A$6:A64-A$5:A63)))/1000), ""))</f>
        <v/>
      </c>
      <c r="M64" s="1">
        <f>M63+20</f>
        <v/>
      </c>
      <c r="N64" s="1">
        <f>O63</f>
        <v/>
      </c>
      <c r="Q64" t="inlineStr">
        <is>
          <t>60mL/3s/30s</t>
        </is>
      </c>
      <c r="U64" s="1">
        <f>IF(O64="", "", (N64-O64)*1000/(M64-M63))</f>
        <v/>
      </c>
      <c r="V64" s="1">
        <f>IF(U64="","",U64/R$2/3)</f>
        <v/>
      </c>
      <c r="W64" s="1">
        <f>IF(U64="","", 100*_xlfn.STDEV.P(U63:U64)/AVERAGE(U63:U64))</f>
        <v/>
      </c>
      <c r="X64" s="8">
        <f t="array" ref="X64">IF(U64="","", IFERROR(((IF(U$5&lt;&gt;"", U$5*M$5, 0) + SUMPRODUCT(--(U$6:U64&lt;&gt;""), U$6:U64, (M$6:M64-M$5:M63)))/1000), ""))</f>
        <v/>
      </c>
      <c r="Y64" s="1">
        <f>Y63+20</f>
        <v/>
      </c>
      <c r="Z64" s="1">
        <f>AA63</f>
        <v/>
      </c>
      <c r="AC64" t="inlineStr">
        <is>
          <t>60mL/3s/30s</t>
        </is>
      </c>
      <c r="AG64" s="1">
        <f>IF(AA64="", "", (Z64-AA64)*1000/(Y64-Y63))</f>
        <v/>
      </c>
      <c r="AH64" s="1">
        <f>IF(AG64="","",AG64/AD$2/3)</f>
        <v/>
      </c>
      <c r="AI64" s="1">
        <f>IF(AG64="","", 100*_xlfn.STDEV.P(AG63:AG64)/AVERAGE(AG63:AG64))</f>
        <v/>
      </c>
      <c r="AJ64" s="8">
        <f t="array" ref="AJ64">IF(AG64="","", IFERROR(((IF(AG$5&lt;&gt;"", AG$5*Y$5, 0) + SUMPRODUCT(--(AG$6:AG64&lt;&gt;""), AG$6:AG64, (Y$6:Y64-Y$5:Y63)))/1000), ""))</f>
        <v/>
      </c>
      <c r="AK64" s="1">
        <f>AK63+20</f>
        <v/>
      </c>
      <c r="AL64" s="1">
        <f>AM63</f>
        <v/>
      </c>
      <c r="AO64" t="inlineStr">
        <is>
          <t>60mL/3s/30s</t>
        </is>
      </c>
      <c r="AS64" s="1">
        <f>IF(AM64="", "", (AL64-AM64)*1000/(AK64-AK63))</f>
        <v/>
      </c>
      <c r="AT64" s="1">
        <f>IF(AS64="","",AS64/AP$2/3)</f>
        <v/>
      </c>
      <c r="AU64" s="1">
        <f>IF(AS64="","", 100*_xlfn.STDEV.P(AS63:AS64)/AVERAGE(AS63:AS64))</f>
        <v/>
      </c>
      <c r="AV64" s="8">
        <f t="array" ref="AV64">IF(AS64="","", IFERROR(((IF(AS$5&lt;&gt;"", AS$5*AK$5, 0) + SUMPRODUCT(--(AS$6:AS64&lt;&gt;""), AS$6:AS64, (AK$6:AK64-AK$5:AK63)))/1000), ""))</f>
        <v/>
      </c>
      <c r="AW64" s="1">
        <f>AW63+20</f>
        <v/>
      </c>
      <c r="AX64" s="1">
        <f>AY63</f>
        <v/>
      </c>
      <c r="BA64" t="inlineStr">
        <is>
          <t>60mL/3s/30s</t>
        </is>
      </c>
      <c r="BE64" s="1">
        <f>IF(AY64="", "", (AX64-AY64)*1000/(AW64-AW63))</f>
        <v/>
      </c>
      <c r="BF64" s="1">
        <f>IF(BE64="","",BE64/BB$2/3)</f>
        <v/>
      </c>
      <c r="BG64" s="1">
        <f>IF(BE64="","", 100*_xlfn.STDEV.P(BE63:BE64)/AVERAGE(BE63:BE64))</f>
        <v/>
      </c>
      <c r="BH64" s="8">
        <f t="array" ref="BH64">IF(BE64="","", IFERROR(((IF(BE$5&lt;&gt;"", BE$5*AW$5, 0) + SUMPRODUCT(--(BE$6:BE64&lt;&gt;""), BE$6:BE64, (AW$6:AW64-AW$5:AW63)))/1000), ""))</f>
        <v/>
      </c>
      <c r="BI64" s="1">
        <f>BI63+20</f>
        <v/>
      </c>
      <c r="BJ64" s="1">
        <f>BK63</f>
        <v/>
      </c>
      <c r="BM64" t="inlineStr">
        <is>
          <t>60mL/3s/30s</t>
        </is>
      </c>
      <c r="BQ64" s="1">
        <f>IF(BK64="", "", (BJ64-BK64)*1000/(BI64-BI63))</f>
        <v/>
      </c>
      <c r="BR64" s="1">
        <f>IF(BQ64="","",BQ64/BN$2/3)</f>
        <v/>
      </c>
      <c r="BS64" s="1">
        <f>IF(BQ64="","", 100*_xlfn.STDEV.P(BQ63:BQ64)/AVERAGE(BQ63:BQ64))</f>
        <v/>
      </c>
      <c r="BT64" s="8">
        <f t="array" ref="BT64">IF(BQ64="","", IFERROR(((IF(BQ$5&lt;&gt;"", BQ$5*BI$5, 0) + SUMPRODUCT(--(BQ$6:BQ64&lt;&gt;""), BQ$6:BQ64, (BI$6:BI64-BI$5:BI63)))/1000), ""))</f>
        <v/>
      </c>
      <c r="BU64" s="1">
        <f>BU63+20</f>
        <v/>
      </c>
      <c r="BV64" s="1">
        <f>BW63</f>
        <v/>
      </c>
      <c r="BY64" t="inlineStr">
        <is>
          <t>60mL/3s/30s</t>
        </is>
      </c>
      <c r="CC64" s="1">
        <f>IF(BW64="", "", (BV64-BW64)*1000/(BU64-BU63))</f>
        <v/>
      </c>
      <c r="CD64" s="1">
        <f>IF(CC64="","",CC64/BZ$2/3)</f>
        <v/>
      </c>
      <c r="CE64" s="1">
        <f>IF(CC64="","", 100*_xlfn.STDEV.P(CC63:CC64)/AVERAGE(CC63:CC64))</f>
        <v/>
      </c>
      <c r="CF64" s="8">
        <f t="array" ref="CF64">IF(CC64="","", IFERROR(((IF(CC$5&lt;&gt;"", CC$5*BU$5, 0) + SUMPRODUCT(--(CC$6:CC64&lt;&gt;""), CC$6:CC64, (BU$6:BU64-BU$5:BU63)))/1000), ""))</f>
        <v/>
      </c>
      <c r="CG64" s="1">
        <f>CG63+20</f>
        <v/>
      </c>
      <c r="CH64" s="1">
        <f>CI63</f>
        <v/>
      </c>
      <c r="CK64" t="inlineStr">
        <is>
          <t>60mL/3s/30s</t>
        </is>
      </c>
      <c r="CO64" s="1">
        <f>IF(CI64="", "", (CH64-CI64)*1000/(CG64-CG63))</f>
        <v/>
      </c>
      <c r="CP64" s="1">
        <f>IF(CO64="","",CO64/CL$2/3)</f>
        <v/>
      </c>
      <c r="CQ64" s="1">
        <f>IF(CO64="","", 100*_xlfn.STDEV.P(CO63:CO64)/AVERAGE(CO63:CO64))</f>
        <v/>
      </c>
      <c r="CR64" s="8">
        <f t="array" ref="CR64">IF(CO64="","", IFERROR(((IF(CO$5&lt;&gt;"", CO$5*CG$5, 0) + SUMPRODUCT(--(CO$6:CO64&lt;&gt;""), CO$6:CO64, (CG$6:CG64-CG$5:CG63)))/1000), ""))</f>
        <v/>
      </c>
    </row>
    <row r="65">
      <c r="A65" s="1">
        <f>A64+20</f>
        <v/>
      </c>
      <c r="B65" s="1">
        <f>C64</f>
        <v/>
      </c>
      <c r="E65" t="inlineStr">
        <is>
          <t>60mL/3s/30s</t>
        </is>
      </c>
      <c r="I65" s="1">
        <f>IF(C65="", "", (B65-C65)*1000/(A65-A64))</f>
        <v/>
      </c>
      <c r="J65" s="1">
        <f>IF(I65="","",I65/F$2/3)</f>
        <v/>
      </c>
      <c r="K65" s="1">
        <f>IF(I65="","", 100*_xlfn.STDEV.P(I64:I65)/AVERAGE(I64:I65))</f>
        <v/>
      </c>
      <c r="L65" s="8">
        <f t="array" ref="L65">IF(I65="","", IFERROR(((IF(I$5&lt;&gt;"", I$5*A$5, 0) + SUMPRODUCT(--(I$6:I65&lt;&gt;""), I$6:I65, (A$6:A65-A$5:A64)))/1000), ""))</f>
        <v/>
      </c>
      <c r="M65" s="1">
        <f>M64+20</f>
        <v/>
      </c>
      <c r="N65" s="1">
        <f>O64</f>
        <v/>
      </c>
      <c r="Q65" t="inlineStr">
        <is>
          <t>60mL/3s/30s</t>
        </is>
      </c>
      <c r="U65" s="1">
        <f>IF(O65="", "", (N65-O65)*1000/(M65-M64))</f>
        <v/>
      </c>
      <c r="V65" s="1">
        <f>IF(U65="","",U65/R$2/3)</f>
        <v/>
      </c>
      <c r="W65" s="1">
        <f>IF(U65="","", 100*_xlfn.STDEV.P(U64:U65)/AVERAGE(U64:U65))</f>
        <v/>
      </c>
      <c r="X65" s="8">
        <f t="array" ref="X65">IF(U65="","", IFERROR(((IF(U$5&lt;&gt;"", U$5*M$5, 0) + SUMPRODUCT(--(U$6:U65&lt;&gt;""), U$6:U65, (M$6:M65-M$5:M64)))/1000), ""))</f>
        <v/>
      </c>
      <c r="Y65" s="1">
        <f>Y64+20</f>
        <v/>
      </c>
      <c r="Z65" s="1">
        <f>AA64</f>
        <v/>
      </c>
      <c r="AC65" t="inlineStr">
        <is>
          <t>60mL/3s/30s</t>
        </is>
      </c>
      <c r="AG65" s="1">
        <f>IF(AA65="", "", (Z65-AA65)*1000/(Y65-Y64))</f>
        <v/>
      </c>
      <c r="AH65" s="1">
        <f>IF(AG65="","",AG65/AD$2/3)</f>
        <v/>
      </c>
      <c r="AI65" s="1">
        <f>IF(AG65="","", 100*_xlfn.STDEV.P(AG64:AG65)/AVERAGE(AG64:AG65))</f>
        <v/>
      </c>
      <c r="AJ65" s="8">
        <f t="array" ref="AJ65">IF(AG65="","", IFERROR(((IF(AG$5&lt;&gt;"", AG$5*Y$5, 0) + SUMPRODUCT(--(AG$6:AG65&lt;&gt;""), AG$6:AG65, (Y$6:Y65-Y$5:Y64)))/1000), ""))</f>
        <v/>
      </c>
      <c r="AK65" s="1">
        <f>AK64+20</f>
        <v/>
      </c>
      <c r="AL65" s="1">
        <f>AM64</f>
        <v/>
      </c>
      <c r="AO65" t="inlineStr">
        <is>
          <t>60mL/3s/30s</t>
        </is>
      </c>
      <c r="AS65" s="1">
        <f>IF(AM65="", "", (AL65-AM65)*1000/(AK65-AK64))</f>
        <v/>
      </c>
      <c r="AT65" s="1">
        <f>IF(AS65="","",AS65/AP$2/3)</f>
        <v/>
      </c>
      <c r="AU65" s="1">
        <f>IF(AS65="","", 100*_xlfn.STDEV.P(AS64:AS65)/AVERAGE(AS64:AS65))</f>
        <v/>
      </c>
      <c r="AV65" s="8">
        <f t="array" ref="AV65">IF(AS65="","", IFERROR(((IF(AS$5&lt;&gt;"", AS$5*AK$5, 0) + SUMPRODUCT(--(AS$6:AS65&lt;&gt;""), AS$6:AS65, (AK$6:AK65-AK$5:AK64)))/1000), ""))</f>
        <v/>
      </c>
      <c r="AW65" s="1">
        <f>AW64+20</f>
        <v/>
      </c>
      <c r="AX65" s="1">
        <f>AY64</f>
        <v/>
      </c>
      <c r="BA65" t="inlineStr">
        <is>
          <t>60mL/3s/30s</t>
        </is>
      </c>
      <c r="BE65" s="1">
        <f>IF(AY65="", "", (AX65-AY65)*1000/(AW65-AW64))</f>
        <v/>
      </c>
      <c r="BF65" s="1">
        <f>IF(BE65="","",BE65/BB$2/3)</f>
        <v/>
      </c>
      <c r="BG65" s="1">
        <f>IF(BE65="","", 100*_xlfn.STDEV.P(BE64:BE65)/AVERAGE(BE64:BE65))</f>
        <v/>
      </c>
      <c r="BH65" s="8">
        <f t="array" ref="BH65">IF(BE65="","", IFERROR(((IF(BE$5&lt;&gt;"", BE$5*AW$5, 0) + SUMPRODUCT(--(BE$6:BE65&lt;&gt;""), BE$6:BE65, (AW$6:AW65-AW$5:AW64)))/1000), ""))</f>
        <v/>
      </c>
      <c r="BI65" s="1">
        <f>BI64+20</f>
        <v/>
      </c>
      <c r="BJ65" s="1">
        <f>BK64</f>
        <v/>
      </c>
      <c r="BM65" t="inlineStr">
        <is>
          <t>60mL/3s/30s</t>
        </is>
      </c>
      <c r="BQ65" s="1">
        <f>IF(BK65="", "", (BJ65-BK65)*1000/(BI65-BI64))</f>
        <v/>
      </c>
      <c r="BR65" s="1">
        <f>IF(BQ65="","",BQ65/BN$2/3)</f>
        <v/>
      </c>
      <c r="BS65" s="1">
        <f>IF(BQ65="","", 100*_xlfn.STDEV.P(BQ64:BQ65)/AVERAGE(BQ64:BQ65))</f>
        <v/>
      </c>
      <c r="BT65" s="8">
        <f t="array" ref="BT65">IF(BQ65="","", IFERROR(((IF(BQ$5&lt;&gt;"", BQ$5*BI$5, 0) + SUMPRODUCT(--(BQ$6:BQ65&lt;&gt;""), BQ$6:BQ65, (BI$6:BI65-BI$5:BI64)))/1000), ""))</f>
        <v/>
      </c>
      <c r="BU65" s="1">
        <f>BU64+20</f>
        <v/>
      </c>
      <c r="BV65" s="1">
        <f>BW64</f>
        <v/>
      </c>
      <c r="BY65" t="inlineStr">
        <is>
          <t>60mL/3s/30s</t>
        </is>
      </c>
      <c r="CC65" s="1">
        <f>IF(BW65="", "", (BV65-BW65)*1000/(BU65-BU64))</f>
        <v/>
      </c>
      <c r="CD65" s="1">
        <f>IF(CC65="","",CC65/BZ$2/3)</f>
        <v/>
      </c>
      <c r="CE65" s="1">
        <f>IF(CC65="","", 100*_xlfn.STDEV.P(CC64:CC65)/AVERAGE(CC64:CC65))</f>
        <v/>
      </c>
      <c r="CF65" s="8">
        <f t="array" ref="CF65">IF(CC65="","", IFERROR(((IF(CC$5&lt;&gt;"", CC$5*BU$5, 0) + SUMPRODUCT(--(CC$6:CC65&lt;&gt;""), CC$6:CC65, (BU$6:BU65-BU$5:BU64)))/1000), ""))</f>
        <v/>
      </c>
      <c r="CG65" s="1">
        <f>CG64+20</f>
        <v/>
      </c>
      <c r="CH65" s="1">
        <f>CI64</f>
        <v/>
      </c>
      <c r="CK65" t="inlineStr">
        <is>
          <t>60mL/3s/30s</t>
        </is>
      </c>
      <c r="CO65" s="1">
        <f>IF(CI65="", "", (CH65-CI65)*1000/(CG65-CG64))</f>
        <v/>
      </c>
      <c r="CP65" s="1">
        <f>IF(CO65="","",CO65/CL$2/3)</f>
        <v/>
      </c>
      <c r="CQ65" s="1">
        <f>IF(CO65="","", 100*_xlfn.STDEV.P(CO64:CO65)/AVERAGE(CO64:CO65))</f>
        <v/>
      </c>
      <c r="CR65" s="8">
        <f t="array" ref="CR65">IF(CO65="","", IFERROR(((IF(CO$5&lt;&gt;"", CO$5*CG$5, 0) + SUMPRODUCT(--(CO$6:CO65&lt;&gt;""), CO$6:CO65, (CG$6:CG65-CG$5:CG64)))/1000), ""))</f>
        <v/>
      </c>
    </row>
    <row r="66">
      <c r="A66" s="1">
        <f>A65+20</f>
        <v/>
      </c>
      <c r="B66" s="1">
        <f>C65</f>
        <v/>
      </c>
      <c r="E66" t="inlineStr">
        <is>
          <t>60mL/3s/30s</t>
        </is>
      </c>
      <c r="I66" s="1">
        <f>IF(C66="", "", (B66-C66)*1000/(A66-A65))</f>
        <v/>
      </c>
      <c r="J66" s="1">
        <f>IF(I66="","",I66/F$2/3)</f>
        <v/>
      </c>
      <c r="K66" s="1">
        <f>IF(I66="","", 100*_xlfn.STDEV.P(I65:I66)/AVERAGE(I65:I66))</f>
        <v/>
      </c>
      <c r="L66" s="8">
        <f t="array" ref="L66">IF(I66="","", IFERROR(((IF(I$5&lt;&gt;"", I$5*A$5, 0) + SUMPRODUCT(--(I$6:I66&lt;&gt;""), I$6:I66, (A$6:A66-A$5:A65)))/1000), ""))</f>
        <v/>
      </c>
      <c r="M66" s="1">
        <f>M65+20</f>
        <v/>
      </c>
      <c r="N66" s="1">
        <f>O65</f>
        <v/>
      </c>
      <c r="Q66" t="inlineStr">
        <is>
          <t>60mL/3s/30s</t>
        </is>
      </c>
      <c r="U66" s="1">
        <f>IF(O66="", "", (N66-O66)*1000/(M66-M65))</f>
        <v/>
      </c>
      <c r="V66" s="1">
        <f>IF(U66="","",U66/R$2/3)</f>
        <v/>
      </c>
      <c r="W66" s="1">
        <f>IF(U66="","", 100*_xlfn.STDEV.P(U65:U66)/AVERAGE(U65:U66))</f>
        <v/>
      </c>
      <c r="X66" s="8">
        <f t="array" ref="X66">IF(U66="","", IFERROR(((IF(U$5&lt;&gt;"", U$5*M$5, 0) + SUMPRODUCT(--(U$6:U66&lt;&gt;""), U$6:U66, (M$6:M66-M$5:M65)))/1000), ""))</f>
        <v/>
      </c>
      <c r="Y66" s="1">
        <f>Y65+20</f>
        <v/>
      </c>
      <c r="Z66" s="1">
        <f>AA65</f>
        <v/>
      </c>
      <c r="AC66" t="inlineStr">
        <is>
          <t>60mL/3s/30s</t>
        </is>
      </c>
      <c r="AG66" s="1">
        <f>IF(AA66="", "", (Z66-AA66)*1000/(Y66-Y65))</f>
        <v/>
      </c>
      <c r="AH66" s="1">
        <f>IF(AG66="","",AG66/AD$2/3)</f>
        <v/>
      </c>
      <c r="AI66" s="1">
        <f>IF(AG66="","", 100*_xlfn.STDEV.P(AG65:AG66)/AVERAGE(AG65:AG66))</f>
        <v/>
      </c>
      <c r="AJ66" s="8">
        <f t="array" ref="AJ66">IF(AG66="","", IFERROR(((IF(AG$5&lt;&gt;"", AG$5*Y$5, 0) + SUMPRODUCT(--(AG$6:AG66&lt;&gt;""), AG$6:AG66, (Y$6:Y66-Y$5:Y65)))/1000), ""))</f>
        <v/>
      </c>
      <c r="AK66" s="1">
        <f>AK65+20</f>
        <v/>
      </c>
      <c r="AL66" s="1">
        <f>AM65</f>
        <v/>
      </c>
      <c r="AO66" t="inlineStr">
        <is>
          <t>60mL/3s/30s</t>
        </is>
      </c>
      <c r="AS66" s="1">
        <f>IF(AM66="", "", (AL66-AM66)*1000/(AK66-AK65))</f>
        <v/>
      </c>
      <c r="AT66" s="1">
        <f>IF(AS66="","",AS66/AP$2/3)</f>
        <v/>
      </c>
      <c r="AU66" s="1">
        <f>IF(AS66="","", 100*_xlfn.STDEV.P(AS65:AS66)/AVERAGE(AS65:AS66))</f>
        <v/>
      </c>
      <c r="AV66" s="8">
        <f t="array" ref="AV66">IF(AS66="","", IFERROR(((IF(AS$5&lt;&gt;"", AS$5*AK$5, 0) + SUMPRODUCT(--(AS$6:AS66&lt;&gt;""), AS$6:AS66, (AK$6:AK66-AK$5:AK65)))/1000), ""))</f>
        <v/>
      </c>
      <c r="AW66" s="1">
        <f>AW65+20</f>
        <v/>
      </c>
      <c r="AX66" s="1">
        <f>AY65</f>
        <v/>
      </c>
      <c r="BA66" t="inlineStr">
        <is>
          <t>60mL/3s/30s</t>
        </is>
      </c>
      <c r="BE66" s="1">
        <f>IF(AY66="", "", (AX66-AY66)*1000/(AW66-AW65))</f>
        <v/>
      </c>
      <c r="BF66" s="1">
        <f>IF(BE66="","",BE66/BB$2/3)</f>
        <v/>
      </c>
      <c r="BG66" s="1">
        <f>IF(BE66="","", 100*_xlfn.STDEV.P(BE65:BE66)/AVERAGE(BE65:BE66))</f>
        <v/>
      </c>
      <c r="BH66" s="8">
        <f t="array" ref="BH66">IF(BE66="","", IFERROR(((IF(BE$5&lt;&gt;"", BE$5*AW$5, 0) + SUMPRODUCT(--(BE$6:BE66&lt;&gt;""), BE$6:BE66, (AW$6:AW66-AW$5:AW65)))/1000), ""))</f>
        <v/>
      </c>
      <c r="BI66" s="1">
        <f>BI65+20</f>
        <v/>
      </c>
      <c r="BJ66" s="1">
        <f>BK65</f>
        <v/>
      </c>
      <c r="BM66" t="inlineStr">
        <is>
          <t>60mL/3s/30s</t>
        </is>
      </c>
      <c r="BQ66" s="1">
        <f>IF(BK66="", "", (BJ66-BK66)*1000/(BI66-BI65))</f>
        <v/>
      </c>
      <c r="BR66" s="1">
        <f>IF(BQ66="","",BQ66/BN$2/3)</f>
        <v/>
      </c>
      <c r="BS66" s="1">
        <f>IF(BQ66="","", 100*_xlfn.STDEV.P(BQ65:BQ66)/AVERAGE(BQ65:BQ66))</f>
        <v/>
      </c>
      <c r="BT66" s="8">
        <f t="array" ref="BT66">IF(BQ66="","", IFERROR(((IF(BQ$5&lt;&gt;"", BQ$5*BI$5, 0) + SUMPRODUCT(--(BQ$6:BQ66&lt;&gt;""), BQ$6:BQ66, (BI$6:BI66-BI$5:BI65)))/1000), ""))</f>
        <v/>
      </c>
      <c r="BU66" s="1">
        <f>BU65+20</f>
        <v/>
      </c>
      <c r="BV66" s="1">
        <f>BW65</f>
        <v/>
      </c>
      <c r="BY66" t="inlineStr">
        <is>
          <t>60mL/3s/30s</t>
        </is>
      </c>
      <c r="CC66" s="1">
        <f>IF(BW66="", "", (BV66-BW66)*1000/(BU66-BU65))</f>
        <v/>
      </c>
      <c r="CD66" s="1">
        <f>IF(CC66="","",CC66/BZ$2/3)</f>
        <v/>
      </c>
      <c r="CE66" s="1">
        <f>IF(CC66="","", 100*_xlfn.STDEV.P(CC65:CC66)/AVERAGE(CC65:CC66))</f>
        <v/>
      </c>
      <c r="CF66" s="8">
        <f t="array" ref="CF66">IF(CC66="","", IFERROR(((IF(CC$5&lt;&gt;"", CC$5*BU$5, 0) + SUMPRODUCT(--(CC$6:CC66&lt;&gt;""), CC$6:CC66, (BU$6:BU66-BU$5:BU65)))/1000), ""))</f>
        <v/>
      </c>
      <c r="CG66" s="1">
        <f>CG65+20</f>
        <v/>
      </c>
      <c r="CH66" s="1">
        <f>CI65</f>
        <v/>
      </c>
      <c r="CK66" t="inlineStr">
        <is>
          <t>60mL/3s/30s</t>
        </is>
      </c>
      <c r="CO66" s="1">
        <f>IF(CI66="", "", (CH66-CI66)*1000/(CG66-CG65))</f>
        <v/>
      </c>
      <c r="CP66" s="1">
        <f>IF(CO66="","",CO66/CL$2/3)</f>
        <v/>
      </c>
      <c r="CQ66" s="1">
        <f>IF(CO66="","", 100*_xlfn.STDEV.P(CO65:CO66)/AVERAGE(CO65:CO66))</f>
        <v/>
      </c>
      <c r="CR66" s="8">
        <f t="array" ref="CR66">IF(CO66="","", IFERROR(((IF(CO$5&lt;&gt;"", CO$5*CG$5, 0) + SUMPRODUCT(--(CO$6:CO66&lt;&gt;""), CO$6:CO66, (CG$6:CG66-CG$5:CG65)))/1000), ""))</f>
        <v/>
      </c>
    </row>
    <row r="67">
      <c r="A67" s="1">
        <f>A66+20</f>
        <v/>
      </c>
      <c r="B67" s="1">
        <f>C66</f>
        <v/>
      </c>
      <c r="E67" t="inlineStr">
        <is>
          <t>60mL/3s/30s</t>
        </is>
      </c>
      <c r="I67" s="1">
        <f>IF(C67="", "", (B67-C67)*1000/(A67-A66))</f>
        <v/>
      </c>
      <c r="J67" s="1">
        <f>IF(I67="","",I67/F$2/3)</f>
        <v/>
      </c>
      <c r="K67" s="1">
        <f>IF(I67="","", 100*_xlfn.STDEV.P(I66:I67)/AVERAGE(I66:I67))</f>
        <v/>
      </c>
      <c r="L67" s="8">
        <f t="array" ref="L67">IF(I67="","", IFERROR(((IF(I$5&lt;&gt;"", I$5*A$5, 0) + SUMPRODUCT(--(I$6:I67&lt;&gt;""), I$6:I67, (A$6:A67-A$5:A66)))/1000), ""))</f>
        <v/>
      </c>
      <c r="M67" s="1">
        <f>M66+20</f>
        <v/>
      </c>
      <c r="N67" s="1">
        <f>O66</f>
        <v/>
      </c>
      <c r="Q67" t="inlineStr">
        <is>
          <t>60mL/3s/30s</t>
        </is>
      </c>
      <c r="U67" s="1">
        <f>IF(O67="", "", (N67-O67)*1000/(M67-M66))</f>
        <v/>
      </c>
      <c r="V67" s="1">
        <f>IF(U67="","",U67/R$2/3)</f>
        <v/>
      </c>
      <c r="W67" s="1">
        <f>IF(U67="","", 100*_xlfn.STDEV.P(U66:U67)/AVERAGE(U66:U67))</f>
        <v/>
      </c>
      <c r="X67" s="8">
        <f t="array" ref="X67">IF(U67="","", IFERROR(((IF(U$5&lt;&gt;"", U$5*M$5, 0) + SUMPRODUCT(--(U$6:U67&lt;&gt;""), U$6:U67, (M$6:M67-M$5:M66)))/1000), ""))</f>
        <v/>
      </c>
      <c r="Y67" s="1">
        <f>Y66+20</f>
        <v/>
      </c>
      <c r="Z67" s="1">
        <f>AA66</f>
        <v/>
      </c>
      <c r="AC67" t="inlineStr">
        <is>
          <t>60mL/3s/30s</t>
        </is>
      </c>
      <c r="AG67" s="1">
        <f>IF(AA67="", "", (Z67-AA67)*1000/(Y67-Y66))</f>
        <v/>
      </c>
      <c r="AH67" s="1">
        <f>IF(AG67="","",AG67/AD$2/3)</f>
        <v/>
      </c>
      <c r="AI67" s="1">
        <f>IF(AG67="","", 100*_xlfn.STDEV.P(AG66:AG67)/AVERAGE(AG66:AG67))</f>
        <v/>
      </c>
      <c r="AJ67" s="8">
        <f t="array" ref="AJ67">IF(AG67="","", IFERROR(((IF(AG$5&lt;&gt;"", AG$5*Y$5, 0) + SUMPRODUCT(--(AG$6:AG67&lt;&gt;""), AG$6:AG67, (Y$6:Y67-Y$5:Y66)))/1000), ""))</f>
        <v/>
      </c>
      <c r="AK67" s="1">
        <f>AK66+20</f>
        <v/>
      </c>
      <c r="AL67" s="1">
        <f>AM66</f>
        <v/>
      </c>
      <c r="AO67" t="inlineStr">
        <is>
          <t>60mL/3s/30s</t>
        </is>
      </c>
      <c r="AS67" s="1">
        <f>IF(AM67="", "", (AL67-AM67)*1000/(AK67-AK66))</f>
        <v/>
      </c>
      <c r="AT67" s="1">
        <f>IF(AS67="","",AS67/AP$2/3)</f>
        <v/>
      </c>
      <c r="AU67" s="1">
        <f>IF(AS67="","", 100*_xlfn.STDEV.P(AS66:AS67)/AVERAGE(AS66:AS67))</f>
        <v/>
      </c>
      <c r="AV67" s="8">
        <f t="array" ref="AV67">IF(AS67="","", IFERROR(((IF(AS$5&lt;&gt;"", AS$5*AK$5, 0) + SUMPRODUCT(--(AS$6:AS67&lt;&gt;""), AS$6:AS67, (AK$6:AK67-AK$5:AK66)))/1000), ""))</f>
        <v/>
      </c>
      <c r="AW67" s="1">
        <f>AW66+20</f>
        <v/>
      </c>
      <c r="AX67" s="1">
        <f>AY66</f>
        <v/>
      </c>
      <c r="BA67" t="inlineStr">
        <is>
          <t>60mL/3s/30s</t>
        </is>
      </c>
      <c r="BE67" s="1">
        <f>IF(AY67="", "", (AX67-AY67)*1000/(AW67-AW66))</f>
        <v/>
      </c>
      <c r="BF67" s="1">
        <f>IF(BE67="","",BE67/BB$2/3)</f>
        <v/>
      </c>
      <c r="BG67" s="1">
        <f>IF(BE67="","", 100*_xlfn.STDEV.P(BE66:BE67)/AVERAGE(BE66:BE67))</f>
        <v/>
      </c>
      <c r="BH67" s="8">
        <f t="array" ref="BH67">IF(BE67="","", IFERROR(((IF(BE$5&lt;&gt;"", BE$5*AW$5, 0) + SUMPRODUCT(--(BE$6:BE67&lt;&gt;""), BE$6:BE67, (AW$6:AW67-AW$5:AW66)))/1000), ""))</f>
        <v/>
      </c>
      <c r="BI67" s="1">
        <f>BI66+20</f>
        <v/>
      </c>
      <c r="BJ67" s="1">
        <f>BK66</f>
        <v/>
      </c>
      <c r="BM67" t="inlineStr">
        <is>
          <t>60mL/3s/30s</t>
        </is>
      </c>
      <c r="BQ67" s="1">
        <f>IF(BK67="", "", (BJ67-BK67)*1000/(BI67-BI66))</f>
        <v/>
      </c>
      <c r="BR67" s="1">
        <f>IF(BQ67="","",BQ67/BN$2/3)</f>
        <v/>
      </c>
      <c r="BS67" s="1">
        <f>IF(BQ67="","", 100*_xlfn.STDEV.P(BQ66:BQ67)/AVERAGE(BQ66:BQ67))</f>
        <v/>
      </c>
      <c r="BT67" s="8">
        <f t="array" ref="BT67">IF(BQ67="","", IFERROR(((IF(BQ$5&lt;&gt;"", BQ$5*BI$5, 0) + SUMPRODUCT(--(BQ$6:BQ67&lt;&gt;""), BQ$6:BQ67, (BI$6:BI67-BI$5:BI66)))/1000), ""))</f>
        <v/>
      </c>
      <c r="BU67" s="1">
        <f>BU66+20</f>
        <v/>
      </c>
      <c r="BV67" s="1">
        <f>BW66</f>
        <v/>
      </c>
      <c r="BY67" t="inlineStr">
        <is>
          <t>60mL/3s/30s</t>
        </is>
      </c>
      <c r="CC67" s="1">
        <f>IF(BW67="", "", (BV67-BW67)*1000/(BU67-BU66))</f>
        <v/>
      </c>
      <c r="CD67" s="1">
        <f>IF(CC67="","",CC67/BZ$2/3)</f>
        <v/>
      </c>
      <c r="CE67" s="1">
        <f>IF(CC67="","", 100*_xlfn.STDEV.P(CC66:CC67)/AVERAGE(CC66:CC67))</f>
        <v/>
      </c>
      <c r="CF67" s="8">
        <f t="array" ref="CF67">IF(CC67="","", IFERROR(((IF(CC$5&lt;&gt;"", CC$5*BU$5, 0) + SUMPRODUCT(--(CC$6:CC67&lt;&gt;""), CC$6:CC67, (BU$6:BU67-BU$5:BU66)))/1000), ""))</f>
        <v/>
      </c>
      <c r="CG67" s="1">
        <f>CG66+20</f>
        <v/>
      </c>
      <c r="CH67" s="1">
        <f>CI66</f>
        <v/>
      </c>
      <c r="CK67" t="inlineStr">
        <is>
          <t>60mL/3s/30s</t>
        </is>
      </c>
      <c r="CO67" s="1">
        <f>IF(CI67="", "", (CH67-CI67)*1000/(CG67-CG66))</f>
        <v/>
      </c>
      <c r="CP67" s="1">
        <f>IF(CO67="","",CO67/CL$2/3)</f>
        <v/>
      </c>
      <c r="CQ67" s="1">
        <f>IF(CO67="","", 100*_xlfn.STDEV.P(CO66:CO67)/AVERAGE(CO66:CO67))</f>
        <v/>
      </c>
      <c r="CR67" s="8">
        <f t="array" ref="CR67">IF(CO67="","", IFERROR(((IF(CO$5&lt;&gt;"", CO$5*CG$5, 0) + SUMPRODUCT(--(CO$6:CO67&lt;&gt;""), CO$6:CO67, (CG$6:CG67-CG$5:CG66)))/1000), ""))</f>
        <v/>
      </c>
    </row>
    <row r="68">
      <c r="A68" s="1">
        <f>A67+20</f>
        <v/>
      </c>
      <c r="B68" s="1">
        <f>C67</f>
        <v/>
      </c>
      <c r="E68" t="inlineStr">
        <is>
          <t>60mL/3s/30s</t>
        </is>
      </c>
      <c r="I68" s="1">
        <f>IF(C68="", "", (B68-C68)*1000/(A68-A67))</f>
        <v/>
      </c>
      <c r="J68" s="1">
        <f>IF(I68="","",I68/F$2/3)</f>
        <v/>
      </c>
      <c r="K68" s="1">
        <f>IF(I68="","", 100*_xlfn.STDEV.P(I67:I68)/AVERAGE(I67:I68))</f>
        <v/>
      </c>
      <c r="L68" s="8">
        <f t="array" ref="L68">IF(I68="","", IFERROR(((IF(I$5&lt;&gt;"", I$5*A$5, 0) + SUMPRODUCT(--(I$6:I68&lt;&gt;""), I$6:I68, (A$6:A68-A$5:A67)))/1000), ""))</f>
        <v/>
      </c>
      <c r="M68" s="1">
        <f>M67+20</f>
        <v/>
      </c>
      <c r="N68" s="1">
        <f>O67</f>
        <v/>
      </c>
      <c r="Q68" t="inlineStr">
        <is>
          <t>60mL/3s/30s</t>
        </is>
      </c>
      <c r="U68" s="1">
        <f>IF(O68="", "", (N68-O68)*1000/(M68-M67))</f>
        <v/>
      </c>
      <c r="V68" s="1">
        <f>IF(U68="","",U68/R$2/3)</f>
        <v/>
      </c>
      <c r="W68" s="1">
        <f>IF(U68="","", 100*_xlfn.STDEV.P(U67:U68)/AVERAGE(U67:U68))</f>
        <v/>
      </c>
      <c r="X68" s="8">
        <f t="array" ref="X68">IF(U68="","", IFERROR(((IF(U$5&lt;&gt;"", U$5*M$5, 0) + SUMPRODUCT(--(U$6:U68&lt;&gt;""), U$6:U68, (M$6:M68-M$5:M67)))/1000), ""))</f>
        <v/>
      </c>
      <c r="Y68" s="1">
        <f>Y67+20</f>
        <v/>
      </c>
      <c r="Z68" s="1">
        <f>AA67</f>
        <v/>
      </c>
      <c r="AC68" t="inlineStr">
        <is>
          <t>60mL/3s/30s</t>
        </is>
      </c>
      <c r="AG68" s="1">
        <f>IF(AA68="", "", (Z68-AA68)*1000/(Y68-Y67))</f>
        <v/>
      </c>
      <c r="AH68" s="1">
        <f>IF(AG68="","",AG68/AD$2/3)</f>
        <v/>
      </c>
      <c r="AI68" s="1">
        <f>IF(AG68="","", 100*_xlfn.STDEV.P(AG67:AG68)/AVERAGE(AG67:AG68))</f>
        <v/>
      </c>
      <c r="AJ68" s="8">
        <f t="array" ref="AJ68">IF(AG68="","", IFERROR(((IF(AG$5&lt;&gt;"", AG$5*Y$5, 0) + SUMPRODUCT(--(AG$6:AG68&lt;&gt;""), AG$6:AG68, (Y$6:Y68-Y$5:Y67)))/1000), ""))</f>
        <v/>
      </c>
      <c r="AK68" s="1">
        <f>AK67+20</f>
        <v/>
      </c>
      <c r="AL68" s="1">
        <f>AM67</f>
        <v/>
      </c>
      <c r="AO68" t="inlineStr">
        <is>
          <t>60mL/3s/30s</t>
        </is>
      </c>
      <c r="AS68" s="1">
        <f>IF(AM68="", "", (AL68-AM68)*1000/(AK68-AK67))</f>
        <v/>
      </c>
      <c r="AT68" s="1">
        <f>IF(AS68="","",AS68/AP$2/3)</f>
        <v/>
      </c>
      <c r="AU68" s="1">
        <f>IF(AS68="","", 100*_xlfn.STDEV.P(AS67:AS68)/AVERAGE(AS67:AS68))</f>
        <v/>
      </c>
      <c r="AV68" s="8">
        <f t="array" ref="AV68">IF(AS68="","", IFERROR(((IF(AS$5&lt;&gt;"", AS$5*AK$5, 0) + SUMPRODUCT(--(AS$6:AS68&lt;&gt;""), AS$6:AS68, (AK$6:AK68-AK$5:AK67)))/1000), ""))</f>
        <v/>
      </c>
      <c r="AW68" s="1">
        <f>AW67+20</f>
        <v/>
      </c>
      <c r="AX68" s="1">
        <f>AY67</f>
        <v/>
      </c>
      <c r="BA68" t="inlineStr">
        <is>
          <t>60mL/3s/30s</t>
        </is>
      </c>
      <c r="BE68" s="1">
        <f>IF(AY68="", "", (AX68-AY68)*1000/(AW68-AW67))</f>
        <v/>
      </c>
      <c r="BF68" s="1">
        <f>IF(BE68="","",BE68/BB$2/3)</f>
        <v/>
      </c>
      <c r="BG68" s="1">
        <f>IF(BE68="","", 100*_xlfn.STDEV.P(BE67:BE68)/AVERAGE(BE67:BE68))</f>
        <v/>
      </c>
      <c r="BH68" s="8">
        <f t="array" ref="BH68">IF(BE68="","", IFERROR(((IF(BE$5&lt;&gt;"", BE$5*AW$5, 0) + SUMPRODUCT(--(BE$6:BE68&lt;&gt;""), BE$6:BE68, (AW$6:AW68-AW$5:AW67)))/1000), ""))</f>
        <v/>
      </c>
      <c r="BI68" s="1">
        <f>BI67+20</f>
        <v/>
      </c>
      <c r="BJ68" s="1">
        <f>BK67</f>
        <v/>
      </c>
      <c r="BM68" t="inlineStr">
        <is>
          <t>60mL/3s/30s</t>
        </is>
      </c>
      <c r="BQ68" s="1">
        <f>IF(BK68="", "", (BJ68-BK68)*1000/(BI68-BI67))</f>
        <v/>
      </c>
      <c r="BR68" s="1">
        <f>IF(BQ68="","",BQ68/BN$2/3)</f>
        <v/>
      </c>
      <c r="BS68" s="1">
        <f>IF(BQ68="","", 100*_xlfn.STDEV.P(BQ67:BQ68)/AVERAGE(BQ67:BQ68))</f>
        <v/>
      </c>
      <c r="BT68" s="8">
        <f t="array" ref="BT68">IF(BQ68="","", IFERROR(((IF(BQ$5&lt;&gt;"", BQ$5*BI$5, 0) + SUMPRODUCT(--(BQ$6:BQ68&lt;&gt;""), BQ$6:BQ68, (BI$6:BI68-BI$5:BI67)))/1000), ""))</f>
        <v/>
      </c>
      <c r="BU68" s="1">
        <f>BU67+20</f>
        <v/>
      </c>
      <c r="BV68" s="1">
        <f>BW67</f>
        <v/>
      </c>
      <c r="BY68" t="inlineStr">
        <is>
          <t>60mL/3s/30s</t>
        </is>
      </c>
      <c r="CC68" s="1">
        <f>IF(BW68="", "", (BV68-BW68)*1000/(BU68-BU67))</f>
        <v/>
      </c>
      <c r="CD68" s="1">
        <f>IF(CC68="","",CC68/BZ$2/3)</f>
        <v/>
      </c>
      <c r="CE68" s="1">
        <f>IF(CC68="","", 100*_xlfn.STDEV.P(CC67:CC68)/AVERAGE(CC67:CC68))</f>
        <v/>
      </c>
      <c r="CF68" s="8">
        <f t="array" ref="CF68">IF(CC68="","", IFERROR(((IF(CC$5&lt;&gt;"", CC$5*BU$5, 0) + SUMPRODUCT(--(CC$6:CC68&lt;&gt;""), CC$6:CC68, (BU$6:BU68-BU$5:BU67)))/1000), ""))</f>
        <v/>
      </c>
      <c r="CG68" s="1">
        <f>CG67+20</f>
        <v/>
      </c>
      <c r="CH68" s="1">
        <f>CI67</f>
        <v/>
      </c>
      <c r="CK68" t="inlineStr">
        <is>
          <t>60mL/3s/30s</t>
        </is>
      </c>
      <c r="CO68" s="1">
        <f>IF(CI68="", "", (CH68-CI68)*1000/(CG68-CG67))</f>
        <v/>
      </c>
      <c r="CP68" s="1">
        <f>IF(CO68="","",CO68/CL$2/3)</f>
        <v/>
      </c>
      <c r="CQ68" s="1">
        <f>IF(CO68="","", 100*_xlfn.STDEV.P(CO67:CO68)/AVERAGE(CO67:CO68))</f>
        <v/>
      </c>
      <c r="CR68" s="8">
        <f t="array" ref="CR68">IF(CO68="","", IFERROR(((IF(CO$5&lt;&gt;"", CO$5*CG$5, 0) + SUMPRODUCT(--(CO$6:CO68&lt;&gt;""), CO$6:CO68, (CG$6:CG68-CG$5:CG67)))/1000), ""))</f>
        <v/>
      </c>
    </row>
    <row r="69">
      <c r="A69" s="1">
        <f>A68+20</f>
        <v/>
      </c>
      <c r="B69" s="1">
        <f>C68</f>
        <v/>
      </c>
      <c r="E69" t="inlineStr">
        <is>
          <t>60mL/3s/30s</t>
        </is>
      </c>
      <c r="I69" s="1">
        <f>IF(C69="", "", (B69-C69)*1000/(A69-A68))</f>
        <v/>
      </c>
      <c r="J69" s="1">
        <f>IF(I69="","",I69/F$2/3)</f>
        <v/>
      </c>
      <c r="K69" s="1">
        <f>IF(I69="","", 100*_xlfn.STDEV.P(I68:I69)/AVERAGE(I68:I69))</f>
        <v/>
      </c>
      <c r="L69" s="8">
        <f t="array" ref="L69">IF(I69="","", IFERROR(((IF(I$5&lt;&gt;"", I$5*A$5, 0) + SUMPRODUCT(--(I$6:I69&lt;&gt;""), I$6:I69, (A$6:A69-A$5:A68)))/1000), ""))</f>
        <v/>
      </c>
      <c r="M69" s="1">
        <f>M68+20</f>
        <v/>
      </c>
      <c r="N69" s="1">
        <f>O68</f>
        <v/>
      </c>
      <c r="Q69" t="inlineStr">
        <is>
          <t>60mL/3s/30s</t>
        </is>
      </c>
      <c r="U69" s="1">
        <f>IF(O69="", "", (N69-O69)*1000/(M69-M68))</f>
        <v/>
      </c>
      <c r="V69" s="1">
        <f>IF(U69="","",U69/R$2/3)</f>
        <v/>
      </c>
      <c r="W69" s="1">
        <f>IF(U69="","", 100*_xlfn.STDEV.P(U68:U69)/AVERAGE(U68:U69))</f>
        <v/>
      </c>
      <c r="X69" s="8">
        <f t="array" ref="X69">IF(U69="","", IFERROR(((IF(U$5&lt;&gt;"", U$5*M$5, 0) + SUMPRODUCT(--(U$6:U69&lt;&gt;""), U$6:U69, (M$6:M69-M$5:M68)))/1000), ""))</f>
        <v/>
      </c>
      <c r="Y69" s="1">
        <f>Y68+20</f>
        <v/>
      </c>
      <c r="Z69" s="1">
        <f>AA68</f>
        <v/>
      </c>
      <c r="AC69" t="inlineStr">
        <is>
          <t>60mL/3s/30s</t>
        </is>
      </c>
      <c r="AG69" s="1">
        <f>IF(AA69="", "", (Z69-AA69)*1000/(Y69-Y68))</f>
        <v/>
      </c>
      <c r="AH69" s="1">
        <f>IF(AG69="","",AG69/AD$2/3)</f>
        <v/>
      </c>
      <c r="AI69" s="1">
        <f>IF(AG69="","", 100*_xlfn.STDEV.P(AG68:AG69)/AVERAGE(AG68:AG69))</f>
        <v/>
      </c>
      <c r="AJ69" s="8">
        <f t="array" ref="AJ69">IF(AG69="","", IFERROR(((IF(AG$5&lt;&gt;"", AG$5*Y$5, 0) + SUMPRODUCT(--(AG$6:AG69&lt;&gt;""), AG$6:AG69, (Y$6:Y69-Y$5:Y68)))/1000), ""))</f>
        <v/>
      </c>
      <c r="AK69" s="1">
        <f>AK68+20</f>
        <v/>
      </c>
      <c r="AL69" s="1">
        <f>AM68</f>
        <v/>
      </c>
      <c r="AO69" t="inlineStr">
        <is>
          <t>60mL/3s/30s</t>
        </is>
      </c>
      <c r="AS69" s="1">
        <f>IF(AM69="", "", (AL69-AM69)*1000/(AK69-AK68))</f>
        <v/>
      </c>
      <c r="AT69" s="1">
        <f>IF(AS69="","",AS69/AP$2/3)</f>
        <v/>
      </c>
      <c r="AU69" s="1">
        <f>IF(AS69="","", 100*_xlfn.STDEV.P(AS68:AS69)/AVERAGE(AS68:AS69))</f>
        <v/>
      </c>
      <c r="AV69" s="8">
        <f t="array" ref="AV69">IF(AS69="","", IFERROR(((IF(AS$5&lt;&gt;"", AS$5*AK$5, 0) + SUMPRODUCT(--(AS$6:AS69&lt;&gt;""), AS$6:AS69, (AK$6:AK69-AK$5:AK68)))/1000), ""))</f>
        <v/>
      </c>
      <c r="AW69" s="1">
        <f>AW68+20</f>
        <v/>
      </c>
      <c r="AX69" s="1">
        <f>AY68</f>
        <v/>
      </c>
      <c r="BA69" t="inlineStr">
        <is>
          <t>60mL/3s/30s</t>
        </is>
      </c>
      <c r="BE69" s="1">
        <f>IF(AY69="", "", (AX69-AY69)*1000/(AW69-AW68))</f>
        <v/>
      </c>
      <c r="BF69" s="1">
        <f>IF(BE69="","",BE69/BB$2/3)</f>
        <v/>
      </c>
      <c r="BG69" s="1">
        <f>IF(BE69="","", 100*_xlfn.STDEV.P(BE68:BE69)/AVERAGE(BE68:BE69))</f>
        <v/>
      </c>
      <c r="BH69" s="8">
        <f t="array" ref="BH69">IF(BE69="","", IFERROR(((IF(BE$5&lt;&gt;"", BE$5*AW$5, 0) + SUMPRODUCT(--(BE$6:BE69&lt;&gt;""), BE$6:BE69, (AW$6:AW69-AW$5:AW68)))/1000), ""))</f>
        <v/>
      </c>
      <c r="BI69" s="1">
        <f>BI68+20</f>
        <v/>
      </c>
      <c r="BJ69" s="1">
        <f>BK68</f>
        <v/>
      </c>
      <c r="BM69" t="inlineStr">
        <is>
          <t>60mL/3s/30s</t>
        </is>
      </c>
      <c r="BQ69" s="1">
        <f>IF(BK69="", "", (BJ69-BK69)*1000/(BI69-BI68))</f>
        <v/>
      </c>
      <c r="BR69" s="1">
        <f>IF(BQ69="","",BQ69/BN$2/3)</f>
        <v/>
      </c>
      <c r="BS69" s="1">
        <f>IF(BQ69="","", 100*_xlfn.STDEV.P(BQ68:BQ69)/AVERAGE(BQ68:BQ69))</f>
        <v/>
      </c>
      <c r="BT69" s="8">
        <f t="array" ref="BT69">IF(BQ69="","", IFERROR(((IF(BQ$5&lt;&gt;"", BQ$5*BI$5, 0) + SUMPRODUCT(--(BQ$6:BQ69&lt;&gt;""), BQ$6:BQ69, (BI$6:BI69-BI$5:BI68)))/1000), ""))</f>
        <v/>
      </c>
      <c r="BU69" s="1">
        <f>BU68+20</f>
        <v/>
      </c>
      <c r="BV69" s="1">
        <f>BW68</f>
        <v/>
      </c>
      <c r="BY69" t="inlineStr">
        <is>
          <t>60mL/3s/30s</t>
        </is>
      </c>
      <c r="CC69" s="1">
        <f>IF(BW69="", "", (BV69-BW69)*1000/(BU69-BU68))</f>
        <v/>
      </c>
      <c r="CD69" s="1">
        <f>IF(CC69="","",CC69/BZ$2/3)</f>
        <v/>
      </c>
      <c r="CE69" s="1">
        <f>IF(CC69="","", 100*_xlfn.STDEV.P(CC68:CC69)/AVERAGE(CC68:CC69))</f>
        <v/>
      </c>
      <c r="CF69" s="8">
        <f t="array" ref="CF69">IF(CC69="","", IFERROR(((IF(CC$5&lt;&gt;"", CC$5*BU$5, 0) + SUMPRODUCT(--(CC$6:CC69&lt;&gt;""), CC$6:CC69, (BU$6:BU69-BU$5:BU68)))/1000), ""))</f>
        <v/>
      </c>
      <c r="CG69" s="1">
        <f>CG68+20</f>
        <v/>
      </c>
      <c r="CH69" s="1">
        <f>CI68</f>
        <v/>
      </c>
      <c r="CK69" t="inlineStr">
        <is>
          <t>60mL/3s/30s</t>
        </is>
      </c>
      <c r="CO69" s="1">
        <f>IF(CI69="", "", (CH69-CI69)*1000/(CG69-CG68))</f>
        <v/>
      </c>
      <c r="CP69" s="1">
        <f>IF(CO69="","",CO69/CL$2/3)</f>
        <v/>
      </c>
      <c r="CQ69" s="1">
        <f>IF(CO69="","", 100*_xlfn.STDEV.P(CO68:CO69)/AVERAGE(CO68:CO69))</f>
        <v/>
      </c>
      <c r="CR69" s="8">
        <f t="array" ref="CR69">IF(CO69="","", IFERROR(((IF(CO$5&lt;&gt;"", CO$5*CG$5, 0) + SUMPRODUCT(--(CO$6:CO69&lt;&gt;""), CO$6:CO69, (CG$6:CG69-CG$5:CG68)))/1000), ""))</f>
        <v/>
      </c>
    </row>
    <row r="70">
      <c r="A70" s="1">
        <f>A69+20</f>
        <v/>
      </c>
      <c r="B70" s="1">
        <f>C69</f>
        <v/>
      </c>
      <c r="E70" t="inlineStr">
        <is>
          <t>60mL/3s/30s</t>
        </is>
      </c>
      <c r="I70" s="1">
        <f>IF(C70="", "", (B70-C70)*1000/(A70-A69))</f>
        <v/>
      </c>
      <c r="J70" s="1">
        <f>IF(I70="","",I70/F$2/3)</f>
        <v/>
      </c>
      <c r="K70" s="1">
        <f>IF(I70="","", 100*_xlfn.STDEV.P(I69:I70)/AVERAGE(I69:I70))</f>
        <v/>
      </c>
      <c r="L70" s="8">
        <f t="array" ref="L70">IF(I70="","", IFERROR(((IF(I$5&lt;&gt;"", I$5*A$5, 0) + SUMPRODUCT(--(I$6:I70&lt;&gt;""), I$6:I70, (A$6:A70-A$5:A69)))/1000), ""))</f>
        <v/>
      </c>
      <c r="M70" s="1">
        <f>M69+20</f>
        <v/>
      </c>
      <c r="N70" s="1">
        <f>O69</f>
        <v/>
      </c>
      <c r="Q70" t="inlineStr">
        <is>
          <t>60mL/3s/30s</t>
        </is>
      </c>
      <c r="U70" s="1">
        <f>IF(O70="", "", (N70-O70)*1000/(M70-M69))</f>
        <v/>
      </c>
      <c r="V70" s="1">
        <f>IF(U70="","",U70/R$2/3)</f>
        <v/>
      </c>
      <c r="W70" s="1">
        <f>IF(U70="","", 100*_xlfn.STDEV.P(U69:U70)/AVERAGE(U69:U70))</f>
        <v/>
      </c>
      <c r="X70" s="8">
        <f t="array" ref="X70">IF(U70="","", IFERROR(((IF(U$5&lt;&gt;"", U$5*M$5, 0) + SUMPRODUCT(--(U$6:U70&lt;&gt;""), U$6:U70, (M$6:M70-M$5:M69)))/1000), ""))</f>
        <v/>
      </c>
      <c r="Y70" s="1">
        <f>Y69+20</f>
        <v/>
      </c>
      <c r="Z70" s="1">
        <f>AA69</f>
        <v/>
      </c>
      <c r="AC70" t="inlineStr">
        <is>
          <t>60mL/3s/30s</t>
        </is>
      </c>
      <c r="AG70" s="1">
        <f>IF(AA70="", "", (Z70-AA70)*1000/(Y70-Y69))</f>
        <v/>
      </c>
      <c r="AH70" s="1">
        <f>IF(AG70="","",AG70/AD$2/3)</f>
        <v/>
      </c>
      <c r="AI70" s="1">
        <f>IF(AG70="","", 100*_xlfn.STDEV.P(AG69:AG70)/AVERAGE(AG69:AG70))</f>
        <v/>
      </c>
      <c r="AJ70" s="8">
        <f t="array" ref="AJ70">IF(AG70="","", IFERROR(((IF(AG$5&lt;&gt;"", AG$5*Y$5, 0) + SUMPRODUCT(--(AG$6:AG70&lt;&gt;""), AG$6:AG70, (Y$6:Y70-Y$5:Y69)))/1000), ""))</f>
        <v/>
      </c>
      <c r="AK70" s="1">
        <f>AK69+20</f>
        <v/>
      </c>
      <c r="AL70" s="1">
        <f>AM69</f>
        <v/>
      </c>
      <c r="AO70" t="inlineStr">
        <is>
          <t>60mL/3s/30s</t>
        </is>
      </c>
      <c r="AS70" s="1">
        <f>IF(AM70="", "", (AL70-AM70)*1000/(AK70-AK69))</f>
        <v/>
      </c>
      <c r="AT70" s="1">
        <f>IF(AS70="","",AS70/AP$2/3)</f>
        <v/>
      </c>
      <c r="AU70" s="1">
        <f>IF(AS70="","", 100*_xlfn.STDEV.P(AS69:AS70)/AVERAGE(AS69:AS70))</f>
        <v/>
      </c>
      <c r="AV70" s="8">
        <f t="array" ref="AV70">IF(AS70="","", IFERROR(((IF(AS$5&lt;&gt;"", AS$5*AK$5, 0) + SUMPRODUCT(--(AS$6:AS70&lt;&gt;""), AS$6:AS70, (AK$6:AK70-AK$5:AK69)))/1000), ""))</f>
        <v/>
      </c>
      <c r="AW70" s="1">
        <f>AW69+20</f>
        <v/>
      </c>
      <c r="AX70" s="1">
        <f>AY69</f>
        <v/>
      </c>
      <c r="BA70" t="inlineStr">
        <is>
          <t>60mL/3s/30s</t>
        </is>
      </c>
      <c r="BE70" s="1">
        <f>IF(AY70="", "", (AX70-AY70)*1000/(AW70-AW69))</f>
        <v/>
      </c>
      <c r="BF70" s="1">
        <f>IF(BE70="","",BE70/BB$2/3)</f>
        <v/>
      </c>
      <c r="BG70" s="1">
        <f>IF(BE70="","", 100*_xlfn.STDEV.P(BE69:BE70)/AVERAGE(BE69:BE70))</f>
        <v/>
      </c>
      <c r="BH70" s="8">
        <f t="array" ref="BH70">IF(BE70="","", IFERROR(((IF(BE$5&lt;&gt;"", BE$5*AW$5, 0) + SUMPRODUCT(--(BE$6:BE70&lt;&gt;""), BE$6:BE70, (AW$6:AW70-AW$5:AW69)))/1000), ""))</f>
        <v/>
      </c>
      <c r="BI70" s="1">
        <f>BI69+20</f>
        <v/>
      </c>
      <c r="BJ70" s="1">
        <f>BK69</f>
        <v/>
      </c>
      <c r="BM70" t="inlineStr">
        <is>
          <t>60mL/3s/30s</t>
        </is>
      </c>
      <c r="BQ70" s="1">
        <f>IF(BK70="", "", (BJ70-BK70)*1000/(BI70-BI69))</f>
        <v/>
      </c>
      <c r="BR70" s="1">
        <f>IF(BQ70="","",BQ70/BN$2/3)</f>
        <v/>
      </c>
      <c r="BS70" s="1">
        <f>IF(BQ70="","", 100*_xlfn.STDEV.P(BQ69:BQ70)/AVERAGE(BQ69:BQ70))</f>
        <v/>
      </c>
      <c r="BT70" s="8">
        <f t="array" ref="BT70">IF(BQ70="","", IFERROR(((IF(BQ$5&lt;&gt;"", BQ$5*BI$5, 0) + SUMPRODUCT(--(BQ$6:BQ70&lt;&gt;""), BQ$6:BQ70, (BI$6:BI70-BI$5:BI69)))/1000), ""))</f>
        <v/>
      </c>
      <c r="BU70" s="1">
        <f>BU69+20</f>
        <v/>
      </c>
      <c r="BV70" s="1">
        <f>BW69</f>
        <v/>
      </c>
      <c r="BY70" t="inlineStr">
        <is>
          <t>60mL/3s/30s</t>
        </is>
      </c>
      <c r="CC70" s="1">
        <f>IF(BW70="", "", (BV70-BW70)*1000/(BU70-BU69))</f>
        <v/>
      </c>
      <c r="CD70" s="1">
        <f>IF(CC70="","",CC70/BZ$2/3)</f>
        <v/>
      </c>
      <c r="CE70" s="1">
        <f>IF(CC70="","", 100*_xlfn.STDEV.P(CC69:CC70)/AVERAGE(CC69:CC70))</f>
        <v/>
      </c>
      <c r="CF70" s="8">
        <f t="array" ref="CF70">IF(CC70="","", IFERROR(((IF(CC$5&lt;&gt;"", CC$5*BU$5, 0) + SUMPRODUCT(--(CC$6:CC70&lt;&gt;""), CC$6:CC70, (BU$6:BU70-BU$5:BU69)))/1000), ""))</f>
        <v/>
      </c>
      <c r="CG70" s="1">
        <f>CG69+20</f>
        <v/>
      </c>
      <c r="CH70" s="1">
        <f>CI69</f>
        <v/>
      </c>
      <c r="CK70" t="inlineStr">
        <is>
          <t>60mL/3s/30s</t>
        </is>
      </c>
      <c r="CO70" s="1">
        <f>IF(CI70="", "", (CH70-CI70)*1000/(CG70-CG69))</f>
        <v/>
      </c>
      <c r="CP70" s="1">
        <f>IF(CO70="","",CO70/CL$2/3)</f>
        <v/>
      </c>
      <c r="CQ70" s="1">
        <f>IF(CO70="","", 100*_xlfn.STDEV.P(CO69:CO70)/AVERAGE(CO69:CO70))</f>
        <v/>
      </c>
      <c r="CR70" s="8">
        <f t="array" ref="CR70">IF(CO70="","", IFERROR(((IF(CO$5&lt;&gt;"", CO$5*CG$5, 0) + SUMPRODUCT(--(CO$6:CO70&lt;&gt;""), CO$6:CO70, (CG$6:CG70-CG$5:CG69)))/1000), ""))</f>
        <v/>
      </c>
    </row>
    <row r="71">
      <c r="A71" s="1">
        <f>A70+20</f>
        <v/>
      </c>
      <c r="B71" s="1">
        <f>C70</f>
        <v/>
      </c>
      <c r="E71" t="inlineStr">
        <is>
          <t>60mL/3s/30s</t>
        </is>
      </c>
      <c r="I71" s="1">
        <f>IF(C71="", "", (B71-C71)*1000/(A71-A70))</f>
        <v/>
      </c>
      <c r="J71" s="1">
        <f>IF(I71="","",I71/F$2/3)</f>
        <v/>
      </c>
      <c r="K71" s="1">
        <f>IF(I71="","", 100*_xlfn.STDEV.P(I70:I71)/AVERAGE(I70:I71))</f>
        <v/>
      </c>
      <c r="L71" s="8">
        <f t="array" ref="L71">IF(I71="","", IFERROR(((IF(I$5&lt;&gt;"", I$5*A$5, 0) + SUMPRODUCT(--(I$6:I71&lt;&gt;""), I$6:I71, (A$6:A71-A$5:A70)))/1000), ""))</f>
        <v/>
      </c>
      <c r="M71" s="1">
        <f>M70+20</f>
        <v/>
      </c>
      <c r="N71" s="1">
        <f>O70</f>
        <v/>
      </c>
      <c r="Q71" t="inlineStr">
        <is>
          <t>60mL/3s/30s</t>
        </is>
      </c>
      <c r="U71" s="1">
        <f>IF(O71="", "", (N71-O71)*1000/(M71-M70))</f>
        <v/>
      </c>
      <c r="V71" s="1">
        <f>IF(U71="","",U71/R$2/3)</f>
        <v/>
      </c>
      <c r="W71" s="1">
        <f>IF(U71="","", 100*_xlfn.STDEV.P(U70:U71)/AVERAGE(U70:U71))</f>
        <v/>
      </c>
      <c r="X71" s="8">
        <f t="array" ref="X71">IF(U71="","", IFERROR(((IF(U$5&lt;&gt;"", U$5*M$5, 0) + SUMPRODUCT(--(U$6:U71&lt;&gt;""), U$6:U71, (M$6:M71-M$5:M70)))/1000), ""))</f>
        <v/>
      </c>
      <c r="Y71" s="1">
        <f>Y70+20</f>
        <v/>
      </c>
      <c r="Z71" s="1">
        <f>AA70</f>
        <v/>
      </c>
      <c r="AC71" t="inlineStr">
        <is>
          <t>60mL/3s/30s</t>
        </is>
      </c>
      <c r="AG71" s="1">
        <f>IF(AA71="", "", (Z71-AA71)*1000/(Y71-Y70))</f>
        <v/>
      </c>
      <c r="AH71" s="1">
        <f>IF(AG71="","",AG71/AD$2/3)</f>
        <v/>
      </c>
      <c r="AI71" s="1">
        <f>IF(AG71="","", 100*_xlfn.STDEV.P(AG70:AG71)/AVERAGE(AG70:AG71))</f>
        <v/>
      </c>
      <c r="AJ71" s="8">
        <f t="array" ref="AJ71">IF(AG71="","", IFERROR(((IF(AG$5&lt;&gt;"", AG$5*Y$5, 0) + SUMPRODUCT(--(AG$6:AG71&lt;&gt;""), AG$6:AG71, (Y$6:Y71-Y$5:Y70)))/1000), ""))</f>
        <v/>
      </c>
      <c r="AK71" s="1">
        <f>AK70+20</f>
        <v/>
      </c>
      <c r="AL71" s="1">
        <f>AM70</f>
        <v/>
      </c>
      <c r="AO71" t="inlineStr">
        <is>
          <t>60mL/3s/30s</t>
        </is>
      </c>
      <c r="AS71" s="1">
        <f>IF(AM71="", "", (AL71-AM71)*1000/(AK71-AK70))</f>
        <v/>
      </c>
      <c r="AT71" s="1">
        <f>IF(AS71="","",AS71/AP$2/3)</f>
        <v/>
      </c>
      <c r="AU71" s="1">
        <f>IF(AS71="","", 100*_xlfn.STDEV.P(AS70:AS71)/AVERAGE(AS70:AS71))</f>
        <v/>
      </c>
      <c r="AV71" s="8">
        <f t="array" ref="AV71">IF(AS71="","", IFERROR(((IF(AS$5&lt;&gt;"", AS$5*AK$5, 0) + SUMPRODUCT(--(AS$6:AS71&lt;&gt;""), AS$6:AS71, (AK$6:AK71-AK$5:AK70)))/1000), ""))</f>
        <v/>
      </c>
      <c r="AW71" s="1">
        <f>AW70+20</f>
        <v/>
      </c>
      <c r="AX71" s="1">
        <f>AY70</f>
        <v/>
      </c>
      <c r="BA71" t="inlineStr">
        <is>
          <t>60mL/3s/30s</t>
        </is>
      </c>
      <c r="BE71" s="1">
        <f>IF(AY71="", "", (AX71-AY71)*1000/(AW71-AW70))</f>
        <v/>
      </c>
      <c r="BF71" s="1">
        <f>IF(BE71="","",BE71/BB$2/3)</f>
        <v/>
      </c>
      <c r="BG71" s="1">
        <f>IF(BE71="","", 100*_xlfn.STDEV.P(BE70:BE71)/AVERAGE(BE70:BE71))</f>
        <v/>
      </c>
      <c r="BH71" s="8">
        <f t="array" ref="BH71">IF(BE71="","", IFERROR(((IF(BE$5&lt;&gt;"", BE$5*AW$5, 0) + SUMPRODUCT(--(BE$6:BE71&lt;&gt;""), BE$6:BE71, (AW$6:AW71-AW$5:AW70)))/1000), ""))</f>
        <v/>
      </c>
      <c r="BI71" s="1">
        <f>BI70+20</f>
        <v/>
      </c>
      <c r="BJ71" s="1">
        <f>BK70</f>
        <v/>
      </c>
      <c r="BM71" t="inlineStr">
        <is>
          <t>60mL/3s/30s</t>
        </is>
      </c>
      <c r="BQ71" s="1">
        <f>IF(BK71="", "", (BJ71-BK71)*1000/(BI71-BI70))</f>
        <v/>
      </c>
      <c r="BR71" s="1">
        <f>IF(BQ71="","",BQ71/BN$2/3)</f>
        <v/>
      </c>
      <c r="BS71" s="1">
        <f>IF(BQ71="","", 100*_xlfn.STDEV.P(BQ70:BQ71)/AVERAGE(BQ70:BQ71))</f>
        <v/>
      </c>
      <c r="BT71" s="8">
        <f t="array" ref="BT71">IF(BQ71="","", IFERROR(((IF(BQ$5&lt;&gt;"", BQ$5*BI$5, 0) + SUMPRODUCT(--(BQ$6:BQ71&lt;&gt;""), BQ$6:BQ71, (BI$6:BI71-BI$5:BI70)))/1000), ""))</f>
        <v/>
      </c>
      <c r="BU71" s="1">
        <f>BU70+20</f>
        <v/>
      </c>
      <c r="BV71" s="1">
        <f>BW70</f>
        <v/>
      </c>
      <c r="BY71" t="inlineStr">
        <is>
          <t>60mL/3s/30s</t>
        </is>
      </c>
      <c r="CC71" s="1">
        <f>IF(BW71="", "", (BV71-BW71)*1000/(BU71-BU70))</f>
        <v/>
      </c>
      <c r="CD71" s="1">
        <f>IF(CC71="","",CC71/BZ$2/3)</f>
        <v/>
      </c>
      <c r="CE71" s="1">
        <f>IF(CC71="","", 100*_xlfn.STDEV.P(CC70:CC71)/AVERAGE(CC70:CC71))</f>
        <v/>
      </c>
      <c r="CF71" s="8">
        <f t="array" ref="CF71">IF(CC71="","", IFERROR(((IF(CC$5&lt;&gt;"", CC$5*BU$5, 0) + SUMPRODUCT(--(CC$6:CC71&lt;&gt;""), CC$6:CC71, (BU$6:BU71-BU$5:BU70)))/1000), ""))</f>
        <v/>
      </c>
      <c r="CG71" s="1">
        <f>CG70+20</f>
        <v/>
      </c>
      <c r="CH71" s="1">
        <f>CI70</f>
        <v/>
      </c>
      <c r="CK71" t="inlineStr">
        <is>
          <t>60mL/3s/30s</t>
        </is>
      </c>
      <c r="CO71" s="1">
        <f>IF(CI71="", "", (CH71-CI71)*1000/(CG71-CG70))</f>
        <v/>
      </c>
      <c r="CP71" s="1">
        <f>IF(CO71="","",CO71/CL$2/3)</f>
        <v/>
      </c>
      <c r="CQ71" s="1">
        <f>IF(CO71="","", 100*_xlfn.STDEV.P(CO70:CO71)/AVERAGE(CO70:CO71))</f>
        <v/>
      </c>
      <c r="CR71" s="8">
        <f t="array" ref="CR71">IF(CO71="","", IFERROR(((IF(CO$5&lt;&gt;"", CO$5*CG$5, 0) + SUMPRODUCT(--(CO$6:CO71&lt;&gt;""), CO$6:CO71, (CG$6:CG71-CG$5:CG70)))/1000), ""))</f>
        <v/>
      </c>
    </row>
    <row r="72">
      <c r="A72" s="1">
        <f>A71+20</f>
        <v/>
      </c>
      <c r="B72" s="1">
        <f>C71</f>
        <v/>
      </c>
      <c r="E72" t="inlineStr">
        <is>
          <t>60mL/3s/30s</t>
        </is>
      </c>
      <c r="I72" s="1">
        <f>IF(C72="", "", (B72-C72)*1000/(A72-A71))</f>
        <v/>
      </c>
      <c r="J72" s="1">
        <f>IF(I72="","",I72/F$2/3)</f>
        <v/>
      </c>
      <c r="K72" s="1">
        <f>IF(I72="","", 100*_xlfn.STDEV.P(I71:I72)/AVERAGE(I71:I72))</f>
        <v/>
      </c>
      <c r="L72" s="8">
        <f t="array" ref="L72">IF(I72="","", IFERROR(((IF(I$5&lt;&gt;"", I$5*A$5, 0) + SUMPRODUCT(--(I$6:I72&lt;&gt;""), I$6:I72, (A$6:A72-A$5:A71)))/1000), ""))</f>
        <v/>
      </c>
      <c r="M72" s="1">
        <f>M71+20</f>
        <v/>
      </c>
      <c r="N72" s="1">
        <f>O71</f>
        <v/>
      </c>
      <c r="Q72" t="inlineStr">
        <is>
          <t>60mL/3s/30s</t>
        </is>
      </c>
      <c r="U72" s="1">
        <f>IF(O72="", "", (N72-O72)*1000/(M72-M71))</f>
        <v/>
      </c>
      <c r="V72" s="1">
        <f>IF(U72="","",U72/R$2/3)</f>
        <v/>
      </c>
      <c r="W72" s="1">
        <f>IF(U72="","", 100*_xlfn.STDEV.P(U71:U72)/AVERAGE(U71:U72))</f>
        <v/>
      </c>
      <c r="X72" s="8">
        <f t="array" ref="X72">IF(U72="","", IFERROR(((IF(U$5&lt;&gt;"", U$5*M$5, 0) + SUMPRODUCT(--(U$6:U72&lt;&gt;""), U$6:U72, (M$6:M72-M$5:M71)))/1000), ""))</f>
        <v/>
      </c>
      <c r="Y72" s="1">
        <f>Y71+20</f>
        <v/>
      </c>
      <c r="Z72" s="1">
        <f>AA71</f>
        <v/>
      </c>
      <c r="AC72" t="inlineStr">
        <is>
          <t>60mL/3s/30s</t>
        </is>
      </c>
      <c r="AG72" s="1">
        <f>IF(AA72="", "", (Z72-AA72)*1000/(Y72-Y71))</f>
        <v/>
      </c>
      <c r="AH72" s="1">
        <f>IF(AG72="","",AG72/AD$2/3)</f>
        <v/>
      </c>
      <c r="AI72" s="1">
        <f>IF(AG72="","", 100*_xlfn.STDEV.P(AG71:AG72)/AVERAGE(AG71:AG72))</f>
        <v/>
      </c>
      <c r="AJ72" s="8">
        <f t="array" ref="AJ72">IF(AG72="","", IFERROR(((IF(AG$5&lt;&gt;"", AG$5*Y$5, 0) + SUMPRODUCT(--(AG$6:AG72&lt;&gt;""), AG$6:AG72, (Y$6:Y72-Y$5:Y71)))/1000), ""))</f>
        <v/>
      </c>
      <c r="AK72" s="1">
        <f>AK71+20</f>
        <v/>
      </c>
      <c r="AL72" s="1">
        <f>AM71</f>
        <v/>
      </c>
      <c r="AO72" t="inlineStr">
        <is>
          <t>60mL/3s/30s</t>
        </is>
      </c>
      <c r="AS72" s="1">
        <f>IF(AM72="", "", (AL72-AM72)*1000/(AK72-AK71))</f>
        <v/>
      </c>
      <c r="AT72" s="1">
        <f>IF(AS72="","",AS72/AP$2/3)</f>
        <v/>
      </c>
      <c r="AU72" s="1">
        <f>IF(AS72="","", 100*_xlfn.STDEV.P(AS71:AS72)/AVERAGE(AS71:AS72))</f>
        <v/>
      </c>
      <c r="AV72" s="8">
        <f t="array" ref="AV72">IF(AS72="","", IFERROR(((IF(AS$5&lt;&gt;"", AS$5*AK$5, 0) + SUMPRODUCT(--(AS$6:AS72&lt;&gt;""), AS$6:AS72, (AK$6:AK72-AK$5:AK71)))/1000), ""))</f>
        <v/>
      </c>
      <c r="AW72" s="1">
        <f>AW71+20</f>
        <v/>
      </c>
      <c r="AX72" s="1">
        <f>AY71</f>
        <v/>
      </c>
      <c r="BA72" t="inlineStr">
        <is>
          <t>60mL/3s/30s</t>
        </is>
      </c>
      <c r="BE72" s="1">
        <f>IF(AY72="", "", (AX72-AY72)*1000/(AW72-AW71))</f>
        <v/>
      </c>
      <c r="BF72" s="1">
        <f>IF(BE72="","",BE72/BB$2/3)</f>
        <v/>
      </c>
      <c r="BG72" s="1">
        <f>IF(BE72="","", 100*_xlfn.STDEV.P(BE71:BE72)/AVERAGE(BE71:BE72))</f>
        <v/>
      </c>
      <c r="BH72" s="8">
        <f t="array" ref="BH72">IF(BE72="","", IFERROR(((IF(BE$5&lt;&gt;"", BE$5*AW$5, 0) + SUMPRODUCT(--(BE$6:BE72&lt;&gt;""), BE$6:BE72, (AW$6:AW72-AW$5:AW71)))/1000), ""))</f>
        <v/>
      </c>
      <c r="BI72" s="1">
        <f>BI71+20</f>
        <v/>
      </c>
      <c r="BJ72" s="1">
        <f>BK71</f>
        <v/>
      </c>
      <c r="BM72" t="inlineStr">
        <is>
          <t>60mL/3s/30s</t>
        </is>
      </c>
      <c r="BQ72" s="1">
        <f>IF(BK72="", "", (BJ72-BK72)*1000/(BI72-BI71))</f>
        <v/>
      </c>
      <c r="BR72" s="1">
        <f>IF(BQ72="","",BQ72/BN$2/3)</f>
        <v/>
      </c>
      <c r="BS72" s="1">
        <f>IF(BQ72="","", 100*_xlfn.STDEV.P(BQ71:BQ72)/AVERAGE(BQ71:BQ72))</f>
        <v/>
      </c>
      <c r="BT72" s="8">
        <f t="array" ref="BT72">IF(BQ72="","", IFERROR(((IF(BQ$5&lt;&gt;"", BQ$5*BI$5, 0) + SUMPRODUCT(--(BQ$6:BQ72&lt;&gt;""), BQ$6:BQ72, (BI$6:BI72-BI$5:BI71)))/1000), ""))</f>
        <v/>
      </c>
      <c r="BU72" s="1">
        <f>BU71+20</f>
        <v/>
      </c>
      <c r="BV72" s="1">
        <f>BW71</f>
        <v/>
      </c>
      <c r="BY72" t="inlineStr">
        <is>
          <t>60mL/3s/30s</t>
        </is>
      </c>
      <c r="CC72" s="1">
        <f>IF(BW72="", "", (BV72-BW72)*1000/(BU72-BU71))</f>
        <v/>
      </c>
      <c r="CD72" s="1">
        <f>IF(CC72="","",CC72/BZ$2/3)</f>
        <v/>
      </c>
      <c r="CE72" s="1">
        <f>IF(CC72="","", 100*_xlfn.STDEV.P(CC71:CC72)/AVERAGE(CC71:CC72))</f>
        <v/>
      </c>
      <c r="CF72" s="8">
        <f t="array" ref="CF72">IF(CC72="","", IFERROR(((IF(CC$5&lt;&gt;"", CC$5*BU$5, 0) + SUMPRODUCT(--(CC$6:CC72&lt;&gt;""), CC$6:CC72, (BU$6:BU72-BU$5:BU71)))/1000), ""))</f>
        <v/>
      </c>
      <c r="CG72" s="1">
        <f>CG71+20</f>
        <v/>
      </c>
      <c r="CH72" s="1">
        <f>CI71</f>
        <v/>
      </c>
      <c r="CK72" t="inlineStr">
        <is>
          <t>60mL/3s/30s</t>
        </is>
      </c>
      <c r="CO72" s="1">
        <f>IF(CI72="", "", (CH72-CI72)*1000/(CG72-CG71))</f>
        <v/>
      </c>
      <c r="CP72" s="1">
        <f>IF(CO72="","",CO72/CL$2/3)</f>
        <v/>
      </c>
      <c r="CQ72" s="1">
        <f>IF(CO72="","", 100*_xlfn.STDEV.P(CO71:CO72)/AVERAGE(CO71:CO72))</f>
        <v/>
      </c>
      <c r="CR72" s="8">
        <f t="array" ref="CR72">IF(CO72="","", IFERROR(((IF(CO$5&lt;&gt;"", CO$5*CG$5, 0) + SUMPRODUCT(--(CO$6:CO72&lt;&gt;""), CO$6:CO72, (CG$6:CG72-CG$5:CG71)))/1000), ""))</f>
        <v/>
      </c>
    </row>
    <row r="73">
      <c r="A73" s="1">
        <f>A72+20</f>
        <v/>
      </c>
      <c r="B73" s="1">
        <f>C72</f>
        <v/>
      </c>
      <c r="E73" t="inlineStr">
        <is>
          <t>60mL/3s/30s</t>
        </is>
      </c>
      <c r="I73" s="1">
        <f>IF(C73="", "", (B73-C73)*1000/(A73-A72))</f>
        <v/>
      </c>
      <c r="J73" s="1">
        <f>IF(I73="","",I73/F$2/3)</f>
        <v/>
      </c>
      <c r="K73" s="1">
        <f>IF(I73="","", 100*_xlfn.STDEV.P(I72:I73)/AVERAGE(I72:I73))</f>
        <v/>
      </c>
      <c r="L73" s="8">
        <f t="array" ref="L73">IF(I73="","", IFERROR(((IF(I$5&lt;&gt;"", I$5*A$5, 0) + SUMPRODUCT(--(I$6:I73&lt;&gt;""), I$6:I73, (A$6:A73-A$5:A72)))/1000), ""))</f>
        <v/>
      </c>
      <c r="M73" s="1">
        <f>M72+20</f>
        <v/>
      </c>
      <c r="N73" s="1">
        <f>O72</f>
        <v/>
      </c>
      <c r="Q73" t="inlineStr">
        <is>
          <t>60mL/3s/30s</t>
        </is>
      </c>
      <c r="U73" s="1">
        <f>IF(O73="", "", (N73-O73)*1000/(M73-M72))</f>
        <v/>
      </c>
      <c r="V73" s="1">
        <f>IF(U73="","",U73/R$2/3)</f>
        <v/>
      </c>
      <c r="W73" s="1">
        <f>IF(U73="","", 100*_xlfn.STDEV.P(U72:U73)/AVERAGE(U72:U73))</f>
        <v/>
      </c>
      <c r="X73" s="8">
        <f t="array" ref="X73">IF(U73="","", IFERROR(((IF(U$5&lt;&gt;"", U$5*M$5, 0) + SUMPRODUCT(--(U$6:U73&lt;&gt;""), U$6:U73, (M$6:M73-M$5:M72)))/1000), ""))</f>
        <v/>
      </c>
      <c r="Y73" s="1">
        <f>Y72+20</f>
        <v/>
      </c>
      <c r="Z73" s="1">
        <f>AA72</f>
        <v/>
      </c>
      <c r="AC73" t="inlineStr">
        <is>
          <t>60mL/3s/30s</t>
        </is>
      </c>
      <c r="AG73" s="1">
        <f>IF(AA73="", "", (Z73-AA73)*1000/(Y73-Y72))</f>
        <v/>
      </c>
      <c r="AH73" s="1">
        <f>IF(AG73="","",AG73/AD$2/3)</f>
        <v/>
      </c>
      <c r="AI73" s="1">
        <f>IF(AG73="","", 100*_xlfn.STDEV.P(AG72:AG73)/AVERAGE(AG72:AG73))</f>
        <v/>
      </c>
      <c r="AJ73" s="8">
        <f t="array" ref="AJ73">IF(AG73="","", IFERROR(((IF(AG$5&lt;&gt;"", AG$5*Y$5, 0) + SUMPRODUCT(--(AG$6:AG73&lt;&gt;""), AG$6:AG73, (Y$6:Y73-Y$5:Y72)))/1000), ""))</f>
        <v/>
      </c>
      <c r="AK73" s="1">
        <f>AK72+20</f>
        <v/>
      </c>
      <c r="AL73" s="1">
        <f>AM72</f>
        <v/>
      </c>
      <c r="AO73" t="inlineStr">
        <is>
          <t>60mL/3s/30s</t>
        </is>
      </c>
      <c r="AS73" s="1">
        <f>IF(AM73="", "", (AL73-AM73)*1000/(AK73-AK72))</f>
        <v/>
      </c>
      <c r="AT73" s="1">
        <f>IF(AS73="","",AS73/AP$2/3)</f>
        <v/>
      </c>
      <c r="AU73" s="1">
        <f>IF(AS73="","", 100*_xlfn.STDEV.P(AS72:AS73)/AVERAGE(AS72:AS73))</f>
        <v/>
      </c>
      <c r="AV73" s="8">
        <f t="array" ref="AV73">IF(AS73="","", IFERROR(((IF(AS$5&lt;&gt;"", AS$5*AK$5, 0) + SUMPRODUCT(--(AS$6:AS73&lt;&gt;""), AS$6:AS73, (AK$6:AK73-AK$5:AK72)))/1000), ""))</f>
        <v/>
      </c>
      <c r="AW73" s="1">
        <f>AW72+20</f>
        <v/>
      </c>
      <c r="AX73" s="1">
        <f>AY72</f>
        <v/>
      </c>
      <c r="BA73" t="inlineStr">
        <is>
          <t>60mL/3s/30s</t>
        </is>
      </c>
      <c r="BE73" s="1">
        <f>IF(AY73="", "", (AX73-AY73)*1000/(AW73-AW72))</f>
        <v/>
      </c>
      <c r="BF73" s="1">
        <f>IF(BE73="","",BE73/BB$2/3)</f>
        <v/>
      </c>
      <c r="BG73" s="1">
        <f>IF(BE73="","", 100*_xlfn.STDEV.P(BE72:BE73)/AVERAGE(BE72:BE73))</f>
        <v/>
      </c>
      <c r="BH73" s="8">
        <f t="array" ref="BH73">IF(BE73="","", IFERROR(((IF(BE$5&lt;&gt;"", BE$5*AW$5, 0) + SUMPRODUCT(--(BE$6:BE73&lt;&gt;""), BE$6:BE73, (AW$6:AW73-AW$5:AW72)))/1000), ""))</f>
        <v/>
      </c>
      <c r="BI73" s="1">
        <f>BI72+20</f>
        <v/>
      </c>
      <c r="BJ73" s="1">
        <f>BK72</f>
        <v/>
      </c>
      <c r="BM73" t="inlineStr">
        <is>
          <t>60mL/3s/30s</t>
        </is>
      </c>
      <c r="BQ73" s="1">
        <f>IF(BK73="", "", (BJ73-BK73)*1000/(BI73-BI72))</f>
        <v/>
      </c>
      <c r="BR73" s="1">
        <f>IF(BQ73="","",BQ73/BN$2/3)</f>
        <v/>
      </c>
      <c r="BS73" s="1">
        <f>IF(BQ73="","", 100*_xlfn.STDEV.P(BQ72:BQ73)/AVERAGE(BQ72:BQ73))</f>
        <v/>
      </c>
      <c r="BT73" s="8">
        <f t="array" ref="BT73">IF(BQ73="","", IFERROR(((IF(BQ$5&lt;&gt;"", BQ$5*BI$5, 0) + SUMPRODUCT(--(BQ$6:BQ73&lt;&gt;""), BQ$6:BQ73, (BI$6:BI73-BI$5:BI72)))/1000), ""))</f>
        <v/>
      </c>
      <c r="BU73" s="1">
        <f>BU72+20</f>
        <v/>
      </c>
      <c r="BV73" s="1">
        <f>BW72</f>
        <v/>
      </c>
      <c r="BY73" t="inlineStr">
        <is>
          <t>60mL/3s/30s</t>
        </is>
      </c>
      <c r="CC73" s="1">
        <f>IF(BW73="", "", (BV73-BW73)*1000/(BU73-BU72))</f>
        <v/>
      </c>
      <c r="CD73" s="1">
        <f>IF(CC73="","",CC73/BZ$2/3)</f>
        <v/>
      </c>
      <c r="CE73" s="1">
        <f>IF(CC73="","", 100*_xlfn.STDEV.P(CC72:CC73)/AVERAGE(CC72:CC73))</f>
        <v/>
      </c>
      <c r="CF73" s="8">
        <f t="array" ref="CF73">IF(CC73="","", IFERROR(((IF(CC$5&lt;&gt;"", CC$5*BU$5, 0) + SUMPRODUCT(--(CC$6:CC73&lt;&gt;""), CC$6:CC73, (BU$6:BU73-BU$5:BU72)))/1000), ""))</f>
        <v/>
      </c>
      <c r="CG73" s="1">
        <f>CG72+20</f>
        <v/>
      </c>
      <c r="CH73" s="1">
        <f>CI72</f>
        <v/>
      </c>
      <c r="CK73" t="inlineStr">
        <is>
          <t>60mL/3s/30s</t>
        </is>
      </c>
      <c r="CO73" s="1">
        <f>IF(CI73="", "", (CH73-CI73)*1000/(CG73-CG72))</f>
        <v/>
      </c>
      <c r="CP73" s="1">
        <f>IF(CO73="","",CO73/CL$2/3)</f>
        <v/>
      </c>
      <c r="CQ73" s="1">
        <f>IF(CO73="","", 100*_xlfn.STDEV.P(CO72:CO73)/AVERAGE(CO72:CO73))</f>
        <v/>
      </c>
      <c r="CR73" s="8">
        <f t="array" ref="CR73">IF(CO73="","", IFERROR(((IF(CO$5&lt;&gt;"", CO$5*CG$5, 0) + SUMPRODUCT(--(CO$6:CO73&lt;&gt;""), CO$6:CO73, (CG$6:CG73-CG$5:CG72)))/1000), ""))</f>
        <v/>
      </c>
    </row>
    <row r="74">
      <c r="A74" s="1">
        <f>A73+20</f>
        <v/>
      </c>
      <c r="B74" s="1">
        <f>C73</f>
        <v/>
      </c>
      <c r="E74" t="inlineStr">
        <is>
          <t>60mL/3s/30s</t>
        </is>
      </c>
      <c r="I74" s="1">
        <f>IF(C74="", "", (B74-C74)*1000/(A74-A73))</f>
        <v/>
      </c>
      <c r="J74" s="1">
        <f>IF(I74="","",I74/F$2/3)</f>
        <v/>
      </c>
      <c r="K74" s="1">
        <f>IF(I74="","", 100*_xlfn.STDEV.P(I73:I74)/AVERAGE(I73:I74))</f>
        <v/>
      </c>
      <c r="L74" s="8">
        <f t="array" ref="L74">IF(I74="","", IFERROR(((IF(I$5&lt;&gt;"", I$5*A$5, 0) + SUMPRODUCT(--(I$6:I74&lt;&gt;""), I$6:I74, (A$6:A74-A$5:A73)))/1000), ""))</f>
        <v/>
      </c>
      <c r="M74" s="1">
        <f>M73+20</f>
        <v/>
      </c>
      <c r="N74" s="1">
        <f>O73</f>
        <v/>
      </c>
      <c r="Q74" t="inlineStr">
        <is>
          <t>60mL/3s/30s</t>
        </is>
      </c>
      <c r="U74" s="1">
        <f>IF(O74="", "", (N74-O74)*1000/(M74-M73))</f>
        <v/>
      </c>
      <c r="V74" s="1">
        <f>IF(U74="","",U74/R$2/3)</f>
        <v/>
      </c>
      <c r="W74" s="1">
        <f>IF(U74="","", 100*_xlfn.STDEV.P(U73:U74)/AVERAGE(U73:U74))</f>
        <v/>
      </c>
      <c r="X74" s="8">
        <f t="array" ref="X74">IF(U74="","", IFERROR(((IF(U$5&lt;&gt;"", U$5*M$5, 0) + SUMPRODUCT(--(U$6:U74&lt;&gt;""), U$6:U74, (M$6:M74-M$5:M73)))/1000), ""))</f>
        <v/>
      </c>
      <c r="Y74" s="1">
        <f>Y73+20</f>
        <v/>
      </c>
      <c r="Z74" s="1">
        <f>AA73</f>
        <v/>
      </c>
      <c r="AC74" t="inlineStr">
        <is>
          <t>60mL/3s/30s</t>
        </is>
      </c>
      <c r="AG74" s="1">
        <f>IF(AA74="", "", (Z74-AA74)*1000/(Y74-Y73))</f>
        <v/>
      </c>
      <c r="AH74" s="1">
        <f>IF(AG74="","",AG74/AD$2/3)</f>
        <v/>
      </c>
      <c r="AI74" s="1">
        <f>IF(AG74="","", 100*_xlfn.STDEV.P(AG73:AG74)/AVERAGE(AG73:AG74))</f>
        <v/>
      </c>
      <c r="AJ74" s="8">
        <f t="array" ref="AJ74">IF(AG74="","", IFERROR(((IF(AG$5&lt;&gt;"", AG$5*Y$5, 0) + SUMPRODUCT(--(AG$6:AG74&lt;&gt;""), AG$6:AG74, (Y$6:Y74-Y$5:Y73)))/1000), ""))</f>
        <v/>
      </c>
      <c r="AK74" s="1">
        <f>AK73+20</f>
        <v/>
      </c>
      <c r="AL74" s="1">
        <f>AM73</f>
        <v/>
      </c>
      <c r="AO74" t="inlineStr">
        <is>
          <t>60mL/3s/30s</t>
        </is>
      </c>
      <c r="AS74" s="1">
        <f>IF(AM74="", "", (AL74-AM74)*1000/(AK74-AK73))</f>
        <v/>
      </c>
      <c r="AT74" s="1">
        <f>IF(AS74="","",AS74/AP$2/3)</f>
        <v/>
      </c>
      <c r="AU74" s="1">
        <f>IF(AS74="","", 100*_xlfn.STDEV.P(AS73:AS74)/AVERAGE(AS73:AS74))</f>
        <v/>
      </c>
      <c r="AV74" s="8">
        <f t="array" ref="AV74">IF(AS74="","", IFERROR(((IF(AS$5&lt;&gt;"", AS$5*AK$5, 0) + SUMPRODUCT(--(AS$6:AS74&lt;&gt;""), AS$6:AS74, (AK$6:AK74-AK$5:AK73)))/1000), ""))</f>
        <v/>
      </c>
      <c r="AW74" s="1">
        <f>AW73+20</f>
        <v/>
      </c>
      <c r="AX74" s="1">
        <f>AY73</f>
        <v/>
      </c>
      <c r="BA74" t="inlineStr">
        <is>
          <t>60mL/3s/30s</t>
        </is>
      </c>
      <c r="BE74" s="1">
        <f>IF(AY74="", "", (AX74-AY74)*1000/(AW74-AW73))</f>
        <v/>
      </c>
      <c r="BF74" s="1">
        <f>IF(BE74="","",BE74/BB$2/3)</f>
        <v/>
      </c>
      <c r="BG74" s="1">
        <f>IF(BE74="","", 100*_xlfn.STDEV.P(BE73:BE74)/AVERAGE(BE73:BE74))</f>
        <v/>
      </c>
      <c r="BH74" s="8">
        <f t="array" ref="BH74">IF(BE74="","", IFERROR(((IF(BE$5&lt;&gt;"", BE$5*AW$5, 0) + SUMPRODUCT(--(BE$6:BE74&lt;&gt;""), BE$6:BE74, (AW$6:AW74-AW$5:AW73)))/1000), ""))</f>
        <v/>
      </c>
      <c r="BI74" s="1">
        <f>BI73+20</f>
        <v/>
      </c>
      <c r="BJ74" s="1">
        <f>BK73</f>
        <v/>
      </c>
      <c r="BM74" t="inlineStr">
        <is>
          <t>60mL/3s/30s</t>
        </is>
      </c>
      <c r="BQ74" s="1">
        <f>IF(BK74="", "", (BJ74-BK74)*1000/(BI74-BI73))</f>
        <v/>
      </c>
      <c r="BR74" s="1">
        <f>IF(BQ74="","",BQ74/BN$2/3)</f>
        <v/>
      </c>
      <c r="BS74" s="1">
        <f>IF(BQ74="","", 100*_xlfn.STDEV.P(BQ73:BQ74)/AVERAGE(BQ73:BQ74))</f>
        <v/>
      </c>
      <c r="BT74" s="8">
        <f t="array" ref="BT74">IF(BQ74="","", IFERROR(((IF(BQ$5&lt;&gt;"", BQ$5*BI$5, 0) + SUMPRODUCT(--(BQ$6:BQ74&lt;&gt;""), BQ$6:BQ74, (BI$6:BI74-BI$5:BI73)))/1000), ""))</f>
        <v/>
      </c>
      <c r="BU74" s="1">
        <f>BU73+20</f>
        <v/>
      </c>
      <c r="BV74" s="1">
        <f>BW73</f>
        <v/>
      </c>
      <c r="BY74" t="inlineStr">
        <is>
          <t>60mL/3s/30s</t>
        </is>
      </c>
      <c r="CC74" s="1">
        <f>IF(BW74="", "", (BV74-BW74)*1000/(BU74-BU73))</f>
        <v/>
      </c>
      <c r="CD74" s="1">
        <f>IF(CC74="","",CC74/BZ$2/3)</f>
        <v/>
      </c>
      <c r="CE74" s="1">
        <f>IF(CC74="","", 100*_xlfn.STDEV.P(CC73:CC74)/AVERAGE(CC73:CC74))</f>
        <v/>
      </c>
      <c r="CF74" s="8">
        <f t="array" ref="CF74">IF(CC74="","", IFERROR(((IF(CC$5&lt;&gt;"", CC$5*BU$5, 0) + SUMPRODUCT(--(CC$6:CC74&lt;&gt;""), CC$6:CC74, (BU$6:BU74-BU$5:BU73)))/1000), ""))</f>
        <v/>
      </c>
      <c r="CG74" s="1">
        <f>CG73+20</f>
        <v/>
      </c>
      <c r="CH74" s="1">
        <f>CI73</f>
        <v/>
      </c>
      <c r="CK74" t="inlineStr">
        <is>
          <t>60mL/3s/30s</t>
        </is>
      </c>
      <c r="CO74" s="1">
        <f>IF(CI74="", "", (CH74-CI74)*1000/(CG74-CG73))</f>
        <v/>
      </c>
      <c r="CP74" s="1">
        <f>IF(CO74="","",CO74/CL$2/3)</f>
        <v/>
      </c>
      <c r="CQ74" s="1">
        <f>IF(CO74="","", 100*_xlfn.STDEV.P(CO73:CO74)/AVERAGE(CO73:CO74))</f>
        <v/>
      </c>
      <c r="CR74" s="8">
        <f t="array" ref="CR74">IF(CO74="","", IFERROR(((IF(CO$5&lt;&gt;"", CO$5*CG$5, 0) + SUMPRODUCT(--(CO$6:CO74&lt;&gt;""), CO$6:CO74, (CG$6:CG74-CG$5:CG73)))/1000), ""))</f>
        <v/>
      </c>
    </row>
    <row r="75">
      <c r="A75" s="1">
        <f>A74+20</f>
        <v/>
      </c>
      <c r="B75" s="1">
        <f>C74</f>
        <v/>
      </c>
      <c r="E75" t="inlineStr">
        <is>
          <t>60mL/3s/30s</t>
        </is>
      </c>
      <c r="I75" s="1">
        <f>IF(C75="", "", (B75-C75)*1000/(A75-A74))</f>
        <v/>
      </c>
      <c r="J75" s="1">
        <f>IF(I75="","",I75/F$2/3)</f>
        <v/>
      </c>
      <c r="K75" s="1">
        <f>IF(I75="","", 100*_xlfn.STDEV.P(I74:I75)/AVERAGE(I74:I75))</f>
        <v/>
      </c>
      <c r="L75" s="8">
        <f t="array" ref="L75">IF(I75="","", IFERROR(((IF(I$5&lt;&gt;"", I$5*A$5, 0) + SUMPRODUCT(--(I$6:I75&lt;&gt;""), I$6:I75, (A$6:A75-A$5:A74)))/1000), ""))</f>
        <v/>
      </c>
      <c r="M75" s="1">
        <f>M74+20</f>
        <v/>
      </c>
      <c r="N75" s="1">
        <f>O74</f>
        <v/>
      </c>
      <c r="Q75" t="inlineStr">
        <is>
          <t>60mL/3s/30s</t>
        </is>
      </c>
      <c r="U75" s="1">
        <f>IF(O75="", "", (N75-O75)*1000/(M75-M74))</f>
        <v/>
      </c>
      <c r="V75" s="1">
        <f>IF(U75="","",U75/R$2/3)</f>
        <v/>
      </c>
      <c r="W75" s="1">
        <f>IF(U75="","", 100*_xlfn.STDEV.P(U74:U75)/AVERAGE(U74:U75))</f>
        <v/>
      </c>
      <c r="X75" s="8">
        <f t="array" ref="X75">IF(U75="","", IFERROR(((IF(U$5&lt;&gt;"", U$5*M$5, 0) + SUMPRODUCT(--(U$6:U75&lt;&gt;""), U$6:U75, (M$6:M75-M$5:M74)))/1000), ""))</f>
        <v/>
      </c>
      <c r="Y75" s="1">
        <f>Y74+20</f>
        <v/>
      </c>
      <c r="Z75" s="1">
        <f>AA74</f>
        <v/>
      </c>
      <c r="AC75" t="inlineStr">
        <is>
          <t>60mL/3s/30s</t>
        </is>
      </c>
      <c r="AG75" s="1">
        <f>IF(AA75="", "", (Z75-AA75)*1000/(Y75-Y74))</f>
        <v/>
      </c>
      <c r="AH75" s="1">
        <f>IF(AG75="","",AG75/AD$2/3)</f>
        <v/>
      </c>
      <c r="AI75" s="1">
        <f>IF(AG75="","", 100*_xlfn.STDEV.P(AG74:AG75)/AVERAGE(AG74:AG75))</f>
        <v/>
      </c>
      <c r="AJ75" s="8">
        <f t="array" ref="AJ75">IF(AG75="","", IFERROR(((IF(AG$5&lt;&gt;"", AG$5*Y$5, 0) + SUMPRODUCT(--(AG$6:AG75&lt;&gt;""), AG$6:AG75, (Y$6:Y75-Y$5:Y74)))/1000), ""))</f>
        <v/>
      </c>
      <c r="AK75" s="1">
        <f>AK74+20</f>
        <v/>
      </c>
      <c r="AL75" s="1">
        <f>AM74</f>
        <v/>
      </c>
      <c r="AO75" t="inlineStr">
        <is>
          <t>60mL/3s/30s</t>
        </is>
      </c>
      <c r="AS75" s="1">
        <f>IF(AM75="", "", (AL75-AM75)*1000/(AK75-AK74))</f>
        <v/>
      </c>
      <c r="AT75" s="1">
        <f>IF(AS75="","",AS75/AP$2/3)</f>
        <v/>
      </c>
      <c r="AU75" s="1">
        <f>IF(AS75="","", 100*_xlfn.STDEV.P(AS74:AS75)/AVERAGE(AS74:AS75))</f>
        <v/>
      </c>
      <c r="AV75" s="8">
        <f t="array" ref="AV75">IF(AS75="","", IFERROR(((IF(AS$5&lt;&gt;"", AS$5*AK$5, 0) + SUMPRODUCT(--(AS$6:AS75&lt;&gt;""), AS$6:AS75, (AK$6:AK75-AK$5:AK74)))/1000), ""))</f>
        <v/>
      </c>
      <c r="AW75" s="1">
        <f>AW74+20</f>
        <v/>
      </c>
      <c r="AX75" s="1">
        <f>AY74</f>
        <v/>
      </c>
      <c r="BA75" t="inlineStr">
        <is>
          <t>60mL/3s/30s</t>
        </is>
      </c>
      <c r="BE75" s="1">
        <f>IF(AY75="", "", (AX75-AY75)*1000/(AW75-AW74))</f>
        <v/>
      </c>
      <c r="BF75" s="1">
        <f>IF(BE75="","",BE75/BB$2/3)</f>
        <v/>
      </c>
      <c r="BG75" s="1">
        <f>IF(BE75="","", 100*_xlfn.STDEV.P(BE74:BE75)/AVERAGE(BE74:BE75))</f>
        <v/>
      </c>
      <c r="BH75" s="8">
        <f t="array" ref="BH75">IF(BE75="","", IFERROR(((IF(BE$5&lt;&gt;"", BE$5*AW$5, 0) + SUMPRODUCT(--(BE$6:BE75&lt;&gt;""), BE$6:BE75, (AW$6:AW75-AW$5:AW74)))/1000), ""))</f>
        <v/>
      </c>
      <c r="BI75" s="1">
        <f>BI74+20</f>
        <v/>
      </c>
      <c r="BJ75" s="1">
        <f>BK74</f>
        <v/>
      </c>
      <c r="BM75" t="inlineStr">
        <is>
          <t>60mL/3s/30s</t>
        </is>
      </c>
      <c r="BQ75" s="1">
        <f>IF(BK75="", "", (BJ75-BK75)*1000/(BI75-BI74))</f>
        <v/>
      </c>
      <c r="BR75" s="1">
        <f>IF(BQ75="","",BQ75/BN$2/3)</f>
        <v/>
      </c>
      <c r="BS75" s="1">
        <f>IF(BQ75="","", 100*_xlfn.STDEV.P(BQ74:BQ75)/AVERAGE(BQ74:BQ75))</f>
        <v/>
      </c>
      <c r="BT75" s="8">
        <f t="array" ref="BT75">IF(BQ75="","", IFERROR(((IF(BQ$5&lt;&gt;"", BQ$5*BI$5, 0) + SUMPRODUCT(--(BQ$6:BQ75&lt;&gt;""), BQ$6:BQ75, (BI$6:BI75-BI$5:BI74)))/1000), ""))</f>
        <v/>
      </c>
      <c r="BU75" s="1">
        <f>BU74+20</f>
        <v/>
      </c>
      <c r="BV75" s="1">
        <f>BW74</f>
        <v/>
      </c>
      <c r="BY75" t="inlineStr">
        <is>
          <t>60mL/3s/30s</t>
        </is>
      </c>
      <c r="CC75" s="1">
        <f>IF(BW75="", "", (BV75-BW75)*1000/(BU75-BU74))</f>
        <v/>
      </c>
      <c r="CD75" s="1">
        <f>IF(CC75="","",CC75/BZ$2/3)</f>
        <v/>
      </c>
      <c r="CE75" s="1">
        <f>IF(CC75="","", 100*_xlfn.STDEV.P(CC74:CC75)/AVERAGE(CC74:CC75))</f>
        <v/>
      </c>
      <c r="CF75" s="8">
        <f t="array" ref="CF75">IF(CC75="","", IFERROR(((IF(CC$5&lt;&gt;"", CC$5*BU$5, 0) + SUMPRODUCT(--(CC$6:CC75&lt;&gt;""), CC$6:CC75, (BU$6:BU75-BU$5:BU74)))/1000), ""))</f>
        <v/>
      </c>
      <c r="CG75" s="1">
        <f>CG74+20</f>
        <v/>
      </c>
      <c r="CH75" s="1">
        <f>CI74</f>
        <v/>
      </c>
      <c r="CK75" t="inlineStr">
        <is>
          <t>60mL/3s/30s</t>
        </is>
      </c>
      <c r="CO75" s="1">
        <f>IF(CI75="", "", (CH75-CI75)*1000/(CG75-CG74))</f>
        <v/>
      </c>
      <c r="CP75" s="1">
        <f>IF(CO75="","",CO75/CL$2/3)</f>
        <v/>
      </c>
      <c r="CQ75" s="1">
        <f>IF(CO75="","", 100*_xlfn.STDEV.P(CO74:CO75)/AVERAGE(CO74:CO75))</f>
        <v/>
      </c>
      <c r="CR75" s="8">
        <f t="array" ref="CR75">IF(CO75="","", IFERROR(((IF(CO$5&lt;&gt;"", CO$5*CG$5, 0) + SUMPRODUCT(--(CO$6:CO75&lt;&gt;""), CO$6:CO75, (CG$6:CG75-CG$5:CG74)))/1000), ""))</f>
        <v/>
      </c>
    </row>
    <row r="76">
      <c r="A76" s="1">
        <f>A75+20</f>
        <v/>
      </c>
      <c r="B76" s="1">
        <f>C75</f>
        <v/>
      </c>
      <c r="E76" t="inlineStr">
        <is>
          <t>60mL/3s/30s</t>
        </is>
      </c>
      <c r="I76" s="1">
        <f>IF(C76="", "", (B76-C76)*1000/(A76-A75))</f>
        <v/>
      </c>
      <c r="J76" s="1">
        <f>IF(I76="","",I76/F$2/3)</f>
        <v/>
      </c>
      <c r="K76" s="1">
        <f>IF(I76="","", 100*_xlfn.STDEV.P(I75:I76)/AVERAGE(I75:I76))</f>
        <v/>
      </c>
      <c r="L76" s="8">
        <f t="array" ref="L76">IF(I76="","", IFERROR(((IF(I$5&lt;&gt;"", I$5*A$5, 0) + SUMPRODUCT(--(I$6:I76&lt;&gt;""), I$6:I76, (A$6:A76-A$5:A75)))/1000), ""))</f>
        <v/>
      </c>
      <c r="M76" s="1">
        <f>M75+20</f>
        <v/>
      </c>
      <c r="N76" s="1">
        <f>O75</f>
        <v/>
      </c>
      <c r="Q76" t="inlineStr">
        <is>
          <t>60mL/3s/30s</t>
        </is>
      </c>
      <c r="U76" s="1">
        <f>IF(O76="", "", (N76-O76)*1000/(M76-M75))</f>
        <v/>
      </c>
      <c r="V76" s="1">
        <f>IF(U76="","",U76/R$2/3)</f>
        <v/>
      </c>
      <c r="W76" s="1">
        <f>IF(U76="","", 100*_xlfn.STDEV.P(U75:U76)/AVERAGE(U75:U76))</f>
        <v/>
      </c>
      <c r="X76" s="8">
        <f t="array" ref="X76">IF(U76="","", IFERROR(((IF(U$5&lt;&gt;"", U$5*M$5, 0) + SUMPRODUCT(--(U$6:U76&lt;&gt;""), U$6:U76, (M$6:M76-M$5:M75)))/1000), ""))</f>
        <v/>
      </c>
      <c r="Y76" s="1">
        <f>Y75+20</f>
        <v/>
      </c>
      <c r="Z76" s="1">
        <f>AA75</f>
        <v/>
      </c>
      <c r="AC76" t="inlineStr">
        <is>
          <t>60mL/3s/30s</t>
        </is>
      </c>
      <c r="AG76" s="1">
        <f>IF(AA76="", "", (Z76-AA76)*1000/(Y76-Y75))</f>
        <v/>
      </c>
      <c r="AH76" s="1">
        <f>IF(AG76="","",AG76/AD$2/3)</f>
        <v/>
      </c>
      <c r="AI76" s="1">
        <f>IF(AG76="","", 100*_xlfn.STDEV.P(AG75:AG76)/AVERAGE(AG75:AG76))</f>
        <v/>
      </c>
      <c r="AJ76" s="8">
        <f t="array" ref="AJ76">IF(AG76="","", IFERROR(((IF(AG$5&lt;&gt;"", AG$5*Y$5, 0) + SUMPRODUCT(--(AG$6:AG76&lt;&gt;""), AG$6:AG76, (Y$6:Y76-Y$5:Y75)))/1000), ""))</f>
        <v/>
      </c>
      <c r="AK76" s="1">
        <f>AK75+20</f>
        <v/>
      </c>
      <c r="AL76" s="1">
        <f>AM75</f>
        <v/>
      </c>
      <c r="AO76" t="inlineStr">
        <is>
          <t>60mL/3s/30s</t>
        </is>
      </c>
      <c r="AS76" s="1">
        <f>IF(AM76="", "", (AL76-AM76)*1000/(AK76-AK75))</f>
        <v/>
      </c>
      <c r="AT76" s="1">
        <f>IF(AS76="","",AS76/AP$2/3)</f>
        <v/>
      </c>
      <c r="AU76" s="1">
        <f>IF(AS76="","", 100*_xlfn.STDEV.P(AS75:AS76)/AVERAGE(AS75:AS76))</f>
        <v/>
      </c>
      <c r="AV76" s="8">
        <f t="array" ref="AV76">IF(AS76="","", IFERROR(((IF(AS$5&lt;&gt;"", AS$5*AK$5, 0) + SUMPRODUCT(--(AS$6:AS76&lt;&gt;""), AS$6:AS76, (AK$6:AK76-AK$5:AK75)))/1000), ""))</f>
        <v/>
      </c>
      <c r="AW76" s="1">
        <f>AW75+20</f>
        <v/>
      </c>
      <c r="AX76" s="1">
        <f>AY75</f>
        <v/>
      </c>
      <c r="BA76" t="inlineStr">
        <is>
          <t>60mL/3s/30s</t>
        </is>
      </c>
      <c r="BE76" s="1">
        <f>IF(AY76="", "", (AX76-AY76)*1000/(AW76-AW75))</f>
        <v/>
      </c>
      <c r="BF76" s="1">
        <f>IF(BE76="","",BE76/BB$2/3)</f>
        <v/>
      </c>
      <c r="BG76" s="1">
        <f>IF(BE76="","", 100*_xlfn.STDEV.P(BE75:BE76)/AVERAGE(BE75:BE76))</f>
        <v/>
      </c>
      <c r="BH76" s="8">
        <f t="array" ref="BH76">IF(BE76="","", IFERROR(((IF(BE$5&lt;&gt;"", BE$5*AW$5, 0) + SUMPRODUCT(--(BE$6:BE76&lt;&gt;""), BE$6:BE76, (AW$6:AW76-AW$5:AW75)))/1000), ""))</f>
        <v/>
      </c>
      <c r="BI76" s="1">
        <f>BI75+20</f>
        <v/>
      </c>
      <c r="BJ76" s="1">
        <f>BK75</f>
        <v/>
      </c>
      <c r="BM76" t="inlineStr">
        <is>
          <t>60mL/3s/30s</t>
        </is>
      </c>
      <c r="BQ76" s="1">
        <f>IF(BK76="", "", (BJ76-BK76)*1000/(BI76-BI75))</f>
        <v/>
      </c>
      <c r="BR76" s="1">
        <f>IF(BQ76="","",BQ76/BN$2/3)</f>
        <v/>
      </c>
      <c r="BS76" s="1">
        <f>IF(BQ76="","", 100*_xlfn.STDEV.P(BQ75:BQ76)/AVERAGE(BQ75:BQ76))</f>
        <v/>
      </c>
      <c r="BT76" s="8">
        <f t="array" ref="BT76">IF(BQ76="","", IFERROR(((IF(BQ$5&lt;&gt;"", BQ$5*BI$5, 0) + SUMPRODUCT(--(BQ$6:BQ76&lt;&gt;""), BQ$6:BQ76, (BI$6:BI76-BI$5:BI75)))/1000), ""))</f>
        <v/>
      </c>
      <c r="BU76" s="1">
        <f>BU75+20</f>
        <v/>
      </c>
      <c r="BV76" s="1">
        <f>BW75</f>
        <v/>
      </c>
      <c r="BY76" t="inlineStr">
        <is>
          <t>60mL/3s/30s</t>
        </is>
      </c>
      <c r="CC76" s="1">
        <f>IF(BW76="", "", (BV76-BW76)*1000/(BU76-BU75))</f>
        <v/>
      </c>
      <c r="CD76" s="1">
        <f>IF(CC76="","",CC76/BZ$2/3)</f>
        <v/>
      </c>
      <c r="CE76" s="1">
        <f>IF(CC76="","", 100*_xlfn.STDEV.P(CC75:CC76)/AVERAGE(CC75:CC76))</f>
        <v/>
      </c>
      <c r="CF76" s="8">
        <f t="array" ref="CF76">IF(CC76="","", IFERROR(((IF(CC$5&lt;&gt;"", CC$5*BU$5, 0) + SUMPRODUCT(--(CC$6:CC76&lt;&gt;""), CC$6:CC76, (BU$6:BU76-BU$5:BU75)))/1000), ""))</f>
        <v/>
      </c>
      <c r="CG76" s="1">
        <f>CG75+20</f>
        <v/>
      </c>
      <c r="CH76" s="1">
        <f>CI75</f>
        <v/>
      </c>
      <c r="CK76" t="inlineStr">
        <is>
          <t>60mL/3s/30s</t>
        </is>
      </c>
      <c r="CO76" s="1">
        <f>IF(CI76="", "", (CH76-CI76)*1000/(CG76-CG75))</f>
        <v/>
      </c>
      <c r="CP76" s="1">
        <f>IF(CO76="","",CO76/CL$2/3)</f>
        <v/>
      </c>
      <c r="CQ76" s="1">
        <f>IF(CO76="","", 100*_xlfn.STDEV.P(CO75:CO76)/AVERAGE(CO75:CO76))</f>
        <v/>
      </c>
      <c r="CR76" s="8">
        <f t="array" ref="CR76">IF(CO76="","", IFERROR(((IF(CO$5&lt;&gt;"", CO$5*CG$5, 0) + SUMPRODUCT(--(CO$6:CO76&lt;&gt;""), CO$6:CO76, (CG$6:CG76-CG$5:CG75)))/1000), ""))</f>
        <v/>
      </c>
    </row>
    <row r="77">
      <c r="A77" s="1">
        <f>A76+20</f>
        <v/>
      </c>
      <c r="B77" s="1">
        <f>C76</f>
        <v/>
      </c>
      <c r="E77" t="inlineStr">
        <is>
          <t>60mL/3s/30s</t>
        </is>
      </c>
      <c r="I77" s="1">
        <f>IF(C77="", "", (B77-C77)*1000/(A77-A76))</f>
        <v/>
      </c>
      <c r="J77" s="1">
        <f>IF(I77="","",I77/F$2/3)</f>
        <v/>
      </c>
      <c r="K77" s="1">
        <f>IF(I77="","", 100*_xlfn.STDEV.P(I76:I77)/AVERAGE(I76:I77))</f>
        <v/>
      </c>
      <c r="L77" s="8">
        <f t="array" ref="L77">IF(I77="","", IFERROR(((IF(I$5&lt;&gt;"", I$5*A$5, 0) + SUMPRODUCT(--(I$6:I77&lt;&gt;""), I$6:I77, (A$6:A77-A$5:A76)))/1000), ""))</f>
        <v/>
      </c>
      <c r="M77" s="1">
        <f>M76+20</f>
        <v/>
      </c>
      <c r="N77" s="1">
        <f>O76</f>
        <v/>
      </c>
      <c r="Q77" t="inlineStr">
        <is>
          <t>60mL/3s/30s</t>
        </is>
      </c>
      <c r="U77" s="1">
        <f>IF(O77="", "", (N77-O77)*1000/(M77-M76))</f>
        <v/>
      </c>
      <c r="V77" s="1">
        <f>IF(U77="","",U77/R$2/3)</f>
        <v/>
      </c>
      <c r="W77" s="1">
        <f>IF(U77="","", 100*_xlfn.STDEV.P(U76:U77)/AVERAGE(U76:U77))</f>
        <v/>
      </c>
      <c r="X77" s="8">
        <f t="array" ref="X77">IF(U77="","", IFERROR(((IF(U$5&lt;&gt;"", U$5*M$5, 0) + SUMPRODUCT(--(U$6:U77&lt;&gt;""), U$6:U77, (M$6:M77-M$5:M76)))/1000), ""))</f>
        <v/>
      </c>
      <c r="Y77" s="1">
        <f>Y76+20</f>
        <v/>
      </c>
      <c r="Z77" s="1">
        <f>AA76</f>
        <v/>
      </c>
      <c r="AC77" t="inlineStr">
        <is>
          <t>60mL/3s/30s</t>
        </is>
      </c>
      <c r="AG77" s="1">
        <f>IF(AA77="", "", (Z77-AA77)*1000/(Y77-Y76))</f>
        <v/>
      </c>
      <c r="AH77" s="1">
        <f>IF(AG77="","",AG77/AD$2/3)</f>
        <v/>
      </c>
      <c r="AI77" s="1">
        <f>IF(AG77="","", 100*_xlfn.STDEV.P(AG76:AG77)/AVERAGE(AG76:AG77))</f>
        <v/>
      </c>
      <c r="AJ77" s="8">
        <f t="array" ref="AJ77">IF(AG77="","", IFERROR(((IF(AG$5&lt;&gt;"", AG$5*Y$5, 0) + SUMPRODUCT(--(AG$6:AG77&lt;&gt;""), AG$6:AG77, (Y$6:Y77-Y$5:Y76)))/1000), ""))</f>
        <v/>
      </c>
      <c r="AK77" s="1">
        <f>AK76+20</f>
        <v/>
      </c>
      <c r="AL77" s="1">
        <f>AM76</f>
        <v/>
      </c>
      <c r="AO77" t="inlineStr">
        <is>
          <t>60mL/3s/30s</t>
        </is>
      </c>
      <c r="AS77" s="1">
        <f>IF(AM77="", "", (AL77-AM77)*1000/(AK77-AK76))</f>
        <v/>
      </c>
      <c r="AT77" s="1">
        <f>IF(AS77="","",AS77/AP$2/3)</f>
        <v/>
      </c>
      <c r="AU77" s="1">
        <f>IF(AS77="","", 100*_xlfn.STDEV.P(AS76:AS77)/AVERAGE(AS76:AS77))</f>
        <v/>
      </c>
      <c r="AV77" s="8">
        <f t="array" ref="AV77">IF(AS77="","", IFERROR(((IF(AS$5&lt;&gt;"", AS$5*AK$5, 0) + SUMPRODUCT(--(AS$6:AS77&lt;&gt;""), AS$6:AS77, (AK$6:AK77-AK$5:AK76)))/1000), ""))</f>
        <v/>
      </c>
      <c r="AW77" s="1">
        <f>AW76+20</f>
        <v/>
      </c>
      <c r="AX77" s="1">
        <f>AY76</f>
        <v/>
      </c>
      <c r="BA77" t="inlineStr">
        <is>
          <t>60mL/3s/30s</t>
        </is>
      </c>
      <c r="BE77" s="1">
        <f>IF(AY77="", "", (AX77-AY77)*1000/(AW77-AW76))</f>
        <v/>
      </c>
      <c r="BF77" s="1">
        <f>IF(BE77="","",BE77/BB$2/3)</f>
        <v/>
      </c>
      <c r="BG77" s="1">
        <f>IF(BE77="","", 100*_xlfn.STDEV.P(BE76:BE77)/AVERAGE(BE76:BE77))</f>
        <v/>
      </c>
      <c r="BH77" s="8">
        <f t="array" ref="BH77">IF(BE77="","", IFERROR(((IF(BE$5&lt;&gt;"", BE$5*AW$5, 0) + SUMPRODUCT(--(BE$6:BE77&lt;&gt;""), BE$6:BE77, (AW$6:AW77-AW$5:AW76)))/1000), ""))</f>
        <v/>
      </c>
      <c r="BI77" s="1">
        <f>BI76+20</f>
        <v/>
      </c>
      <c r="BJ77" s="1">
        <f>BK76</f>
        <v/>
      </c>
      <c r="BM77" t="inlineStr">
        <is>
          <t>60mL/3s/30s</t>
        </is>
      </c>
      <c r="BQ77" s="1">
        <f>IF(BK77="", "", (BJ77-BK77)*1000/(BI77-BI76))</f>
        <v/>
      </c>
      <c r="BR77" s="1">
        <f>IF(BQ77="","",BQ77/BN$2/3)</f>
        <v/>
      </c>
      <c r="BS77" s="1">
        <f>IF(BQ77="","", 100*_xlfn.STDEV.P(BQ76:BQ77)/AVERAGE(BQ76:BQ77))</f>
        <v/>
      </c>
      <c r="BT77" s="8">
        <f t="array" ref="BT77">IF(BQ77="","", IFERROR(((IF(BQ$5&lt;&gt;"", BQ$5*BI$5, 0) + SUMPRODUCT(--(BQ$6:BQ77&lt;&gt;""), BQ$6:BQ77, (BI$6:BI77-BI$5:BI76)))/1000), ""))</f>
        <v/>
      </c>
      <c r="BU77" s="1">
        <f>BU76+20</f>
        <v/>
      </c>
      <c r="BV77" s="1">
        <f>BW76</f>
        <v/>
      </c>
      <c r="BY77" t="inlineStr">
        <is>
          <t>60mL/3s/30s</t>
        </is>
      </c>
      <c r="CC77" s="1">
        <f>IF(BW77="", "", (BV77-BW77)*1000/(BU77-BU76))</f>
        <v/>
      </c>
      <c r="CD77" s="1">
        <f>IF(CC77="","",CC77/BZ$2/3)</f>
        <v/>
      </c>
      <c r="CE77" s="1">
        <f>IF(CC77="","", 100*_xlfn.STDEV.P(CC76:CC77)/AVERAGE(CC76:CC77))</f>
        <v/>
      </c>
      <c r="CF77" s="8">
        <f t="array" ref="CF77">IF(CC77="","", IFERROR(((IF(CC$5&lt;&gt;"", CC$5*BU$5, 0) + SUMPRODUCT(--(CC$6:CC77&lt;&gt;""), CC$6:CC77, (BU$6:BU77-BU$5:BU76)))/1000), ""))</f>
        <v/>
      </c>
      <c r="CG77" s="1">
        <f>CG76+20</f>
        <v/>
      </c>
      <c r="CH77" s="1">
        <f>CI76</f>
        <v/>
      </c>
      <c r="CK77" t="inlineStr">
        <is>
          <t>60mL/3s/30s</t>
        </is>
      </c>
      <c r="CO77" s="1">
        <f>IF(CI77="", "", (CH77-CI77)*1000/(CG77-CG76))</f>
        <v/>
      </c>
      <c r="CP77" s="1">
        <f>IF(CO77="","",CO77/CL$2/3)</f>
        <v/>
      </c>
      <c r="CQ77" s="1">
        <f>IF(CO77="","", 100*_xlfn.STDEV.P(CO76:CO77)/AVERAGE(CO76:CO77))</f>
        <v/>
      </c>
      <c r="CR77" s="8">
        <f t="array" ref="CR77">IF(CO77="","", IFERROR(((IF(CO$5&lt;&gt;"", CO$5*CG$5, 0) + SUMPRODUCT(--(CO$6:CO77&lt;&gt;""), CO$6:CO77, (CG$6:CG77-CG$5:CG76)))/1000), ""))</f>
        <v/>
      </c>
    </row>
    <row r="78">
      <c r="A78" s="1">
        <f>A77+20</f>
        <v/>
      </c>
      <c r="B78" s="1">
        <f>C77</f>
        <v/>
      </c>
      <c r="E78" t="inlineStr">
        <is>
          <t>60mL/3s/30s</t>
        </is>
      </c>
      <c r="I78" s="1">
        <f>IF(C78="", "", (B78-C78)*1000/(A78-A77))</f>
        <v/>
      </c>
      <c r="J78" s="1">
        <f>IF(I78="","",I78/F$2/3)</f>
        <v/>
      </c>
      <c r="K78" s="1">
        <f>IF(I78="","", 100*_xlfn.STDEV.P(I77:I78)/AVERAGE(I77:I78))</f>
        <v/>
      </c>
      <c r="L78" s="8">
        <f t="array" ref="L78">IF(I78="","", IFERROR(((IF(I$5&lt;&gt;"", I$5*A$5, 0) + SUMPRODUCT(--(I$6:I78&lt;&gt;""), I$6:I78, (A$6:A78-A$5:A77)))/1000), ""))</f>
        <v/>
      </c>
      <c r="M78" s="1">
        <f>M77+20</f>
        <v/>
      </c>
      <c r="N78" s="1">
        <f>O77</f>
        <v/>
      </c>
      <c r="Q78" t="inlineStr">
        <is>
          <t>60mL/3s/30s</t>
        </is>
      </c>
      <c r="U78" s="1">
        <f>IF(O78="", "", (N78-O78)*1000/(M78-M77))</f>
        <v/>
      </c>
      <c r="V78" s="1">
        <f>IF(U78="","",U78/R$2/3)</f>
        <v/>
      </c>
      <c r="W78" s="1">
        <f>IF(U78="","", 100*_xlfn.STDEV.P(U77:U78)/AVERAGE(U77:U78))</f>
        <v/>
      </c>
      <c r="X78" s="8">
        <f t="array" ref="X78">IF(U78="","", IFERROR(((IF(U$5&lt;&gt;"", U$5*M$5, 0) + SUMPRODUCT(--(U$6:U78&lt;&gt;""), U$6:U78, (M$6:M78-M$5:M77)))/1000), ""))</f>
        <v/>
      </c>
      <c r="Y78" s="1">
        <f>Y77+20</f>
        <v/>
      </c>
      <c r="Z78" s="1">
        <f>AA77</f>
        <v/>
      </c>
      <c r="AC78" t="inlineStr">
        <is>
          <t>60mL/3s/30s</t>
        </is>
      </c>
      <c r="AG78" s="1">
        <f>IF(AA78="", "", (Z78-AA78)*1000/(Y78-Y77))</f>
        <v/>
      </c>
      <c r="AH78" s="1">
        <f>IF(AG78="","",AG78/AD$2/3)</f>
        <v/>
      </c>
      <c r="AI78" s="1">
        <f>IF(AG78="","", 100*_xlfn.STDEV.P(AG77:AG78)/AVERAGE(AG77:AG78))</f>
        <v/>
      </c>
      <c r="AJ78" s="8">
        <f t="array" ref="AJ78">IF(AG78="","", IFERROR(((IF(AG$5&lt;&gt;"", AG$5*Y$5, 0) + SUMPRODUCT(--(AG$6:AG78&lt;&gt;""), AG$6:AG78, (Y$6:Y78-Y$5:Y77)))/1000), ""))</f>
        <v/>
      </c>
      <c r="AK78" s="1">
        <f>AK77+20</f>
        <v/>
      </c>
      <c r="AL78" s="1">
        <f>AM77</f>
        <v/>
      </c>
      <c r="AO78" t="inlineStr">
        <is>
          <t>60mL/3s/30s</t>
        </is>
      </c>
      <c r="AS78" s="1">
        <f>IF(AM78="", "", (AL78-AM78)*1000/(AK78-AK77))</f>
        <v/>
      </c>
      <c r="AT78" s="1">
        <f>IF(AS78="","",AS78/AP$2/3)</f>
        <v/>
      </c>
      <c r="AU78" s="1">
        <f>IF(AS78="","", 100*_xlfn.STDEV.P(AS77:AS78)/AVERAGE(AS77:AS78))</f>
        <v/>
      </c>
      <c r="AV78" s="8">
        <f t="array" ref="AV78">IF(AS78="","", IFERROR(((IF(AS$5&lt;&gt;"", AS$5*AK$5, 0) + SUMPRODUCT(--(AS$6:AS78&lt;&gt;""), AS$6:AS78, (AK$6:AK78-AK$5:AK77)))/1000), ""))</f>
        <v/>
      </c>
      <c r="AW78" s="1">
        <f>AW77+20</f>
        <v/>
      </c>
      <c r="AX78" s="1">
        <f>AY77</f>
        <v/>
      </c>
      <c r="BA78" t="inlineStr">
        <is>
          <t>60mL/3s/30s</t>
        </is>
      </c>
      <c r="BE78" s="1">
        <f>IF(AY78="", "", (AX78-AY78)*1000/(AW78-AW77))</f>
        <v/>
      </c>
      <c r="BF78" s="1">
        <f>IF(BE78="","",BE78/BB$2/3)</f>
        <v/>
      </c>
      <c r="BG78" s="1">
        <f>IF(BE78="","", 100*_xlfn.STDEV.P(BE77:BE78)/AVERAGE(BE77:BE78))</f>
        <v/>
      </c>
      <c r="BH78" s="8">
        <f t="array" ref="BH78">IF(BE78="","", IFERROR(((IF(BE$5&lt;&gt;"", BE$5*AW$5, 0) + SUMPRODUCT(--(BE$6:BE78&lt;&gt;""), BE$6:BE78, (AW$6:AW78-AW$5:AW77)))/1000), ""))</f>
        <v/>
      </c>
      <c r="BI78" s="1">
        <f>BI77+20</f>
        <v/>
      </c>
      <c r="BJ78" s="1">
        <f>BK77</f>
        <v/>
      </c>
      <c r="BM78" t="inlineStr">
        <is>
          <t>60mL/3s/30s</t>
        </is>
      </c>
      <c r="BQ78" s="1">
        <f>IF(BK78="", "", (BJ78-BK78)*1000/(BI78-BI77))</f>
        <v/>
      </c>
      <c r="BR78" s="1">
        <f>IF(BQ78="","",BQ78/BN$2/3)</f>
        <v/>
      </c>
      <c r="BS78" s="1">
        <f>IF(BQ78="","", 100*_xlfn.STDEV.P(BQ77:BQ78)/AVERAGE(BQ77:BQ78))</f>
        <v/>
      </c>
      <c r="BT78" s="8">
        <f t="array" ref="BT78">IF(BQ78="","", IFERROR(((IF(BQ$5&lt;&gt;"", BQ$5*BI$5, 0) + SUMPRODUCT(--(BQ$6:BQ78&lt;&gt;""), BQ$6:BQ78, (BI$6:BI78-BI$5:BI77)))/1000), ""))</f>
        <v/>
      </c>
      <c r="BU78" s="1">
        <f>BU77+20</f>
        <v/>
      </c>
      <c r="BV78" s="1">
        <f>BW77</f>
        <v/>
      </c>
      <c r="BY78" t="inlineStr">
        <is>
          <t>60mL/3s/30s</t>
        </is>
      </c>
      <c r="CC78" s="1">
        <f>IF(BW78="", "", (BV78-BW78)*1000/(BU78-BU77))</f>
        <v/>
      </c>
      <c r="CD78" s="1">
        <f>IF(CC78="","",CC78/BZ$2/3)</f>
        <v/>
      </c>
      <c r="CE78" s="1">
        <f>IF(CC78="","", 100*_xlfn.STDEV.P(CC77:CC78)/AVERAGE(CC77:CC78))</f>
        <v/>
      </c>
      <c r="CF78" s="8">
        <f t="array" ref="CF78">IF(CC78="","", IFERROR(((IF(CC$5&lt;&gt;"", CC$5*BU$5, 0) + SUMPRODUCT(--(CC$6:CC78&lt;&gt;""), CC$6:CC78, (BU$6:BU78-BU$5:BU77)))/1000), ""))</f>
        <v/>
      </c>
      <c r="CG78" s="1">
        <f>CG77+20</f>
        <v/>
      </c>
      <c r="CH78" s="1">
        <f>CI77</f>
        <v/>
      </c>
      <c r="CK78" t="inlineStr">
        <is>
          <t>60mL/3s/30s</t>
        </is>
      </c>
      <c r="CO78" s="1">
        <f>IF(CI78="", "", (CH78-CI78)*1000/(CG78-CG77))</f>
        <v/>
      </c>
      <c r="CP78" s="1">
        <f>IF(CO78="","",CO78/CL$2/3)</f>
        <v/>
      </c>
      <c r="CQ78" s="1">
        <f>IF(CO78="","", 100*_xlfn.STDEV.P(CO77:CO78)/AVERAGE(CO77:CO78))</f>
        <v/>
      </c>
      <c r="CR78" s="8">
        <f t="array" ref="CR78">IF(CO78="","", IFERROR(((IF(CO$5&lt;&gt;"", CO$5*CG$5, 0) + SUMPRODUCT(--(CO$6:CO78&lt;&gt;""), CO$6:CO78, (CG$6:CG78-CG$5:CG77)))/1000), ""))</f>
        <v/>
      </c>
    </row>
    <row r="79">
      <c r="A79" s="1">
        <f>A78+20</f>
        <v/>
      </c>
      <c r="B79" s="1">
        <f>C78</f>
        <v/>
      </c>
      <c r="E79" t="inlineStr">
        <is>
          <t>60mL/3s/30s</t>
        </is>
      </c>
      <c r="I79" s="1">
        <f>IF(C79="", "", (B79-C79)*1000/(A79-A78))</f>
        <v/>
      </c>
      <c r="J79" s="1">
        <f>IF(I79="","",I79/F$2/3)</f>
        <v/>
      </c>
      <c r="K79" s="1">
        <f>IF(I79="","", 100*_xlfn.STDEV.P(I78:I79)/AVERAGE(I78:I79))</f>
        <v/>
      </c>
      <c r="L79" s="8">
        <f t="array" ref="L79">IF(I79="","", IFERROR(((IF(I$5&lt;&gt;"", I$5*A$5, 0) + SUMPRODUCT(--(I$6:I79&lt;&gt;""), I$6:I79, (A$6:A79-A$5:A78)))/1000), ""))</f>
        <v/>
      </c>
      <c r="M79" s="1">
        <f>M78+20</f>
        <v/>
      </c>
      <c r="N79" s="1">
        <f>O78</f>
        <v/>
      </c>
      <c r="Q79" t="inlineStr">
        <is>
          <t>60mL/3s/30s</t>
        </is>
      </c>
      <c r="U79" s="1">
        <f>IF(O79="", "", (N79-O79)*1000/(M79-M78))</f>
        <v/>
      </c>
      <c r="V79" s="1">
        <f>IF(U79="","",U79/R$2/3)</f>
        <v/>
      </c>
      <c r="W79" s="1">
        <f>IF(U79="","", 100*_xlfn.STDEV.P(U78:U79)/AVERAGE(U78:U79))</f>
        <v/>
      </c>
      <c r="X79" s="8">
        <f t="array" ref="X79">IF(U79="","", IFERROR(((IF(U$5&lt;&gt;"", U$5*M$5, 0) + SUMPRODUCT(--(U$6:U79&lt;&gt;""), U$6:U79, (M$6:M79-M$5:M78)))/1000), ""))</f>
        <v/>
      </c>
      <c r="Y79" s="1">
        <f>Y78+20</f>
        <v/>
      </c>
      <c r="Z79" s="1">
        <f>AA78</f>
        <v/>
      </c>
      <c r="AC79" t="inlineStr">
        <is>
          <t>60mL/3s/30s</t>
        </is>
      </c>
      <c r="AG79" s="1">
        <f>IF(AA79="", "", (Z79-AA79)*1000/(Y79-Y78))</f>
        <v/>
      </c>
      <c r="AH79" s="1">
        <f>IF(AG79="","",AG79/AD$2/3)</f>
        <v/>
      </c>
      <c r="AI79" s="1">
        <f>IF(AG79="","", 100*_xlfn.STDEV.P(AG78:AG79)/AVERAGE(AG78:AG79))</f>
        <v/>
      </c>
      <c r="AJ79" s="8">
        <f t="array" ref="AJ79">IF(AG79="","", IFERROR(((IF(AG$5&lt;&gt;"", AG$5*Y$5, 0) + SUMPRODUCT(--(AG$6:AG79&lt;&gt;""), AG$6:AG79, (Y$6:Y79-Y$5:Y78)))/1000), ""))</f>
        <v/>
      </c>
      <c r="AK79" s="1">
        <f>AK78+20</f>
        <v/>
      </c>
      <c r="AL79" s="1">
        <f>AM78</f>
        <v/>
      </c>
      <c r="AO79" t="inlineStr">
        <is>
          <t>60mL/3s/30s</t>
        </is>
      </c>
      <c r="AS79" s="1">
        <f>IF(AM79="", "", (AL79-AM79)*1000/(AK79-AK78))</f>
        <v/>
      </c>
      <c r="AT79" s="1">
        <f>IF(AS79="","",AS79/AP$2/3)</f>
        <v/>
      </c>
      <c r="AU79" s="1">
        <f>IF(AS79="","", 100*_xlfn.STDEV.P(AS78:AS79)/AVERAGE(AS78:AS79))</f>
        <v/>
      </c>
      <c r="AV79" s="8">
        <f t="array" ref="AV79">IF(AS79="","", IFERROR(((IF(AS$5&lt;&gt;"", AS$5*AK$5, 0) + SUMPRODUCT(--(AS$6:AS79&lt;&gt;""), AS$6:AS79, (AK$6:AK79-AK$5:AK78)))/1000), ""))</f>
        <v/>
      </c>
      <c r="AW79" s="1">
        <f>AW78+20</f>
        <v/>
      </c>
      <c r="AX79" s="1">
        <f>AY78</f>
        <v/>
      </c>
      <c r="BA79" t="inlineStr">
        <is>
          <t>60mL/3s/30s</t>
        </is>
      </c>
      <c r="BE79" s="1">
        <f>IF(AY79="", "", (AX79-AY79)*1000/(AW79-AW78))</f>
        <v/>
      </c>
      <c r="BF79" s="1">
        <f>IF(BE79="","",BE79/BB$2/3)</f>
        <v/>
      </c>
      <c r="BG79" s="1">
        <f>IF(BE79="","", 100*_xlfn.STDEV.P(BE78:BE79)/AVERAGE(BE78:BE79))</f>
        <v/>
      </c>
      <c r="BH79" s="8">
        <f t="array" ref="BH79">IF(BE79="","", IFERROR(((IF(BE$5&lt;&gt;"", BE$5*AW$5, 0) + SUMPRODUCT(--(BE$6:BE79&lt;&gt;""), BE$6:BE79, (AW$6:AW79-AW$5:AW78)))/1000), ""))</f>
        <v/>
      </c>
      <c r="BI79" s="1">
        <f>BI78+20</f>
        <v/>
      </c>
      <c r="BJ79" s="1">
        <f>BK78</f>
        <v/>
      </c>
      <c r="BM79" t="inlineStr">
        <is>
          <t>60mL/3s/30s</t>
        </is>
      </c>
      <c r="BQ79" s="1">
        <f>IF(BK79="", "", (BJ79-BK79)*1000/(BI79-BI78))</f>
        <v/>
      </c>
      <c r="BR79" s="1">
        <f>IF(BQ79="","",BQ79/BN$2/3)</f>
        <v/>
      </c>
      <c r="BS79" s="1">
        <f>IF(BQ79="","", 100*_xlfn.STDEV.P(BQ78:BQ79)/AVERAGE(BQ78:BQ79))</f>
        <v/>
      </c>
      <c r="BT79" s="8">
        <f t="array" ref="BT79">IF(BQ79="","", IFERROR(((IF(BQ$5&lt;&gt;"", BQ$5*BI$5, 0) + SUMPRODUCT(--(BQ$6:BQ79&lt;&gt;""), BQ$6:BQ79, (BI$6:BI79-BI$5:BI78)))/1000), ""))</f>
        <v/>
      </c>
      <c r="BU79" s="1">
        <f>BU78+20</f>
        <v/>
      </c>
      <c r="BV79" s="1">
        <f>BW78</f>
        <v/>
      </c>
      <c r="BY79" t="inlineStr">
        <is>
          <t>60mL/3s/30s</t>
        </is>
      </c>
      <c r="CC79" s="1">
        <f>IF(BW79="", "", (BV79-BW79)*1000/(BU79-BU78))</f>
        <v/>
      </c>
      <c r="CD79" s="1">
        <f>IF(CC79="","",CC79/BZ$2/3)</f>
        <v/>
      </c>
      <c r="CE79" s="1">
        <f>IF(CC79="","", 100*_xlfn.STDEV.P(CC78:CC79)/AVERAGE(CC78:CC79))</f>
        <v/>
      </c>
      <c r="CF79" s="8">
        <f t="array" ref="CF79">IF(CC79="","", IFERROR(((IF(CC$5&lt;&gt;"", CC$5*BU$5, 0) + SUMPRODUCT(--(CC$6:CC79&lt;&gt;""), CC$6:CC79, (BU$6:BU79-BU$5:BU78)))/1000), ""))</f>
        <v/>
      </c>
      <c r="CG79" s="1">
        <f>CG78+20</f>
        <v/>
      </c>
      <c r="CH79" s="1">
        <f>CI78</f>
        <v/>
      </c>
      <c r="CK79" t="inlineStr">
        <is>
          <t>60mL/3s/30s</t>
        </is>
      </c>
      <c r="CO79" s="1">
        <f>IF(CI79="", "", (CH79-CI79)*1000/(CG79-CG78))</f>
        <v/>
      </c>
      <c r="CP79" s="1">
        <f>IF(CO79="","",CO79/CL$2/3)</f>
        <v/>
      </c>
      <c r="CQ79" s="1">
        <f>IF(CO79="","", 100*_xlfn.STDEV.P(CO78:CO79)/AVERAGE(CO78:CO79))</f>
        <v/>
      </c>
      <c r="CR79" s="8">
        <f t="array" ref="CR79">IF(CO79="","", IFERROR(((IF(CO$5&lt;&gt;"", CO$5*CG$5, 0) + SUMPRODUCT(--(CO$6:CO79&lt;&gt;""), CO$6:CO79, (CG$6:CG79-CG$5:CG78)))/1000), ""))</f>
        <v/>
      </c>
    </row>
    <row r="80">
      <c r="A80" s="1">
        <f>A79+20</f>
        <v/>
      </c>
      <c r="B80" s="1">
        <f>C79</f>
        <v/>
      </c>
      <c r="E80" t="inlineStr">
        <is>
          <t>60mL/3s/30s</t>
        </is>
      </c>
      <c r="I80" s="1">
        <f>IF(C80="", "", (B80-C80)*1000/(A80-A79))</f>
        <v/>
      </c>
      <c r="J80" s="1">
        <f>IF(I80="","",I80/F$2/3)</f>
        <v/>
      </c>
      <c r="K80" s="1">
        <f>IF(I80="","", 100*_xlfn.STDEV.P(I79:I80)/AVERAGE(I79:I80))</f>
        <v/>
      </c>
      <c r="L80" s="8">
        <f t="array" ref="L80">IF(I80="","", IFERROR(((IF(I$5&lt;&gt;"", I$5*A$5, 0) + SUMPRODUCT(--(I$6:I80&lt;&gt;""), I$6:I80, (A$6:A80-A$5:A79)))/1000), ""))</f>
        <v/>
      </c>
      <c r="M80" s="1">
        <f>M79+20</f>
        <v/>
      </c>
      <c r="N80" s="1">
        <f>O79</f>
        <v/>
      </c>
      <c r="Q80" t="inlineStr">
        <is>
          <t>60mL/3s/30s</t>
        </is>
      </c>
      <c r="U80" s="1">
        <f>IF(O80="", "", (N80-O80)*1000/(M80-M79))</f>
        <v/>
      </c>
      <c r="V80" s="1">
        <f>IF(U80="","",U80/R$2/3)</f>
        <v/>
      </c>
      <c r="W80" s="1">
        <f>IF(U80="","", 100*_xlfn.STDEV.P(U79:U80)/AVERAGE(U79:U80))</f>
        <v/>
      </c>
      <c r="X80" s="8">
        <f t="array" ref="X80">IF(U80="","", IFERROR(((IF(U$5&lt;&gt;"", U$5*M$5, 0) + SUMPRODUCT(--(U$6:U80&lt;&gt;""), U$6:U80, (M$6:M80-M$5:M79)))/1000), ""))</f>
        <v/>
      </c>
      <c r="Y80" s="1">
        <f>Y79+20</f>
        <v/>
      </c>
      <c r="Z80" s="1">
        <f>AA79</f>
        <v/>
      </c>
      <c r="AC80" t="inlineStr">
        <is>
          <t>60mL/3s/30s</t>
        </is>
      </c>
      <c r="AG80" s="1">
        <f>IF(AA80="", "", (Z80-AA80)*1000/(Y80-Y79))</f>
        <v/>
      </c>
      <c r="AH80" s="1">
        <f>IF(AG80="","",AG80/AD$2/3)</f>
        <v/>
      </c>
      <c r="AI80" s="1">
        <f>IF(AG80="","", 100*_xlfn.STDEV.P(AG79:AG80)/AVERAGE(AG79:AG80))</f>
        <v/>
      </c>
      <c r="AJ80" s="8">
        <f t="array" ref="AJ80">IF(AG80="","", IFERROR(((IF(AG$5&lt;&gt;"", AG$5*Y$5, 0) + SUMPRODUCT(--(AG$6:AG80&lt;&gt;""), AG$6:AG80, (Y$6:Y80-Y$5:Y79)))/1000), ""))</f>
        <v/>
      </c>
      <c r="AK80" s="1">
        <f>AK79+20</f>
        <v/>
      </c>
      <c r="AL80" s="1">
        <f>AM79</f>
        <v/>
      </c>
      <c r="AO80" t="inlineStr">
        <is>
          <t>60mL/3s/30s</t>
        </is>
      </c>
      <c r="AS80" s="1">
        <f>IF(AM80="", "", (AL80-AM80)*1000/(AK80-AK79))</f>
        <v/>
      </c>
      <c r="AT80" s="1">
        <f>IF(AS80="","",AS80/AP$2/3)</f>
        <v/>
      </c>
      <c r="AU80" s="1">
        <f>IF(AS80="","", 100*_xlfn.STDEV.P(AS79:AS80)/AVERAGE(AS79:AS80))</f>
        <v/>
      </c>
      <c r="AV80" s="8">
        <f t="array" ref="AV80">IF(AS80="","", IFERROR(((IF(AS$5&lt;&gt;"", AS$5*AK$5, 0) + SUMPRODUCT(--(AS$6:AS80&lt;&gt;""), AS$6:AS80, (AK$6:AK80-AK$5:AK79)))/1000), ""))</f>
        <v/>
      </c>
      <c r="AW80" s="1">
        <f>AW79+20</f>
        <v/>
      </c>
      <c r="AX80" s="1">
        <f>AY79</f>
        <v/>
      </c>
      <c r="BA80" t="inlineStr">
        <is>
          <t>60mL/3s/30s</t>
        </is>
      </c>
      <c r="BE80" s="1">
        <f>IF(AY80="", "", (AX80-AY80)*1000/(AW80-AW79))</f>
        <v/>
      </c>
      <c r="BF80" s="1">
        <f>IF(BE80="","",BE80/BB$2/3)</f>
        <v/>
      </c>
      <c r="BG80" s="1">
        <f>IF(BE80="","", 100*_xlfn.STDEV.P(BE79:BE80)/AVERAGE(BE79:BE80))</f>
        <v/>
      </c>
      <c r="BH80" s="8">
        <f t="array" ref="BH80">IF(BE80="","", IFERROR(((IF(BE$5&lt;&gt;"", BE$5*AW$5, 0) + SUMPRODUCT(--(BE$6:BE80&lt;&gt;""), BE$6:BE80, (AW$6:AW80-AW$5:AW79)))/1000), ""))</f>
        <v/>
      </c>
      <c r="BI80" s="1">
        <f>BI79+20</f>
        <v/>
      </c>
      <c r="BJ80" s="1">
        <f>BK79</f>
        <v/>
      </c>
      <c r="BM80" t="inlineStr">
        <is>
          <t>60mL/3s/30s</t>
        </is>
      </c>
      <c r="BQ80" s="1">
        <f>IF(BK80="", "", (BJ80-BK80)*1000/(BI80-BI79))</f>
        <v/>
      </c>
      <c r="BR80" s="1">
        <f>IF(BQ80="","",BQ80/BN$2/3)</f>
        <v/>
      </c>
      <c r="BS80" s="1">
        <f>IF(BQ80="","", 100*_xlfn.STDEV.P(BQ79:BQ80)/AVERAGE(BQ79:BQ80))</f>
        <v/>
      </c>
      <c r="BT80" s="8">
        <f t="array" ref="BT80">IF(BQ80="","", IFERROR(((IF(BQ$5&lt;&gt;"", BQ$5*BI$5, 0) + SUMPRODUCT(--(BQ$6:BQ80&lt;&gt;""), BQ$6:BQ80, (BI$6:BI80-BI$5:BI79)))/1000), ""))</f>
        <v/>
      </c>
      <c r="BU80" s="1">
        <f>BU79+20</f>
        <v/>
      </c>
      <c r="BV80" s="1">
        <f>BW79</f>
        <v/>
      </c>
      <c r="BY80" t="inlineStr">
        <is>
          <t>60mL/3s/30s</t>
        </is>
      </c>
      <c r="CC80" s="1">
        <f>IF(BW80="", "", (BV80-BW80)*1000/(BU80-BU79))</f>
        <v/>
      </c>
      <c r="CD80" s="1">
        <f>IF(CC80="","",CC80/BZ$2/3)</f>
        <v/>
      </c>
      <c r="CE80" s="1">
        <f>IF(CC80="","", 100*_xlfn.STDEV.P(CC79:CC80)/AVERAGE(CC79:CC80))</f>
        <v/>
      </c>
      <c r="CF80" s="8">
        <f t="array" ref="CF80">IF(CC80="","", IFERROR(((IF(CC$5&lt;&gt;"", CC$5*BU$5, 0) + SUMPRODUCT(--(CC$6:CC80&lt;&gt;""), CC$6:CC80, (BU$6:BU80-BU$5:BU79)))/1000), ""))</f>
        <v/>
      </c>
      <c r="CG80" s="1">
        <f>CG79+20</f>
        <v/>
      </c>
      <c r="CH80" s="1">
        <f>CI79</f>
        <v/>
      </c>
      <c r="CK80" t="inlineStr">
        <is>
          <t>60mL/3s/30s</t>
        </is>
      </c>
      <c r="CO80" s="1">
        <f>IF(CI80="", "", (CH80-CI80)*1000/(CG80-CG79))</f>
        <v/>
      </c>
      <c r="CP80" s="1">
        <f>IF(CO80="","",CO80/CL$2/3)</f>
        <v/>
      </c>
      <c r="CQ80" s="1">
        <f>IF(CO80="","", 100*_xlfn.STDEV.P(CO79:CO80)/AVERAGE(CO79:CO80))</f>
        <v/>
      </c>
      <c r="CR80" s="8">
        <f t="array" ref="CR80">IF(CO80="","", IFERROR(((IF(CO$5&lt;&gt;"", CO$5*CG$5, 0) + SUMPRODUCT(--(CO$6:CO80&lt;&gt;""), CO$6:CO80, (CG$6:CG80-CG$5:CG79)))/1000), ""))</f>
        <v/>
      </c>
    </row>
    <row r="81">
      <c r="A81" s="1">
        <f>A80+20</f>
        <v/>
      </c>
      <c r="B81" s="1">
        <f>C80</f>
        <v/>
      </c>
      <c r="E81" t="inlineStr">
        <is>
          <t>60mL/3s/30s</t>
        </is>
      </c>
      <c r="I81" s="1">
        <f>IF(C81="", "", (B81-C81)*1000/(A81-A80))</f>
        <v/>
      </c>
      <c r="J81" s="1">
        <f>IF(I81="","",I81/F$2/3)</f>
        <v/>
      </c>
      <c r="K81" s="1">
        <f>IF(I81="","", 100*_xlfn.STDEV.P(I80:I81)/AVERAGE(I80:I81))</f>
        <v/>
      </c>
      <c r="L81" s="8">
        <f t="array" ref="L81">IF(I81="","", IFERROR(((IF(I$5&lt;&gt;"", I$5*A$5, 0) + SUMPRODUCT(--(I$6:I81&lt;&gt;""), I$6:I81, (A$6:A81-A$5:A80)))/1000), ""))</f>
        <v/>
      </c>
      <c r="M81" s="1">
        <f>M80+20</f>
        <v/>
      </c>
      <c r="N81" s="1">
        <f>O80</f>
        <v/>
      </c>
      <c r="Q81" t="inlineStr">
        <is>
          <t>60mL/3s/30s</t>
        </is>
      </c>
      <c r="U81" s="1">
        <f>IF(O81="", "", (N81-O81)*1000/(M81-M80))</f>
        <v/>
      </c>
      <c r="V81" s="1">
        <f>IF(U81="","",U81/R$2/3)</f>
        <v/>
      </c>
      <c r="W81" s="1">
        <f>IF(U81="","", 100*_xlfn.STDEV.P(U80:U81)/AVERAGE(U80:U81))</f>
        <v/>
      </c>
      <c r="X81" s="8">
        <f t="array" ref="X81">IF(U81="","", IFERROR(((IF(U$5&lt;&gt;"", U$5*M$5, 0) + SUMPRODUCT(--(U$6:U81&lt;&gt;""), U$6:U81, (M$6:M81-M$5:M80)))/1000), ""))</f>
        <v/>
      </c>
      <c r="Y81" s="1">
        <f>Y80+20</f>
        <v/>
      </c>
      <c r="Z81" s="1">
        <f>AA80</f>
        <v/>
      </c>
      <c r="AC81" t="inlineStr">
        <is>
          <t>60mL/3s/30s</t>
        </is>
      </c>
      <c r="AG81" s="1">
        <f>IF(AA81="", "", (Z81-AA81)*1000/(Y81-Y80))</f>
        <v/>
      </c>
      <c r="AH81" s="1">
        <f>IF(AG81="","",AG81/AD$2/3)</f>
        <v/>
      </c>
      <c r="AI81" s="1">
        <f>IF(AG81="","", 100*_xlfn.STDEV.P(AG80:AG81)/AVERAGE(AG80:AG81))</f>
        <v/>
      </c>
      <c r="AJ81" s="8">
        <f t="array" ref="AJ81">IF(AG81="","", IFERROR(((IF(AG$5&lt;&gt;"", AG$5*Y$5, 0) + SUMPRODUCT(--(AG$6:AG81&lt;&gt;""), AG$6:AG81, (Y$6:Y81-Y$5:Y80)))/1000), ""))</f>
        <v/>
      </c>
      <c r="AK81" s="1">
        <f>AK80+20</f>
        <v/>
      </c>
      <c r="AL81" s="1">
        <f>AM80</f>
        <v/>
      </c>
      <c r="AO81" t="inlineStr">
        <is>
          <t>60mL/3s/30s</t>
        </is>
      </c>
      <c r="AS81" s="1">
        <f>IF(AM81="", "", (AL81-AM81)*1000/(AK81-AK80))</f>
        <v/>
      </c>
      <c r="AT81" s="1">
        <f>IF(AS81="","",AS81/AP$2/3)</f>
        <v/>
      </c>
      <c r="AU81" s="1">
        <f>IF(AS81="","", 100*_xlfn.STDEV.P(AS80:AS81)/AVERAGE(AS80:AS81))</f>
        <v/>
      </c>
      <c r="AV81" s="8">
        <f t="array" ref="AV81">IF(AS81="","", IFERROR(((IF(AS$5&lt;&gt;"", AS$5*AK$5, 0) + SUMPRODUCT(--(AS$6:AS81&lt;&gt;""), AS$6:AS81, (AK$6:AK81-AK$5:AK80)))/1000), ""))</f>
        <v/>
      </c>
      <c r="AW81" s="1">
        <f>AW80+20</f>
        <v/>
      </c>
      <c r="AX81" s="1">
        <f>AY80</f>
        <v/>
      </c>
      <c r="BA81" t="inlineStr">
        <is>
          <t>60mL/3s/30s</t>
        </is>
      </c>
      <c r="BE81" s="1">
        <f>IF(AY81="", "", (AX81-AY81)*1000/(AW81-AW80))</f>
        <v/>
      </c>
      <c r="BF81" s="1">
        <f>IF(BE81="","",BE81/BB$2/3)</f>
        <v/>
      </c>
      <c r="BG81" s="1">
        <f>IF(BE81="","", 100*_xlfn.STDEV.P(BE80:BE81)/AVERAGE(BE80:BE81))</f>
        <v/>
      </c>
      <c r="BH81" s="8">
        <f t="array" ref="BH81">IF(BE81="","", IFERROR(((IF(BE$5&lt;&gt;"", BE$5*AW$5, 0) + SUMPRODUCT(--(BE$6:BE81&lt;&gt;""), BE$6:BE81, (AW$6:AW81-AW$5:AW80)))/1000), ""))</f>
        <v/>
      </c>
      <c r="BI81" s="1">
        <f>BI80+20</f>
        <v/>
      </c>
      <c r="BJ81" s="1">
        <f>BK80</f>
        <v/>
      </c>
      <c r="BM81" t="inlineStr">
        <is>
          <t>60mL/3s/30s</t>
        </is>
      </c>
      <c r="BQ81" s="1">
        <f>IF(BK81="", "", (BJ81-BK81)*1000/(BI81-BI80))</f>
        <v/>
      </c>
      <c r="BR81" s="1">
        <f>IF(BQ81="","",BQ81/BN$2/3)</f>
        <v/>
      </c>
      <c r="BS81" s="1">
        <f>IF(BQ81="","", 100*_xlfn.STDEV.P(BQ80:BQ81)/AVERAGE(BQ80:BQ81))</f>
        <v/>
      </c>
      <c r="BT81" s="8">
        <f t="array" ref="BT81">IF(BQ81="","", IFERROR(((IF(BQ$5&lt;&gt;"", BQ$5*BI$5, 0) + SUMPRODUCT(--(BQ$6:BQ81&lt;&gt;""), BQ$6:BQ81, (BI$6:BI81-BI$5:BI80)))/1000), ""))</f>
        <v/>
      </c>
      <c r="BU81" s="1">
        <f>BU80+20</f>
        <v/>
      </c>
      <c r="BV81" s="1">
        <f>BW80</f>
        <v/>
      </c>
      <c r="BY81" t="inlineStr">
        <is>
          <t>60mL/3s/30s</t>
        </is>
      </c>
      <c r="CC81" s="1">
        <f>IF(BW81="", "", (BV81-BW81)*1000/(BU81-BU80))</f>
        <v/>
      </c>
      <c r="CD81" s="1">
        <f>IF(CC81="","",CC81/BZ$2/3)</f>
        <v/>
      </c>
      <c r="CE81" s="1">
        <f>IF(CC81="","", 100*_xlfn.STDEV.P(CC80:CC81)/AVERAGE(CC80:CC81))</f>
        <v/>
      </c>
      <c r="CF81" s="8">
        <f t="array" ref="CF81">IF(CC81="","", IFERROR(((IF(CC$5&lt;&gt;"", CC$5*BU$5, 0) + SUMPRODUCT(--(CC$6:CC81&lt;&gt;""), CC$6:CC81, (BU$6:BU81-BU$5:BU80)))/1000), ""))</f>
        <v/>
      </c>
      <c r="CG81" s="1">
        <f>CG80+20</f>
        <v/>
      </c>
      <c r="CH81" s="1">
        <f>CI80</f>
        <v/>
      </c>
      <c r="CK81" t="inlineStr">
        <is>
          <t>60mL/3s/30s</t>
        </is>
      </c>
      <c r="CO81" s="1">
        <f>IF(CI81="", "", (CH81-CI81)*1000/(CG81-CG80))</f>
        <v/>
      </c>
      <c r="CP81" s="1">
        <f>IF(CO81="","",CO81/CL$2/3)</f>
        <v/>
      </c>
      <c r="CQ81" s="1">
        <f>IF(CO81="","", 100*_xlfn.STDEV.P(CO80:CO81)/AVERAGE(CO80:CO81))</f>
        <v/>
      </c>
      <c r="CR81" s="8">
        <f t="array" ref="CR81">IF(CO81="","", IFERROR(((IF(CO$5&lt;&gt;"", CO$5*CG$5, 0) + SUMPRODUCT(--(CO$6:CO81&lt;&gt;""), CO$6:CO81, (CG$6:CG81-CG$5:CG80)))/1000), ""))</f>
        <v/>
      </c>
    </row>
    <row r="82">
      <c r="A82" s="1">
        <f>A81+20</f>
        <v/>
      </c>
      <c r="B82" s="1">
        <f>C81</f>
        <v/>
      </c>
      <c r="E82" t="inlineStr">
        <is>
          <t>60mL/3s/30s</t>
        </is>
      </c>
      <c r="I82" s="1">
        <f>IF(C82="", "", (B82-C82)*1000/(A82-A81))</f>
        <v/>
      </c>
      <c r="J82" s="1">
        <f>IF(I82="","",I82/F$2/3)</f>
        <v/>
      </c>
      <c r="K82" s="1">
        <f>IF(I82="","", 100*_xlfn.STDEV.P(I81:I82)/AVERAGE(I81:I82))</f>
        <v/>
      </c>
      <c r="L82" s="8">
        <f t="array" ref="L82">IF(I82="","", IFERROR(((IF(I$5&lt;&gt;"", I$5*A$5, 0) + SUMPRODUCT(--(I$6:I82&lt;&gt;""), I$6:I82, (A$6:A82-A$5:A81)))/1000), ""))</f>
        <v/>
      </c>
      <c r="M82" s="1">
        <f>M81+20</f>
        <v/>
      </c>
      <c r="N82" s="1">
        <f>O81</f>
        <v/>
      </c>
      <c r="Q82" t="inlineStr">
        <is>
          <t>60mL/3s/30s</t>
        </is>
      </c>
      <c r="U82" s="1">
        <f>IF(O82="", "", (N82-O82)*1000/(M82-M81))</f>
        <v/>
      </c>
      <c r="V82" s="1">
        <f>IF(U82="","",U82/R$2/3)</f>
        <v/>
      </c>
      <c r="W82" s="1">
        <f>IF(U82="","", 100*_xlfn.STDEV.P(U81:U82)/AVERAGE(U81:U82))</f>
        <v/>
      </c>
      <c r="X82" s="8">
        <f t="array" ref="X82">IF(U82="","", IFERROR(((IF(U$5&lt;&gt;"", U$5*M$5, 0) + SUMPRODUCT(--(U$6:U82&lt;&gt;""), U$6:U82, (M$6:M82-M$5:M81)))/1000), ""))</f>
        <v/>
      </c>
      <c r="Y82" s="1">
        <f>Y81+20</f>
        <v/>
      </c>
      <c r="Z82" s="1">
        <f>AA81</f>
        <v/>
      </c>
      <c r="AC82" t="inlineStr">
        <is>
          <t>60mL/3s/30s</t>
        </is>
      </c>
      <c r="AG82" s="1">
        <f>IF(AA82="", "", (Z82-AA82)*1000/(Y82-Y81))</f>
        <v/>
      </c>
      <c r="AH82" s="1">
        <f>IF(AG82="","",AG82/AD$2/3)</f>
        <v/>
      </c>
      <c r="AI82" s="1">
        <f>IF(AG82="","", 100*_xlfn.STDEV.P(AG81:AG82)/AVERAGE(AG81:AG82))</f>
        <v/>
      </c>
      <c r="AJ82" s="8">
        <f t="array" ref="AJ82">IF(AG82="","", IFERROR(((IF(AG$5&lt;&gt;"", AG$5*Y$5, 0) + SUMPRODUCT(--(AG$6:AG82&lt;&gt;""), AG$6:AG82, (Y$6:Y82-Y$5:Y81)))/1000), ""))</f>
        <v/>
      </c>
      <c r="AK82" s="1">
        <f>AK81+20</f>
        <v/>
      </c>
      <c r="AL82" s="1">
        <f>AM81</f>
        <v/>
      </c>
      <c r="AO82" t="inlineStr">
        <is>
          <t>60mL/3s/30s</t>
        </is>
      </c>
      <c r="AS82" s="1">
        <f>IF(AM82="", "", (AL82-AM82)*1000/(AK82-AK81))</f>
        <v/>
      </c>
      <c r="AT82" s="1">
        <f>IF(AS82="","",AS82/AP$2/3)</f>
        <v/>
      </c>
      <c r="AU82" s="1">
        <f>IF(AS82="","", 100*_xlfn.STDEV.P(AS81:AS82)/AVERAGE(AS81:AS82))</f>
        <v/>
      </c>
      <c r="AV82" s="8">
        <f t="array" ref="AV82">IF(AS82="","", IFERROR(((IF(AS$5&lt;&gt;"", AS$5*AK$5, 0) + SUMPRODUCT(--(AS$6:AS82&lt;&gt;""), AS$6:AS82, (AK$6:AK82-AK$5:AK81)))/1000), ""))</f>
        <v/>
      </c>
      <c r="AW82" s="1">
        <f>AW81+20</f>
        <v/>
      </c>
      <c r="AX82" s="1">
        <f>AY81</f>
        <v/>
      </c>
      <c r="BA82" t="inlineStr">
        <is>
          <t>60mL/3s/30s</t>
        </is>
      </c>
      <c r="BE82" s="1">
        <f>IF(AY82="", "", (AX82-AY82)*1000/(AW82-AW81))</f>
        <v/>
      </c>
      <c r="BF82" s="1">
        <f>IF(BE82="","",BE82/BB$2/3)</f>
        <v/>
      </c>
      <c r="BG82" s="1">
        <f>IF(BE82="","", 100*_xlfn.STDEV.P(BE81:BE82)/AVERAGE(BE81:BE82))</f>
        <v/>
      </c>
      <c r="BH82" s="8">
        <f t="array" ref="BH82">IF(BE82="","", IFERROR(((IF(BE$5&lt;&gt;"", BE$5*AW$5, 0) + SUMPRODUCT(--(BE$6:BE82&lt;&gt;""), BE$6:BE82, (AW$6:AW82-AW$5:AW81)))/1000), ""))</f>
        <v/>
      </c>
      <c r="BI82" s="1">
        <f>BI81+20</f>
        <v/>
      </c>
      <c r="BJ82" s="1">
        <f>BK81</f>
        <v/>
      </c>
      <c r="BM82" t="inlineStr">
        <is>
          <t>60mL/3s/30s</t>
        </is>
      </c>
      <c r="BQ82" s="1">
        <f>IF(BK82="", "", (BJ82-BK82)*1000/(BI82-BI81))</f>
        <v/>
      </c>
      <c r="BR82" s="1">
        <f>IF(BQ82="","",BQ82/BN$2/3)</f>
        <v/>
      </c>
      <c r="BS82" s="1">
        <f>IF(BQ82="","", 100*_xlfn.STDEV.P(BQ81:BQ82)/AVERAGE(BQ81:BQ82))</f>
        <v/>
      </c>
      <c r="BT82" s="8">
        <f t="array" ref="BT82">IF(BQ82="","", IFERROR(((IF(BQ$5&lt;&gt;"", BQ$5*BI$5, 0) + SUMPRODUCT(--(BQ$6:BQ82&lt;&gt;""), BQ$6:BQ82, (BI$6:BI82-BI$5:BI81)))/1000), ""))</f>
        <v/>
      </c>
      <c r="BU82" s="1">
        <f>BU81+20</f>
        <v/>
      </c>
      <c r="BV82" s="1">
        <f>BW81</f>
        <v/>
      </c>
      <c r="BY82" t="inlineStr">
        <is>
          <t>60mL/3s/30s</t>
        </is>
      </c>
      <c r="CC82" s="1">
        <f>IF(BW82="", "", (BV82-BW82)*1000/(BU82-BU81))</f>
        <v/>
      </c>
      <c r="CD82" s="1">
        <f>IF(CC82="","",CC82/BZ$2/3)</f>
        <v/>
      </c>
      <c r="CE82" s="1">
        <f>IF(CC82="","", 100*_xlfn.STDEV.P(CC81:CC82)/AVERAGE(CC81:CC82))</f>
        <v/>
      </c>
      <c r="CF82" s="8">
        <f t="array" ref="CF82">IF(CC82="","", IFERROR(((IF(CC$5&lt;&gt;"", CC$5*BU$5, 0) + SUMPRODUCT(--(CC$6:CC82&lt;&gt;""), CC$6:CC82, (BU$6:BU82-BU$5:BU81)))/1000), ""))</f>
        <v/>
      </c>
      <c r="CG82" s="1">
        <f>CG81+20</f>
        <v/>
      </c>
      <c r="CH82" s="1">
        <f>CI81</f>
        <v/>
      </c>
      <c r="CK82" t="inlineStr">
        <is>
          <t>60mL/3s/30s</t>
        </is>
      </c>
      <c r="CO82" s="1">
        <f>IF(CI82="", "", (CH82-CI82)*1000/(CG82-CG81))</f>
        <v/>
      </c>
      <c r="CP82" s="1">
        <f>IF(CO82="","",CO82/CL$2/3)</f>
        <v/>
      </c>
      <c r="CQ82" s="1">
        <f>IF(CO82="","", 100*_xlfn.STDEV.P(CO81:CO82)/AVERAGE(CO81:CO82))</f>
        <v/>
      </c>
      <c r="CR82" s="8">
        <f t="array" ref="CR82">IF(CO82="","", IFERROR(((IF(CO$5&lt;&gt;"", CO$5*CG$5, 0) + SUMPRODUCT(--(CO$6:CO82&lt;&gt;""), CO$6:CO82, (CG$6:CG82-CG$5:CG81)))/1000), ""))</f>
        <v/>
      </c>
    </row>
    <row r="83">
      <c r="A83" s="1">
        <f>A82+20</f>
        <v/>
      </c>
      <c r="B83" s="1">
        <f>C82</f>
        <v/>
      </c>
      <c r="E83" t="inlineStr">
        <is>
          <t>60mL/3s/30s</t>
        </is>
      </c>
      <c r="I83" s="1">
        <f>IF(C83="", "", (B83-C83)*1000/(A83-A82))</f>
        <v/>
      </c>
      <c r="J83" s="1">
        <f>IF(I83="","",I83/F$2/3)</f>
        <v/>
      </c>
      <c r="K83" s="1">
        <f>IF(I83="","", 100*_xlfn.STDEV.P(I82:I83)/AVERAGE(I82:I83))</f>
        <v/>
      </c>
      <c r="L83" s="8">
        <f t="array" ref="L83">IF(I83="","", IFERROR(((IF(I$5&lt;&gt;"", I$5*A$5, 0) + SUMPRODUCT(--(I$6:I83&lt;&gt;""), I$6:I83, (A$6:A83-A$5:A82)))/1000), ""))</f>
        <v/>
      </c>
      <c r="M83" s="1">
        <f>M82+20</f>
        <v/>
      </c>
      <c r="N83" s="1">
        <f>O82</f>
        <v/>
      </c>
      <c r="Q83" t="inlineStr">
        <is>
          <t>60mL/3s/30s</t>
        </is>
      </c>
      <c r="U83" s="1">
        <f>IF(O83="", "", (N83-O83)*1000/(M83-M82))</f>
        <v/>
      </c>
      <c r="V83" s="1">
        <f>IF(U83="","",U83/R$2/3)</f>
        <v/>
      </c>
      <c r="W83" s="1">
        <f>IF(U83="","", 100*_xlfn.STDEV.P(U82:U83)/AVERAGE(U82:U83))</f>
        <v/>
      </c>
      <c r="X83" s="8">
        <f t="array" ref="X83">IF(U83="","", IFERROR(((IF(U$5&lt;&gt;"", U$5*M$5, 0) + SUMPRODUCT(--(U$6:U83&lt;&gt;""), U$6:U83, (M$6:M83-M$5:M82)))/1000), ""))</f>
        <v/>
      </c>
      <c r="Y83" s="1">
        <f>Y82+20</f>
        <v/>
      </c>
      <c r="Z83" s="1">
        <f>AA82</f>
        <v/>
      </c>
      <c r="AC83" t="inlineStr">
        <is>
          <t>60mL/3s/30s</t>
        </is>
      </c>
      <c r="AG83" s="1">
        <f>IF(AA83="", "", (Z83-AA83)*1000/(Y83-Y82))</f>
        <v/>
      </c>
      <c r="AH83" s="1">
        <f>IF(AG83="","",AG83/AD$2/3)</f>
        <v/>
      </c>
      <c r="AI83" s="1">
        <f>IF(AG83="","", 100*_xlfn.STDEV.P(AG82:AG83)/AVERAGE(AG82:AG83))</f>
        <v/>
      </c>
      <c r="AJ83" s="8">
        <f t="array" ref="AJ83">IF(AG83="","", IFERROR(((IF(AG$5&lt;&gt;"", AG$5*Y$5, 0) + SUMPRODUCT(--(AG$6:AG83&lt;&gt;""), AG$6:AG83, (Y$6:Y83-Y$5:Y82)))/1000), ""))</f>
        <v/>
      </c>
      <c r="AK83" s="1">
        <f>AK82+20</f>
        <v/>
      </c>
      <c r="AL83" s="1">
        <f>AM82</f>
        <v/>
      </c>
      <c r="AO83" t="inlineStr">
        <is>
          <t>60mL/3s/30s</t>
        </is>
      </c>
      <c r="AS83" s="1">
        <f>IF(AM83="", "", (AL83-AM83)*1000/(AK83-AK82))</f>
        <v/>
      </c>
      <c r="AT83" s="1">
        <f>IF(AS83="","",AS83/AP$2/3)</f>
        <v/>
      </c>
      <c r="AU83" s="1">
        <f>IF(AS83="","", 100*_xlfn.STDEV.P(AS82:AS83)/AVERAGE(AS82:AS83))</f>
        <v/>
      </c>
      <c r="AV83" s="8">
        <f t="array" ref="AV83">IF(AS83="","", IFERROR(((IF(AS$5&lt;&gt;"", AS$5*AK$5, 0) + SUMPRODUCT(--(AS$6:AS83&lt;&gt;""), AS$6:AS83, (AK$6:AK83-AK$5:AK82)))/1000), ""))</f>
        <v/>
      </c>
      <c r="AW83" s="1">
        <f>AW82+20</f>
        <v/>
      </c>
      <c r="AX83" s="1">
        <f>AY82</f>
        <v/>
      </c>
      <c r="BA83" t="inlineStr">
        <is>
          <t>60mL/3s/30s</t>
        </is>
      </c>
      <c r="BE83" s="1">
        <f>IF(AY83="", "", (AX83-AY83)*1000/(AW83-AW82))</f>
        <v/>
      </c>
      <c r="BF83" s="1">
        <f>IF(BE83="","",BE83/BB$2/3)</f>
        <v/>
      </c>
      <c r="BG83" s="1">
        <f>IF(BE83="","", 100*_xlfn.STDEV.P(BE82:BE83)/AVERAGE(BE82:BE83))</f>
        <v/>
      </c>
      <c r="BH83" s="8">
        <f t="array" ref="BH83">IF(BE83="","", IFERROR(((IF(BE$5&lt;&gt;"", BE$5*AW$5, 0) + SUMPRODUCT(--(BE$6:BE83&lt;&gt;""), BE$6:BE83, (AW$6:AW83-AW$5:AW82)))/1000), ""))</f>
        <v/>
      </c>
      <c r="BI83" s="1">
        <f>BI82+20</f>
        <v/>
      </c>
      <c r="BJ83" s="1">
        <f>BK82</f>
        <v/>
      </c>
      <c r="BM83" t="inlineStr">
        <is>
          <t>60mL/3s/30s</t>
        </is>
      </c>
      <c r="BQ83" s="1">
        <f>IF(BK83="", "", (BJ83-BK83)*1000/(BI83-BI82))</f>
        <v/>
      </c>
      <c r="BR83" s="1">
        <f>IF(BQ83="","",BQ83/BN$2/3)</f>
        <v/>
      </c>
      <c r="BS83" s="1">
        <f>IF(BQ83="","", 100*_xlfn.STDEV.P(BQ82:BQ83)/AVERAGE(BQ82:BQ83))</f>
        <v/>
      </c>
      <c r="BT83" s="8">
        <f t="array" ref="BT83">IF(BQ83="","", IFERROR(((IF(BQ$5&lt;&gt;"", BQ$5*BI$5, 0) + SUMPRODUCT(--(BQ$6:BQ83&lt;&gt;""), BQ$6:BQ83, (BI$6:BI83-BI$5:BI82)))/1000), ""))</f>
        <v/>
      </c>
      <c r="BU83" s="1">
        <f>BU82+20</f>
        <v/>
      </c>
      <c r="BV83" s="1">
        <f>BW82</f>
        <v/>
      </c>
      <c r="BY83" t="inlineStr">
        <is>
          <t>60mL/3s/30s</t>
        </is>
      </c>
      <c r="CC83" s="1">
        <f>IF(BW83="", "", (BV83-BW83)*1000/(BU83-BU82))</f>
        <v/>
      </c>
      <c r="CD83" s="1">
        <f>IF(CC83="","",CC83/BZ$2/3)</f>
        <v/>
      </c>
      <c r="CE83" s="1">
        <f>IF(CC83="","", 100*_xlfn.STDEV.P(CC82:CC83)/AVERAGE(CC82:CC83))</f>
        <v/>
      </c>
      <c r="CF83" s="8">
        <f t="array" ref="CF83">IF(CC83="","", IFERROR(((IF(CC$5&lt;&gt;"", CC$5*BU$5, 0) + SUMPRODUCT(--(CC$6:CC83&lt;&gt;""), CC$6:CC83, (BU$6:BU83-BU$5:BU82)))/1000), ""))</f>
        <v/>
      </c>
      <c r="CG83" s="1">
        <f>CG82+20</f>
        <v/>
      </c>
      <c r="CH83" s="1">
        <f>CI82</f>
        <v/>
      </c>
      <c r="CK83" t="inlineStr">
        <is>
          <t>60mL/3s/30s</t>
        </is>
      </c>
      <c r="CO83" s="1">
        <f>IF(CI83="", "", (CH83-CI83)*1000/(CG83-CG82))</f>
        <v/>
      </c>
      <c r="CP83" s="1">
        <f>IF(CO83="","",CO83/CL$2/3)</f>
        <v/>
      </c>
      <c r="CQ83" s="1">
        <f>IF(CO83="","", 100*_xlfn.STDEV.P(CO82:CO83)/AVERAGE(CO82:CO83))</f>
        <v/>
      </c>
      <c r="CR83" s="8">
        <f t="array" ref="CR83">IF(CO83="","", IFERROR(((IF(CO$5&lt;&gt;"", CO$5*CG$5, 0) + SUMPRODUCT(--(CO$6:CO83&lt;&gt;""), CO$6:CO83, (CG$6:CG83-CG$5:CG82)))/1000), ""))</f>
        <v/>
      </c>
    </row>
    <row r="84">
      <c r="A84" s="1">
        <f>A83+20</f>
        <v/>
      </c>
      <c r="B84" s="1">
        <f>C83</f>
        <v/>
      </c>
      <c r="E84" t="inlineStr">
        <is>
          <t>60mL/3s/30s</t>
        </is>
      </c>
      <c r="I84" s="1">
        <f>IF(C84="", "", (B84-C84)*1000/(A84-A83))</f>
        <v/>
      </c>
      <c r="J84" s="1">
        <f>IF(I84="","",I84/F$2/3)</f>
        <v/>
      </c>
      <c r="K84" s="1">
        <f>IF(I84="","", 100*_xlfn.STDEV.P(I83:I84)/AVERAGE(I83:I84))</f>
        <v/>
      </c>
      <c r="L84" s="8">
        <f t="array" ref="L84">IF(I84="","", IFERROR(((IF(I$5&lt;&gt;"", I$5*A$5, 0) + SUMPRODUCT(--(I$6:I84&lt;&gt;""), I$6:I84, (A$6:A84-A$5:A83)))/1000), ""))</f>
        <v/>
      </c>
      <c r="M84" s="1">
        <f>M83+20</f>
        <v/>
      </c>
      <c r="N84" s="1">
        <f>O83</f>
        <v/>
      </c>
      <c r="Q84" t="inlineStr">
        <is>
          <t>60mL/3s/30s</t>
        </is>
      </c>
      <c r="U84" s="1">
        <f>IF(O84="", "", (N84-O84)*1000/(M84-M83))</f>
        <v/>
      </c>
      <c r="V84" s="1">
        <f>IF(U84="","",U84/R$2/3)</f>
        <v/>
      </c>
      <c r="W84" s="1">
        <f>IF(U84="","", 100*_xlfn.STDEV.P(U83:U84)/AVERAGE(U83:U84))</f>
        <v/>
      </c>
      <c r="X84" s="8">
        <f t="array" ref="X84">IF(U84="","", IFERROR(((IF(U$5&lt;&gt;"", U$5*M$5, 0) + SUMPRODUCT(--(U$6:U84&lt;&gt;""), U$6:U84, (M$6:M84-M$5:M83)))/1000), ""))</f>
        <v/>
      </c>
      <c r="Y84" s="1">
        <f>Y83+20</f>
        <v/>
      </c>
      <c r="Z84" s="1">
        <f>AA83</f>
        <v/>
      </c>
      <c r="AC84" t="inlineStr">
        <is>
          <t>60mL/3s/30s</t>
        </is>
      </c>
      <c r="AG84" s="1">
        <f>IF(AA84="", "", (Z84-AA84)*1000/(Y84-Y83))</f>
        <v/>
      </c>
      <c r="AH84" s="1">
        <f>IF(AG84="","",AG84/AD$2/3)</f>
        <v/>
      </c>
      <c r="AI84" s="1">
        <f>IF(AG84="","", 100*_xlfn.STDEV.P(AG83:AG84)/AVERAGE(AG83:AG84))</f>
        <v/>
      </c>
      <c r="AJ84" s="8">
        <f t="array" ref="AJ84">IF(AG84="","", IFERROR(((IF(AG$5&lt;&gt;"", AG$5*Y$5, 0) + SUMPRODUCT(--(AG$6:AG84&lt;&gt;""), AG$6:AG84, (Y$6:Y84-Y$5:Y83)))/1000), ""))</f>
        <v/>
      </c>
      <c r="AK84" s="1">
        <f>AK83+20</f>
        <v/>
      </c>
      <c r="AL84" s="1">
        <f>AM83</f>
        <v/>
      </c>
      <c r="AO84" t="inlineStr">
        <is>
          <t>60mL/3s/30s</t>
        </is>
      </c>
      <c r="AS84" s="1">
        <f>IF(AM84="", "", (AL84-AM84)*1000/(AK84-AK83))</f>
        <v/>
      </c>
      <c r="AT84" s="1">
        <f>IF(AS84="","",AS84/AP$2/3)</f>
        <v/>
      </c>
      <c r="AU84" s="1">
        <f>IF(AS84="","", 100*_xlfn.STDEV.P(AS83:AS84)/AVERAGE(AS83:AS84))</f>
        <v/>
      </c>
      <c r="AV84" s="8">
        <f t="array" ref="AV84">IF(AS84="","", IFERROR(((IF(AS$5&lt;&gt;"", AS$5*AK$5, 0) + SUMPRODUCT(--(AS$6:AS84&lt;&gt;""), AS$6:AS84, (AK$6:AK84-AK$5:AK83)))/1000), ""))</f>
        <v/>
      </c>
      <c r="AW84" s="1">
        <f>AW83+20</f>
        <v/>
      </c>
      <c r="AX84" s="1">
        <f>AY83</f>
        <v/>
      </c>
      <c r="BA84" t="inlineStr">
        <is>
          <t>60mL/3s/30s</t>
        </is>
      </c>
      <c r="BE84" s="1">
        <f>IF(AY84="", "", (AX84-AY84)*1000/(AW84-AW83))</f>
        <v/>
      </c>
      <c r="BF84" s="1">
        <f>IF(BE84="","",BE84/BB$2/3)</f>
        <v/>
      </c>
      <c r="BG84" s="1">
        <f>IF(BE84="","", 100*_xlfn.STDEV.P(BE83:BE84)/AVERAGE(BE83:BE84))</f>
        <v/>
      </c>
      <c r="BH84" s="8">
        <f t="array" ref="BH84">IF(BE84="","", IFERROR(((IF(BE$5&lt;&gt;"", BE$5*AW$5, 0) + SUMPRODUCT(--(BE$6:BE84&lt;&gt;""), BE$6:BE84, (AW$6:AW84-AW$5:AW83)))/1000), ""))</f>
        <v/>
      </c>
      <c r="BI84" s="1">
        <f>BI83+20</f>
        <v/>
      </c>
      <c r="BJ84" s="1">
        <f>BK83</f>
        <v/>
      </c>
      <c r="BM84" t="inlineStr">
        <is>
          <t>60mL/3s/30s</t>
        </is>
      </c>
      <c r="BQ84" s="1">
        <f>IF(BK84="", "", (BJ84-BK84)*1000/(BI84-BI83))</f>
        <v/>
      </c>
      <c r="BR84" s="1">
        <f>IF(BQ84="","",BQ84/BN$2/3)</f>
        <v/>
      </c>
      <c r="BS84" s="1">
        <f>IF(BQ84="","", 100*_xlfn.STDEV.P(BQ83:BQ84)/AVERAGE(BQ83:BQ84))</f>
        <v/>
      </c>
      <c r="BT84" s="8">
        <f t="array" ref="BT84">IF(BQ84="","", IFERROR(((IF(BQ$5&lt;&gt;"", BQ$5*BI$5, 0) + SUMPRODUCT(--(BQ$6:BQ84&lt;&gt;""), BQ$6:BQ84, (BI$6:BI84-BI$5:BI83)))/1000), ""))</f>
        <v/>
      </c>
      <c r="BU84" s="1">
        <f>BU83+20</f>
        <v/>
      </c>
      <c r="BV84" s="1">
        <f>BW83</f>
        <v/>
      </c>
      <c r="BY84" t="inlineStr">
        <is>
          <t>60mL/3s/30s</t>
        </is>
      </c>
      <c r="CC84" s="1">
        <f>IF(BW84="", "", (BV84-BW84)*1000/(BU84-BU83))</f>
        <v/>
      </c>
      <c r="CD84" s="1">
        <f>IF(CC84="","",CC84/BZ$2/3)</f>
        <v/>
      </c>
      <c r="CE84" s="1">
        <f>IF(CC84="","", 100*_xlfn.STDEV.P(CC83:CC84)/AVERAGE(CC83:CC84))</f>
        <v/>
      </c>
      <c r="CF84" s="8">
        <f t="array" ref="CF84">IF(CC84="","", IFERROR(((IF(CC$5&lt;&gt;"", CC$5*BU$5, 0) + SUMPRODUCT(--(CC$6:CC84&lt;&gt;""), CC$6:CC84, (BU$6:BU84-BU$5:BU83)))/1000), ""))</f>
        <v/>
      </c>
      <c r="CG84" s="1">
        <f>CG83+20</f>
        <v/>
      </c>
      <c r="CH84" s="1">
        <f>CI83</f>
        <v/>
      </c>
      <c r="CK84" t="inlineStr">
        <is>
          <t>60mL/3s/30s</t>
        </is>
      </c>
      <c r="CO84" s="1">
        <f>IF(CI84="", "", (CH84-CI84)*1000/(CG84-CG83))</f>
        <v/>
      </c>
      <c r="CP84" s="1">
        <f>IF(CO84="","",CO84/CL$2/3)</f>
        <v/>
      </c>
      <c r="CQ84" s="1">
        <f>IF(CO84="","", 100*_xlfn.STDEV.P(CO83:CO84)/AVERAGE(CO83:CO84))</f>
        <v/>
      </c>
      <c r="CR84" s="8">
        <f t="array" ref="CR84">IF(CO84="","", IFERROR(((IF(CO$5&lt;&gt;"", CO$5*CG$5, 0) + SUMPRODUCT(--(CO$6:CO84&lt;&gt;""), CO$6:CO84, (CG$6:CG84-CG$5:CG83)))/1000), ""))</f>
        <v/>
      </c>
    </row>
    <row r="85">
      <c r="A85" s="1">
        <f>A84+20</f>
        <v/>
      </c>
      <c r="B85" s="1">
        <f>C84</f>
        <v/>
      </c>
      <c r="E85" t="inlineStr">
        <is>
          <t>60mL/3s/30s</t>
        </is>
      </c>
      <c r="I85" s="1">
        <f>IF(C85="", "", (B85-C85)*1000/(A85-A84))</f>
        <v/>
      </c>
      <c r="J85" s="1">
        <f>IF(I85="","",I85/F$2/3)</f>
        <v/>
      </c>
      <c r="K85" s="1">
        <f>IF(I85="","", 100*_xlfn.STDEV.P(I84:I85)/AVERAGE(I84:I85))</f>
        <v/>
      </c>
      <c r="L85" s="8">
        <f t="array" ref="L85">IF(I85="","", IFERROR(((IF(I$5&lt;&gt;"", I$5*A$5, 0) + SUMPRODUCT(--(I$6:I85&lt;&gt;""), I$6:I85, (A$6:A85-A$5:A84)))/1000), ""))</f>
        <v/>
      </c>
      <c r="M85" s="1">
        <f>M84+20</f>
        <v/>
      </c>
      <c r="N85" s="1">
        <f>O84</f>
        <v/>
      </c>
      <c r="Q85" t="inlineStr">
        <is>
          <t>60mL/3s/30s</t>
        </is>
      </c>
      <c r="U85" s="1">
        <f>IF(O85="", "", (N85-O85)*1000/(M85-M84))</f>
        <v/>
      </c>
      <c r="V85" s="1">
        <f>IF(U85="","",U85/R$2/3)</f>
        <v/>
      </c>
      <c r="W85" s="1">
        <f>IF(U85="","", 100*_xlfn.STDEV.P(U84:U85)/AVERAGE(U84:U85))</f>
        <v/>
      </c>
      <c r="X85" s="8">
        <f t="array" ref="X85">IF(U85="","", IFERROR(((IF(U$5&lt;&gt;"", U$5*M$5, 0) + SUMPRODUCT(--(U$6:U85&lt;&gt;""), U$6:U85, (M$6:M85-M$5:M84)))/1000), ""))</f>
        <v/>
      </c>
      <c r="Y85" s="1">
        <f>Y84+20</f>
        <v/>
      </c>
      <c r="Z85" s="1">
        <f>AA84</f>
        <v/>
      </c>
      <c r="AC85" t="inlineStr">
        <is>
          <t>60mL/3s/30s</t>
        </is>
      </c>
      <c r="AG85" s="1">
        <f>IF(AA85="", "", (Z85-AA85)*1000/(Y85-Y84))</f>
        <v/>
      </c>
      <c r="AH85" s="1">
        <f>IF(AG85="","",AG85/AD$2/3)</f>
        <v/>
      </c>
      <c r="AI85" s="1">
        <f>IF(AG85="","", 100*_xlfn.STDEV.P(AG84:AG85)/AVERAGE(AG84:AG85))</f>
        <v/>
      </c>
      <c r="AJ85" s="8">
        <f t="array" ref="AJ85">IF(AG85="","", IFERROR(((IF(AG$5&lt;&gt;"", AG$5*Y$5, 0) + SUMPRODUCT(--(AG$6:AG85&lt;&gt;""), AG$6:AG85, (Y$6:Y85-Y$5:Y84)))/1000), ""))</f>
        <v/>
      </c>
      <c r="AK85" s="1">
        <f>AK84+20</f>
        <v/>
      </c>
      <c r="AL85" s="1">
        <f>AM84</f>
        <v/>
      </c>
      <c r="AO85" t="inlineStr">
        <is>
          <t>60mL/3s/30s</t>
        </is>
      </c>
      <c r="AS85" s="1">
        <f>IF(AM85="", "", (AL85-AM85)*1000/(AK85-AK84))</f>
        <v/>
      </c>
      <c r="AT85" s="1">
        <f>IF(AS85="","",AS85/AP$2/3)</f>
        <v/>
      </c>
      <c r="AU85" s="1">
        <f>IF(AS85="","", 100*_xlfn.STDEV.P(AS84:AS85)/AVERAGE(AS84:AS85))</f>
        <v/>
      </c>
      <c r="AV85" s="8">
        <f t="array" ref="AV85">IF(AS85="","", IFERROR(((IF(AS$5&lt;&gt;"", AS$5*AK$5, 0) + SUMPRODUCT(--(AS$6:AS85&lt;&gt;""), AS$6:AS85, (AK$6:AK85-AK$5:AK84)))/1000), ""))</f>
        <v/>
      </c>
      <c r="AW85" s="1">
        <f>AW84+20</f>
        <v/>
      </c>
      <c r="AX85" s="1">
        <f>AY84</f>
        <v/>
      </c>
      <c r="BA85" t="inlineStr">
        <is>
          <t>60mL/3s/30s</t>
        </is>
      </c>
      <c r="BE85" s="1">
        <f>IF(AY85="", "", (AX85-AY85)*1000/(AW85-AW84))</f>
        <v/>
      </c>
      <c r="BF85" s="1">
        <f>IF(BE85="","",BE85/BB$2/3)</f>
        <v/>
      </c>
      <c r="BG85" s="1">
        <f>IF(BE85="","", 100*_xlfn.STDEV.P(BE84:BE85)/AVERAGE(BE84:BE85))</f>
        <v/>
      </c>
      <c r="BH85" s="8">
        <f t="array" ref="BH85">IF(BE85="","", IFERROR(((IF(BE$5&lt;&gt;"", BE$5*AW$5, 0) + SUMPRODUCT(--(BE$6:BE85&lt;&gt;""), BE$6:BE85, (AW$6:AW85-AW$5:AW84)))/1000), ""))</f>
        <v/>
      </c>
      <c r="BI85" s="1">
        <f>BI84+20</f>
        <v/>
      </c>
      <c r="BJ85" s="1">
        <f>BK84</f>
        <v/>
      </c>
      <c r="BM85" t="inlineStr">
        <is>
          <t>60mL/3s/30s</t>
        </is>
      </c>
      <c r="BQ85" s="1">
        <f>IF(BK85="", "", (BJ85-BK85)*1000/(BI85-BI84))</f>
        <v/>
      </c>
      <c r="BR85" s="1">
        <f>IF(BQ85="","",BQ85/BN$2/3)</f>
        <v/>
      </c>
      <c r="BS85" s="1">
        <f>IF(BQ85="","", 100*_xlfn.STDEV.P(BQ84:BQ85)/AVERAGE(BQ84:BQ85))</f>
        <v/>
      </c>
      <c r="BT85" s="8">
        <f t="array" ref="BT85">IF(BQ85="","", IFERROR(((IF(BQ$5&lt;&gt;"", BQ$5*BI$5, 0) + SUMPRODUCT(--(BQ$6:BQ85&lt;&gt;""), BQ$6:BQ85, (BI$6:BI85-BI$5:BI84)))/1000), ""))</f>
        <v/>
      </c>
      <c r="BU85" s="1">
        <f>BU84+20</f>
        <v/>
      </c>
      <c r="BV85" s="1">
        <f>BW84</f>
        <v/>
      </c>
      <c r="BY85" t="inlineStr">
        <is>
          <t>60mL/3s/30s</t>
        </is>
      </c>
      <c r="CC85" s="1">
        <f>IF(BW85="", "", (BV85-BW85)*1000/(BU85-BU84))</f>
        <v/>
      </c>
      <c r="CD85" s="1">
        <f>IF(CC85="","",CC85/BZ$2/3)</f>
        <v/>
      </c>
      <c r="CE85" s="1">
        <f>IF(CC85="","", 100*_xlfn.STDEV.P(CC84:CC85)/AVERAGE(CC84:CC85))</f>
        <v/>
      </c>
      <c r="CF85" s="8">
        <f t="array" ref="CF85">IF(CC85="","", IFERROR(((IF(CC$5&lt;&gt;"", CC$5*BU$5, 0) + SUMPRODUCT(--(CC$6:CC85&lt;&gt;""), CC$6:CC85, (BU$6:BU85-BU$5:BU84)))/1000), ""))</f>
        <v/>
      </c>
      <c r="CG85" s="1">
        <f>CG84+20</f>
        <v/>
      </c>
      <c r="CH85" s="1">
        <f>CI84</f>
        <v/>
      </c>
      <c r="CK85" t="inlineStr">
        <is>
          <t>60mL/3s/30s</t>
        </is>
      </c>
      <c r="CO85" s="1">
        <f>IF(CI85="", "", (CH85-CI85)*1000/(CG85-CG84))</f>
        <v/>
      </c>
      <c r="CP85" s="1">
        <f>IF(CO85="","",CO85/CL$2/3)</f>
        <v/>
      </c>
      <c r="CQ85" s="1">
        <f>IF(CO85="","", 100*_xlfn.STDEV.P(CO84:CO85)/AVERAGE(CO84:CO85))</f>
        <v/>
      </c>
      <c r="CR85" s="8">
        <f t="array" ref="CR85">IF(CO85="","", IFERROR(((IF(CO$5&lt;&gt;"", CO$5*CG$5, 0) + SUMPRODUCT(--(CO$6:CO85&lt;&gt;""), CO$6:CO85, (CG$6:CG85-CG$5:CG84)))/1000), ""))</f>
        <v/>
      </c>
    </row>
    <row r="86">
      <c r="A86" s="1">
        <f>A85+20</f>
        <v/>
      </c>
      <c r="B86" s="1">
        <f>C85</f>
        <v/>
      </c>
      <c r="E86" t="inlineStr">
        <is>
          <t>60mL/3s/30s</t>
        </is>
      </c>
      <c r="I86" s="1">
        <f>IF(C86="", "", (B86-C86)*1000/(A86-A85))</f>
        <v/>
      </c>
      <c r="J86" s="1">
        <f>IF(I86="","",I86/F$2/3)</f>
        <v/>
      </c>
      <c r="K86" s="1">
        <f>IF(I86="","", 100*_xlfn.STDEV.P(I85:I86)/AVERAGE(I85:I86))</f>
        <v/>
      </c>
      <c r="L86" s="8">
        <f t="array" ref="L86">IF(I86="","", IFERROR(((IF(I$5&lt;&gt;"", I$5*A$5, 0) + SUMPRODUCT(--(I$6:I86&lt;&gt;""), I$6:I86, (A$6:A86-A$5:A85)))/1000), ""))</f>
        <v/>
      </c>
      <c r="M86" s="1">
        <f>M85+20</f>
        <v/>
      </c>
      <c r="N86" s="1">
        <f>O85</f>
        <v/>
      </c>
      <c r="Q86" t="inlineStr">
        <is>
          <t>60mL/3s/30s</t>
        </is>
      </c>
      <c r="U86" s="1">
        <f>IF(O86="", "", (N86-O86)*1000/(M86-M85))</f>
        <v/>
      </c>
      <c r="V86" s="1">
        <f>IF(U86="","",U86/R$2/3)</f>
        <v/>
      </c>
      <c r="W86" s="1">
        <f>IF(U86="","", 100*_xlfn.STDEV.P(U85:U86)/AVERAGE(U85:U86))</f>
        <v/>
      </c>
      <c r="X86" s="8">
        <f t="array" ref="X86">IF(U86="","", IFERROR(((IF(U$5&lt;&gt;"", U$5*M$5, 0) + SUMPRODUCT(--(U$6:U86&lt;&gt;""), U$6:U86, (M$6:M86-M$5:M85)))/1000), ""))</f>
        <v/>
      </c>
      <c r="Y86" s="1">
        <f>Y85+20</f>
        <v/>
      </c>
      <c r="Z86" s="1">
        <f>AA85</f>
        <v/>
      </c>
      <c r="AC86" t="inlineStr">
        <is>
          <t>60mL/3s/30s</t>
        </is>
      </c>
      <c r="AG86" s="1">
        <f>IF(AA86="", "", (Z86-AA86)*1000/(Y86-Y85))</f>
        <v/>
      </c>
      <c r="AH86" s="1">
        <f>IF(AG86="","",AG86/AD$2/3)</f>
        <v/>
      </c>
      <c r="AI86" s="1">
        <f>IF(AG86="","", 100*_xlfn.STDEV.P(AG85:AG86)/AVERAGE(AG85:AG86))</f>
        <v/>
      </c>
      <c r="AJ86" s="8">
        <f t="array" ref="AJ86">IF(AG86="","", IFERROR(((IF(AG$5&lt;&gt;"", AG$5*Y$5, 0) + SUMPRODUCT(--(AG$6:AG86&lt;&gt;""), AG$6:AG86, (Y$6:Y86-Y$5:Y85)))/1000), ""))</f>
        <v/>
      </c>
      <c r="AK86" s="1">
        <f>AK85+20</f>
        <v/>
      </c>
      <c r="AL86" s="1">
        <f>AM85</f>
        <v/>
      </c>
      <c r="AO86" t="inlineStr">
        <is>
          <t>60mL/3s/30s</t>
        </is>
      </c>
      <c r="AS86" s="1">
        <f>IF(AM86="", "", (AL86-AM86)*1000/(AK86-AK85))</f>
        <v/>
      </c>
      <c r="AT86" s="1">
        <f>IF(AS86="","",AS86/AP$2/3)</f>
        <v/>
      </c>
      <c r="AU86" s="1">
        <f>IF(AS86="","", 100*_xlfn.STDEV.P(AS85:AS86)/AVERAGE(AS85:AS86))</f>
        <v/>
      </c>
      <c r="AV86" s="8">
        <f t="array" ref="AV86">IF(AS86="","", IFERROR(((IF(AS$5&lt;&gt;"", AS$5*AK$5, 0) + SUMPRODUCT(--(AS$6:AS86&lt;&gt;""), AS$6:AS86, (AK$6:AK86-AK$5:AK85)))/1000), ""))</f>
        <v/>
      </c>
      <c r="AW86" s="1">
        <f>AW85+20</f>
        <v/>
      </c>
      <c r="AX86" s="1">
        <f>AY85</f>
        <v/>
      </c>
      <c r="BA86" t="inlineStr">
        <is>
          <t>60mL/3s/30s</t>
        </is>
      </c>
      <c r="BE86" s="1">
        <f>IF(AY86="", "", (AX86-AY86)*1000/(AW86-AW85))</f>
        <v/>
      </c>
      <c r="BF86" s="1">
        <f>IF(BE86="","",BE86/BB$2/3)</f>
        <v/>
      </c>
      <c r="BG86" s="1">
        <f>IF(BE86="","", 100*_xlfn.STDEV.P(BE85:BE86)/AVERAGE(BE85:BE86))</f>
        <v/>
      </c>
      <c r="BH86" s="8">
        <f t="array" ref="BH86">IF(BE86="","", IFERROR(((IF(BE$5&lt;&gt;"", BE$5*AW$5, 0) + SUMPRODUCT(--(BE$6:BE86&lt;&gt;""), BE$6:BE86, (AW$6:AW86-AW$5:AW85)))/1000), ""))</f>
        <v/>
      </c>
      <c r="BI86" s="1">
        <f>BI85+20</f>
        <v/>
      </c>
      <c r="BJ86" s="1">
        <f>BK85</f>
        <v/>
      </c>
      <c r="BM86" t="inlineStr">
        <is>
          <t>60mL/3s/30s</t>
        </is>
      </c>
      <c r="BQ86" s="1">
        <f>IF(BK86="", "", (BJ86-BK86)*1000/(BI86-BI85))</f>
        <v/>
      </c>
      <c r="BR86" s="1">
        <f>IF(BQ86="","",BQ86/BN$2/3)</f>
        <v/>
      </c>
      <c r="BS86" s="1">
        <f>IF(BQ86="","", 100*_xlfn.STDEV.P(BQ85:BQ86)/AVERAGE(BQ85:BQ86))</f>
        <v/>
      </c>
      <c r="BT86" s="8">
        <f t="array" ref="BT86">IF(BQ86="","", IFERROR(((IF(BQ$5&lt;&gt;"", BQ$5*BI$5, 0) + SUMPRODUCT(--(BQ$6:BQ86&lt;&gt;""), BQ$6:BQ86, (BI$6:BI86-BI$5:BI85)))/1000), ""))</f>
        <v/>
      </c>
      <c r="BU86" s="1">
        <f>BU85+20</f>
        <v/>
      </c>
      <c r="BV86" s="1">
        <f>BW85</f>
        <v/>
      </c>
      <c r="BY86" t="inlineStr">
        <is>
          <t>60mL/3s/30s</t>
        </is>
      </c>
      <c r="CC86" s="1">
        <f>IF(BW86="", "", (BV86-BW86)*1000/(BU86-BU85))</f>
        <v/>
      </c>
      <c r="CD86" s="1">
        <f>IF(CC86="","",CC86/BZ$2/3)</f>
        <v/>
      </c>
      <c r="CE86" s="1">
        <f>IF(CC86="","", 100*_xlfn.STDEV.P(CC85:CC86)/AVERAGE(CC85:CC86))</f>
        <v/>
      </c>
      <c r="CF86" s="8">
        <f t="array" ref="CF86">IF(CC86="","", IFERROR(((IF(CC$5&lt;&gt;"", CC$5*BU$5, 0) + SUMPRODUCT(--(CC$6:CC86&lt;&gt;""), CC$6:CC86, (BU$6:BU86-BU$5:BU85)))/1000), ""))</f>
        <v/>
      </c>
      <c r="CG86" s="1">
        <f>CG85+20</f>
        <v/>
      </c>
      <c r="CH86" s="1">
        <f>CI85</f>
        <v/>
      </c>
      <c r="CK86" t="inlineStr">
        <is>
          <t>60mL/3s/30s</t>
        </is>
      </c>
      <c r="CO86" s="1">
        <f>IF(CI86="", "", (CH86-CI86)*1000/(CG86-CG85))</f>
        <v/>
      </c>
      <c r="CP86" s="1">
        <f>IF(CO86="","",CO86/CL$2/3)</f>
        <v/>
      </c>
      <c r="CQ86" s="1">
        <f>IF(CO86="","", 100*_xlfn.STDEV.P(CO85:CO86)/AVERAGE(CO85:CO86))</f>
        <v/>
      </c>
      <c r="CR86" s="8">
        <f t="array" ref="CR86">IF(CO86="","", IFERROR(((IF(CO$5&lt;&gt;"", CO$5*CG$5, 0) + SUMPRODUCT(--(CO$6:CO86&lt;&gt;""), CO$6:CO86, (CG$6:CG86-CG$5:CG85)))/1000), ""))</f>
        <v/>
      </c>
    </row>
    <row r="87">
      <c r="A87" s="1">
        <f>A86+20</f>
        <v/>
      </c>
      <c r="B87" s="1">
        <f>C86</f>
        <v/>
      </c>
      <c r="E87" t="inlineStr">
        <is>
          <t>60mL/3s/30s</t>
        </is>
      </c>
      <c r="I87" s="1">
        <f>IF(C87="", "", (B87-C87)*1000/(A87-A86))</f>
        <v/>
      </c>
      <c r="J87" s="1">
        <f>IF(I87="","",I87/F$2/3)</f>
        <v/>
      </c>
      <c r="K87" s="1">
        <f>IF(I87="","", 100*_xlfn.STDEV.P(I86:I87)/AVERAGE(I86:I87))</f>
        <v/>
      </c>
      <c r="L87" s="8">
        <f t="array" ref="L87">IF(I87="","", IFERROR(((IF(I$5&lt;&gt;"", I$5*A$5, 0) + SUMPRODUCT(--(I$6:I87&lt;&gt;""), I$6:I87, (A$6:A87-A$5:A86)))/1000), ""))</f>
        <v/>
      </c>
      <c r="M87" s="1">
        <f>M86+20</f>
        <v/>
      </c>
      <c r="N87" s="1">
        <f>O86</f>
        <v/>
      </c>
      <c r="Q87" t="inlineStr">
        <is>
          <t>60mL/3s/30s</t>
        </is>
      </c>
      <c r="U87" s="1">
        <f>IF(O87="", "", (N87-O87)*1000/(M87-M86))</f>
        <v/>
      </c>
      <c r="V87" s="1">
        <f>IF(U87="","",U87/R$2/3)</f>
        <v/>
      </c>
      <c r="W87" s="1">
        <f>IF(U87="","", 100*_xlfn.STDEV.P(U86:U87)/AVERAGE(U86:U87))</f>
        <v/>
      </c>
      <c r="X87" s="8">
        <f t="array" ref="X87">IF(U87="","", IFERROR(((IF(U$5&lt;&gt;"", U$5*M$5, 0) + SUMPRODUCT(--(U$6:U87&lt;&gt;""), U$6:U87, (M$6:M87-M$5:M86)))/1000), ""))</f>
        <v/>
      </c>
      <c r="Y87" s="1">
        <f>Y86+20</f>
        <v/>
      </c>
      <c r="Z87" s="1">
        <f>AA86</f>
        <v/>
      </c>
      <c r="AC87" t="inlineStr">
        <is>
          <t>60mL/3s/30s</t>
        </is>
      </c>
      <c r="AG87" s="1">
        <f>IF(AA87="", "", (Z87-AA87)*1000/(Y87-Y86))</f>
        <v/>
      </c>
      <c r="AH87" s="1">
        <f>IF(AG87="","",AG87/AD$2/3)</f>
        <v/>
      </c>
      <c r="AI87" s="1">
        <f>IF(AG87="","", 100*_xlfn.STDEV.P(AG86:AG87)/AVERAGE(AG86:AG87))</f>
        <v/>
      </c>
      <c r="AJ87" s="8">
        <f t="array" ref="AJ87">IF(AG87="","", IFERROR(((IF(AG$5&lt;&gt;"", AG$5*Y$5, 0) + SUMPRODUCT(--(AG$6:AG87&lt;&gt;""), AG$6:AG87, (Y$6:Y87-Y$5:Y86)))/1000), ""))</f>
        <v/>
      </c>
      <c r="AK87" s="1">
        <f>AK86+20</f>
        <v/>
      </c>
      <c r="AL87" s="1">
        <f>AM86</f>
        <v/>
      </c>
      <c r="AO87" t="inlineStr">
        <is>
          <t>60mL/3s/30s</t>
        </is>
      </c>
      <c r="AS87" s="1">
        <f>IF(AM87="", "", (AL87-AM87)*1000/(AK87-AK86))</f>
        <v/>
      </c>
      <c r="AT87" s="1">
        <f>IF(AS87="","",AS87/AP$2/3)</f>
        <v/>
      </c>
      <c r="AU87" s="1">
        <f>IF(AS87="","", 100*_xlfn.STDEV.P(AS86:AS87)/AVERAGE(AS86:AS87))</f>
        <v/>
      </c>
      <c r="AV87" s="8">
        <f t="array" ref="AV87">IF(AS87="","", IFERROR(((IF(AS$5&lt;&gt;"", AS$5*AK$5, 0) + SUMPRODUCT(--(AS$6:AS87&lt;&gt;""), AS$6:AS87, (AK$6:AK87-AK$5:AK86)))/1000), ""))</f>
        <v/>
      </c>
      <c r="AW87" s="1">
        <f>AW86+20</f>
        <v/>
      </c>
      <c r="AX87" s="1">
        <f>AY86</f>
        <v/>
      </c>
      <c r="BA87" t="inlineStr">
        <is>
          <t>60mL/3s/30s</t>
        </is>
      </c>
      <c r="BE87" s="1">
        <f>IF(AY87="", "", (AX87-AY87)*1000/(AW87-AW86))</f>
        <v/>
      </c>
      <c r="BF87" s="1">
        <f>IF(BE87="","",BE87/BB$2/3)</f>
        <v/>
      </c>
      <c r="BG87" s="1">
        <f>IF(BE87="","", 100*_xlfn.STDEV.P(BE86:BE87)/AVERAGE(BE86:BE87))</f>
        <v/>
      </c>
      <c r="BH87" s="8">
        <f t="array" ref="BH87">IF(BE87="","", IFERROR(((IF(BE$5&lt;&gt;"", BE$5*AW$5, 0) + SUMPRODUCT(--(BE$6:BE87&lt;&gt;""), BE$6:BE87, (AW$6:AW87-AW$5:AW86)))/1000), ""))</f>
        <v/>
      </c>
      <c r="BI87" s="1">
        <f>BI86+20</f>
        <v/>
      </c>
      <c r="BJ87" s="1">
        <f>BK86</f>
        <v/>
      </c>
      <c r="BM87" t="inlineStr">
        <is>
          <t>60mL/3s/30s</t>
        </is>
      </c>
      <c r="BQ87" s="1">
        <f>IF(BK87="", "", (BJ87-BK87)*1000/(BI87-BI86))</f>
        <v/>
      </c>
      <c r="BR87" s="1">
        <f>IF(BQ87="","",BQ87/BN$2/3)</f>
        <v/>
      </c>
      <c r="BS87" s="1">
        <f>IF(BQ87="","", 100*_xlfn.STDEV.P(BQ86:BQ87)/AVERAGE(BQ86:BQ87))</f>
        <v/>
      </c>
      <c r="BT87" s="8">
        <f t="array" ref="BT87">IF(BQ87="","", IFERROR(((IF(BQ$5&lt;&gt;"", BQ$5*BI$5, 0) + SUMPRODUCT(--(BQ$6:BQ87&lt;&gt;""), BQ$6:BQ87, (BI$6:BI87-BI$5:BI86)))/1000), ""))</f>
        <v/>
      </c>
      <c r="BU87" s="1">
        <f>BU86+20</f>
        <v/>
      </c>
      <c r="BV87" s="1">
        <f>BW86</f>
        <v/>
      </c>
      <c r="BY87" t="inlineStr">
        <is>
          <t>60mL/3s/30s</t>
        </is>
      </c>
      <c r="CC87" s="1">
        <f>IF(BW87="", "", (BV87-BW87)*1000/(BU87-BU86))</f>
        <v/>
      </c>
      <c r="CD87" s="1">
        <f>IF(CC87="","",CC87/BZ$2/3)</f>
        <v/>
      </c>
      <c r="CE87" s="1">
        <f>IF(CC87="","", 100*_xlfn.STDEV.P(CC86:CC87)/AVERAGE(CC86:CC87))</f>
        <v/>
      </c>
      <c r="CF87" s="8">
        <f t="array" ref="CF87">IF(CC87="","", IFERROR(((IF(CC$5&lt;&gt;"", CC$5*BU$5, 0) + SUMPRODUCT(--(CC$6:CC87&lt;&gt;""), CC$6:CC87, (BU$6:BU87-BU$5:BU86)))/1000), ""))</f>
        <v/>
      </c>
      <c r="CG87" s="1">
        <f>CG86+20</f>
        <v/>
      </c>
      <c r="CH87" s="1">
        <f>CI86</f>
        <v/>
      </c>
      <c r="CK87" t="inlineStr">
        <is>
          <t>60mL/3s/30s</t>
        </is>
      </c>
      <c r="CO87" s="1">
        <f>IF(CI87="", "", (CH87-CI87)*1000/(CG87-CG86))</f>
        <v/>
      </c>
      <c r="CP87" s="1">
        <f>IF(CO87="","",CO87/CL$2/3)</f>
        <v/>
      </c>
      <c r="CQ87" s="1">
        <f>IF(CO87="","", 100*_xlfn.STDEV.P(CO86:CO87)/AVERAGE(CO86:CO87))</f>
        <v/>
      </c>
      <c r="CR87" s="8">
        <f t="array" ref="CR87">IF(CO87="","", IFERROR(((IF(CO$5&lt;&gt;"", CO$5*CG$5, 0) + SUMPRODUCT(--(CO$6:CO87&lt;&gt;""), CO$6:CO87, (CG$6:CG87-CG$5:CG86)))/1000), ""))</f>
        <v/>
      </c>
    </row>
    <row r="88">
      <c r="A88" s="1">
        <f>A87+20</f>
        <v/>
      </c>
      <c r="B88" s="1">
        <f>C87</f>
        <v/>
      </c>
      <c r="E88" t="inlineStr">
        <is>
          <t>60mL/3s/30s</t>
        </is>
      </c>
      <c r="I88" s="1">
        <f>IF(C88="", "", (B88-C88)*1000/(A88-A87))</f>
        <v/>
      </c>
      <c r="J88" s="1">
        <f>IF(I88="","",I88/F$2/3)</f>
        <v/>
      </c>
      <c r="K88" s="1">
        <f>IF(I88="","", 100*_xlfn.STDEV.P(I87:I88)/AVERAGE(I87:I88))</f>
        <v/>
      </c>
      <c r="L88" s="8">
        <f t="array" ref="L88">IF(I88="","", IFERROR(((IF(I$5&lt;&gt;"", I$5*A$5, 0) + SUMPRODUCT(--(I$6:I88&lt;&gt;""), I$6:I88, (A$6:A88-A$5:A87)))/1000), ""))</f>
        <v/>
      </c>
      <c r="M88" s="1">
        <f>M87+20</f>
        <v/>
      </c>
      <c r="N88" s="1">
        <f>O87</f>
        <v/>
      </c>
      <c r="Q88" t="inlineStr">
        <is>
          <t>60mL/3s/30s</t>
        </is>
      </c>
      <c r="U88" s="1">
        <f>IF(O88="", "", (N88-O88)*1000/(M88-M87))</f>
        <v/>
      </c>
      <c r="V88" s="1">
        <f>IF(U88="","",U88/R$2/3)</f>
        <v/>
      </c>
      <c r="W88" s="1">
        <f>IF(U88="","", 100*_xlfn.STDEV.P(U87:U88)/AVERAGE(U87:U88))</f>
        <v/>
      </c>
      <c r="X88" s="8">
        <f t="array" ref="X88">IF(U88="","", IFERROR(((IF(U$5&lt;&gt;"", U$5*M$5, 0) + SUMPRODUCT(--(U$6:U88&lt;&gt;""), U$6:U88, (M$6:M88-M$5:M87)))/1000), ""))</f>
        <v/>
      </c>
      <c r="Y88" s="1">
        <f>Y87+20</f>
        <v/>
      </c>
      <c r="Z88" s="1">
        <f>AA87</f>
        <v/>
      </c>
      <c r="AC88" t="inlineStr">
        <is>
          <t>60mL/3s/30s</t>
        </is>
      </c>
      <c r="AG88" s="1">
        <f>IF(AA88="", "", (Z88-AA88)*1000/(Y88-Y87))</f>
        <v/>
      </c>
      <c r="AH88" s="1">
        <f>IF(AG88="","",AG88/AD$2/3)</f>
        <v/>
      </c>
      <c r="AI88" s="1">
        <f>IF(AG88="","", 100*_xlfn.STDEV.P(AG87:AG88)/AVERAGE(AG87:AG88))</f>
        <v/>
      </c>
      <c r="AJ88" s="8">
        <f t="array" ref="AJ88">IF(AG88="","", IFERROR(((IF(AG$5&lt;&gt;"", AG$5*Y$5, 0) + SUMPRODUCT(--(AG$6:AG88&lt;&gt;""), AG$6:AG88, (Y$6:Y88-Y$5:Y87)))/1000), ""))</f>
        <v/>
      </c>
      <c r="AK88" s="1">
        <f>AK87+20</f>
        <v/>
      </c>
      <c r="AL88" s="1">
        <f>AM87</f>
        <v/>
      </c>
      <c r="AO88" t="inlineStr">
        <is>
          <t>60mL/3s/30s</t>
        </is>
      </c>
      <c r="AS88" s="1">
        <f>IF(AM88="", "", (AL88-AM88)*1000/(AK88-AK87))</f>
        <v/>
      </c>
      <c r="AT88" s="1">
        <f>IF(AS88="","",AS88/AP$2/3)</f>
        <v/>
      </c>
      <c r="AU88" s="1">
        <f>IF(AS88="","", 100*_xlfn.STDEV.P(AS87:AS88)/AVERAGE(AS87:AS88))</f>
        <v/>
      </c>
      <c r="AV88" s="8">
        <f t="array" ref="AV88">IF(AS88="","", IFERROR(((IF(AS$5&lt;&gt;"", AS$5*AK$5, 0) + SUMPRODUCT(--(AS$6:AS88&lt;&gt;""), AS$6:AS88, (AK$6:AK88-AK$5:AK87)))/1000), ""))</f>
        <v/>
      </c>
      <c r="AW88" s="1">
        <f>AW87+20</f>
        <v/>
      </c>
      <c r="AX88" s="1">
        <f>AY87</f>
        <v/>
      </c>
      <c r="BA88" t="inlineStr">
        <is>
          <t>60mL/3s/30s</t>
        </is>
      </c>
      <c r="BE88" s="1">
        <f>IF(AY88="", "", (AX88-AY88)*1000/(AW88-AW87))</f>
        <v/>
      </c>
      <c r="BF88" s="1">
        <f>IF(BE88="","",BE88/BB$2/3)</f>
        <v/>
      </c>
      <c r="BG88" s="1">
        <f>IF(BE88="","", 100*_xlfn.STDEV.P(BE87:BE88)/AVERAGE(BE87:BE88))</f>
        <v/>
      </c>
      <c r="BH88" s="8">
        <f t="array" ref="BH88">IF(BE88="","", IFERROR(((IF(BE$5&lt;&gt;"", BE$5*AW$5, 0) + SUMPRODUCT(--(BE$6:BE88&lt;&gt;""), BE$6:BE88, (AW$6:AW88-AW$5:AW87)))/1000), ""))</f>
        <v/>
      </c>
      <c r="BI88" s="1">
        <f>BI87+20</f>
        <v/>
      </c>
      <c r="BJ88" s="1">
        <f>BK87</f>
        <v/>
      </c>
      <c r="BM88" t="inlineStr">
        <is>
          <t>60mL/3s/30s</t>
        </is>
      </c>
      <c r="BQ88" s="1">
        <f>IF(BK88="", "", (BJ88-BK88)*1000/(BI88-BI87))</f>
        <v/>
      </c>
      <c r="BR88" s="1">
        <f>IF(BQ88="","",BQ88/BN$2/3)</f>
        <v/>
      </c>
      <c r="BS88" s="1">
        <f>IF(BQ88="","", 100*_xlfn.STDEV.P(BQ87:BQ88)/AVERAGE(BQ87:BQ88))</f>
        <v/>
      </c>
      <c r="BT88" s="8">
        <f t="array" ref="BT88">IF(BQ88="","", IFERROR(((IF(BQ$5&lt;&gt;"", BQ$5*BI$5, 0) + SUMPRODUCT(--(BQ$6:BQ88&lt;&gt;""), BQ$6:BQ88, (BI$6:BI88-BI$5:BI87)))/1000), ""))</f>
        <v/>
      </c>
      <c r="BU88" s="1">
        <f>BU87+20</f>
        <v/>
      </c>
      <c r="BV88" s="1">
        <f>BW87</f>
        <v/>
      </c>
      <c r="BY88" t="inlineStr">
        <is>
          <t>60mL/3s/30s</t>
        </is>
      </c>
      <c r="CC88" s="1">
        <f>IF(BW88="", "", (BV88-BW88)*1000/(BU88-BU87))</f>
        <v/>
      </c>
      <c r="CD88" s="1">
        <f>IF(CC88="","",CC88/BZ$2/3)</f>
        <v/>
      </c>
      <c r="CE88" s="1">
        <f>IF(CC88="","", 100*_xlfn.STDEV.P(CC87:CC88)/AVERAGE(CC87:CC88))</f>
        <v/>
      </c>
      <c r="CF88" s="8">
        <f t="array" ref="CF88">IF(CC88="","", IFERROR(((IF(CC$5&lt;&gt;"", CC$5*BU$5, 0) + SUMPRODUCT(--(CC$6:CC88&lt;&gt;""), CC$6:CC88, (BU$6:BU88-BU$5:BU87)))/1000), ""))</f>
        <v/>
      </c>
      <c r="CG88" s="1">
        <f>CG87+20</f>
        <v/>
      </c>
      <c r="CH88" s="1">
        <f>CI87</f>
        <v/>
      </c>
      <c r="CK88" t="inlineStr">
        <is>
          <t>60mL/3s/30s</t>
        </is>
      </c>
      <c r="CO88" s="1">
        <f>IF(CI88="", "", (CH88-CI88)*1000/(CG88-CG87))</f>
        <v/>
      </c>
      <c r="CP88" s="1">
        <f>IF(CO88="","",CO88/CL$2/3)</f>
        <v/>
      </c>
      <c r="CQ88" s="1">
        <f>IF(CO88="","", 100*_xlfn.STDEV.P(CO87:CO88)/AVERAGE(CO87:CO88))</f>
        <v/>
      </c>
      <c r="CR88" s="8">
        <f t="array" ref="CR88">IF(CO88="","", IFERROR(((IF(CO$5&lt;&gt;"", CO$5*CG$5, 0) + SUMPRODUCT(--(CO$6:CO88&lt;&gt;""), CO$6:CO88, (CG$6:CG88-CG$5:CG87)))/1000), ""))</f>
        <v/>
      </c>
    </row>
    <row r="89">
      <c r="A89" s="1">
        <f>A88+20</f>
        <v/>
      </c>
      <c r="B89" s="1">
        <f>C88</f>
        <v/>
      </c>
      <c r="E89" t="inlineStr">
        <is>
          <t>60mL/3s/30s</t>
        </is>
      </c>
      <c r="I89" s="1">
        <f>IF(C89="", "", (B89-C89)*1000/(A89-A88))</f>
        <v/>
      </c>
      <c r="J89" s="1">
        <f>IF(I89="","",I89/F$2/3)</f>
        <v/>
      </c>
      <c r="K89" s="1">
        <f>IF(I89="","", 100*_xlfn.STDEV.P(I88:I89)/AVERAGE(I88:I89))</f>
        <v/>
      </c>
      <c r="L89" s="8">
        <f t="array" ref="L89">IF(I89="","", IFERROR(((IF(I$5&lt;&gt;"", I$5*A$5, 0) + SUMPRODUCT(--(I$6:I89&lt;&gt;""), I$6:I89, (A$6:A89-A$5:A88)))/1000), ""))</f>
        <v/>
      </c>
      <c r="M89" s="1">
        <f>M88+20</f>
        <v/>
      </c>
      <c r="N89" s="1">
        <f>O88</f>
        <v/>
      </c>
      <c r="Q89" t="inlineStr">
        <is>
          <t>60mL/3s/30s</t>
        </is>
      </c>
      <c r="U89" s="1">
        <f>IF(O89="", "", (N89-O89)*1000/(M89-M88))</f>
        <v/>
      </c>
      <c r="V89" s="1">
        <f>IF(U89="","",U89/R$2/3)</f>
        <v/>
      </c>
      <c r="W89" s="1">
        <f>IF(U89="","", 100*_xlfn.STDEV.P(U88:U89)/AVERAGE(U88:U89))</f>
        <v/>
      </c>
      <c r="X89" s="8">
        <f t="array" ref="X89">IF(U89="","", IFERROR(((IF(U$5&lt;&gt;"", U$5*M$5, 0) + SUMPRODUCT(--(U$6:U89&lt;&gt;""), U$6:U89, (M$6:M89-M$5:M88)))/1000), ""))</f>
        <v/>
      </c>
      <c r="Y89" s="1">
        <f>Y88+20</f>
        <v/>
      </c>
      <c r="Z89" s="1">
        <f>AA88</f>
        <v/>
      </c>
      <c r="AC89" t="inlineStr">
        <is>
          <t>60mL/3s/30s</t>
        </is>
      </c>
      <c r="AG89" s="1">
        <f>IF(AA89="", "", (Z89-AA89)*1000/(Y89-Y88))</f>
        <v/>
      </c>
      <c r="AH89" s="1">
        <f>IF(AG89="","",AG89/AD$2/3)</f>
        <v/>
      </c>
      <c r="AI89" s="1">
        <f>IF(AG89="","", 100*_xlfn.STDEV.P(AG88:AG89)/AVERAGE(AG88:AG89))</f>
        <v/>
      </c>
      <c r="AJ89" s="8">
        <f t="array" ref="AJ89">IF(AG89="","", IFERROR(((IF(AG$5&lt;&gt;"", AG$5*Y$5, 0) + SUMPRODUCT(--(AG$6:AG89&lt;&gt;""), AG$6:AG89, (Y$6:Y89-Y$5:Y88)))/1000), ""))</f>
        <v/>
      </c>
      <c r="AK89" s="1">
        <f>AK88+20</f>
        <v/>
      </c>
      <c r="AL89" s="1">
        <f>AM88</f>
        <v/>
      </c>
      <c r="AO89" t="inlineStr">
        <is>
          <t>60mL/3s/30s</t>
        </is>
      </c>
      <c r="AS89" s="1">
        <f>IF(AM89="", "", (AL89-AM89)*1000/(AK89-AK88))</f>
        <v/>
      </c>
      <c r="AT89" s="1">
        <f>IF(AS89="","",AS89/AP$2/3)</f>
        <v/>
      </c>
      <c r="AU89" s="1">
        <f>IF(AS89="","", 100*_xlfn.STDEV.P(AS88:AS89)/AVERAGE(AS88:AS89))</f>
        <v/>
      </c>
      <c r="AV89" s="8">
        <f t="array" ref="AV89">IF(AS89="","", IFERROR(((IF(AS$5&lt;&gt;"", AS$5*AK$5, 0) + SUMPRODUCT(--(AS$6:AS89&lt;&gt;""), AS$6:AS89, (AK$6:AK89-AK$5:AK88)))/1000), ""))</f>
        <v/>
      </c>
      <c r="AW89" s="1">
        <f>AW88+20</f>
        <v/>
      </c>
      <c r="AX89" s="1">
        <f>AY88</f>
        <v/>
      </c>
      <c r="BA89" t="inlineStr">
        <is>
          <t>60mL/3s/30s</t>
        </is>
      </c>
      <c r="BE89" s="1">
        <f>IF(AY89="", "", (AX89-AY89)*1000/(AW89-AW88))</f>
        <v/>
      </c>
      <c r="BF89" s="1">
        <f>IF(BE89="","",BE89/BB$2/3)</f>
        <v/>
      </c>
      <c r="BG89" s="1">
        <f>IF(BE89="","", 100*_xlfn.STDEV.P(BE88:BE89)/AVERAGE(BE88:BE89))</f>
        <v/>
      </c>
      <c r="BH89" s="8">
        <f t="array" ref="BH89">IF(BE89="","", IFERROR(((IF(BE$5&lt;&gt;"", BE$5*AW$5, 0) + SUMPRODUCT(--(BE$6:BE89&lt;&gt;""), BE$6:BE89, (AW$6:AW89-AW$5:AW88)))/1000), ""))</f>
        <v/>
      </c>
      <c r="BI89" s="1">
        <f>BI88+20</f>
        <v/>
      </c>
      <c r="BJ89" s="1">
        <f>BK88</f>
        <v/>
      </c>
      <c r="BM89" t="inlineStr">
        <is>
          <t>60mL/3s/30s</t>
        </is>
      </c>
      <c r="BQ89" s="1">
        <f>IF(BK89="", "", (BJ89-BK89)*1000/(BI89-BI88))</f>
        <v/>
      </c>
      <c r="BR89" s="1">
        <f>IF(BQ89="","",BQ89/BN$2/3)</f>
        <v/>
      </c>
      <c r="BS89" s="1">
        <f>IF(BQ89="","", 100*_xlfn.STDEV.P(BQ88:BQ89)/AVERAGE(BQ88:BQ89))</f>
        <v/>
      </c>
      <c r="BT89" s="8">
        <f t="array" ref="BT89">IF(BQ89="","", IFERROR(((IF(BQ$5&lt;&gt;"", BQ$5*BI$5, 0) + SUMPRODUCT(--(BQ$6:BQ89&lt;&gt;""), BQ$6:BQ89, (BI$6:BI89-BI$5:BI88)))/1000), ""))</f>
        <v/>
      </c>
      <c r="BU89" s="1">
        <f>BU88+20</f>
        <v/>
      </c>
      <c r="BV89" s="1">
        <f>BW88</f>
        <v/>
      </c>
      <c r="BY89" t="inlineStr">
        <is>
          <t>60mL/3s/30s</t>
        </is>
      </c>
      <c r="CC89" s="1">
        <f>IF(BW89="", "", (BV89-BW89)*1000/(BU89-BU88))</f>
        <v/>
      </c>
      <c r="CD89" s="1">
        <f>IF(CC89="","",CC89/BZ$2/3)</f>
        <v/>
      </c>
      <c r="CE89" s="1">
        <f>IF(CC89="","", 100*_xlfn.STDEV.P(CC88:CC89)/AVERAGE(CC88:CC89))</f>
        <v/>
      </c>
      <c r="CF89" s="8">
        <f t="array" ref="CF89">IF(CC89="","", IFERROR(((IF(CC$5&lt;&gt;"", CC$5*BU$5, 0) + SUMPRODUCT(--(CC$6:CC89&lt;&gt;""), CC$6:CC89, (BU$6:BU89-BU$5:BU88)))/1000), ""))</f>
        <v/>
      </c>
      <c r="CG89" s="1">
        <f>CG88+20</f>
        <v/>
      </c>
      <c r="CH89" s="1">
        <f>CI88</f>
        <v/>
      </c>
      <c r="CK89" t="inlineStr">
        <is>
          <t>60mL/3s/30s</t>
        </is>
      </c>
      <c r="CO89" s="1">
        <f>IF(CI89="", "", (CH89-CI89)*1000/(CG89-CG88))</f>
        <v/>
      </c>
      <c r="CP89" s="1">
        <f>IF(CO89="","",CO89/CL$2/3)</f>
        <v/>
      </c>
      <c r="CQ89" s="1">
        <f>IF(CO89="","", 100*_xlfn.STDEV.P(CO88:CO89)/AVERAGE(CO88:CO89))</f>
        <v/>
      </c>
      <c r="CR89" s="8">
        <f t="array" ref="CR89">IF(CO89="","", IFERROR(((IF(CO$5&lt;&gt;"", CO$5*CG$5, 0) + SUMPRODUCT(--(CO$6:CO89&lt;&gt;""), CO$6:CO89, (CG$6:CG89-CG$5:CG88)))/1000), ""))</f>
        <v/>
      </c>
    </row>
    <row r="90">
      <c r="A90" s="1">
        <f>A89+20</f>
        <v/>
      </c>
      <c r="B90" s="1">
        <f>C89</f>
        <v/>
      </c>
      <c r="E90" t="inlineStr">
        <is>
          <t>60mL/3s/30s</t>
        </is>
      </c>
      <c r="I90" s="1">
        <f>IF(C90="", "", (B90-C90)*1000/(A90-A89))</f>
        <v/>
      </c>
      <c r="J90" s="1">
        <f>IF(I90="","",I90/F$2/3)</f>
        <v/>
      </c>
      <c r="K90" s="1">
        <f>IF(I90="","", 100*_xlfn.STDEV.P(I89:I90)/AVERAGE(I89:I90))</f>
        <v/>
      </c>
      <c r="L90" s="8">
        <f t="array" ref="L90">IF(I90="","", IFERROR(((IF(I$5&lt;&gt;"", I$5*A$5, 0) + SUMPRODUCT(--(I$6:I90&lt;&gt;""), I$6:I90, (A$6:A90-A$5:A89)))/1000), ""))</f>
        <v/>
      </c>
      <c r="M90" s="1">
        <f>M89+20</f>
        <v/>
      </c>
      <c r="N90" s="1">
        <f>O89</f>
        <v/>
      </c>
      <c r="Q90" t="inlineStr">
        <is>
          <t>60mL/3s/30s</t>
        </is>
      </c>
      <c r="U90" s="1">
        <f>IF(O90="", "", (N90-O90)*1000/(M90-M89))</f>
        <v/>
      </c>
      <c r="V90" s="1">
        <f>IF(U90="","",U90/R$2/3)</f>
        <v/>
      </c>
      <c r="W90" s="1">
        <f>IF(U90="","", 100*_xlfn.STDEV.P(U89:U90)/AVERAGE(U89:U90))</f>
        <v/>
      </c>
      <c r="X90" s="8">
        <f t="array" ref="X90">IF(U90="","", IFERROR(((IF(U$5&lt;&gt;"", U$5*M$5, 0) + SUMPRODUCT(--(U$6:U90&lt;&gt;""), U$6:U90, (M$6:M90-M$5:M89)))/1000), ""))</f>
        <v/>
      </c>
      <c r="Y90" s="1">
        <f>Y89+20</f>
        <v/>
      </c>
      <c r="Z90" s="1">
        <f>AA89</f>
        <v/>
      </c>
      <c r="AC90" t="inlineStr">
        <is>
          <t>60mL/3s/30s</t>
        </is>
      </c>
      <c r="AG90" s="1">
        <f>IF(AA90="", "", (Z90-AA90)*1000/(Y90-Y89))</f>
        <v/>
      </c>
      <c r="AH90" s="1">
        <f>IF(AG90="","",AG90/AD$2/3)</f>
        <v/>
      </c>
      <c r="AI90" s="1">
        <f>IF(AG90="","", 100*_xlfn.STDEV.P(AG89:AG90)/AVERAGE(AG89:AG90))</f>
        <v/>
      </c>
      <c r="AJ90" s="8">
        <f t="array" ref="AJ90">IF(AG90="","", IFERROR(((IF(AG$5&lt;&gt;"", AG$5*Y$5, 0) + SUMPRODUCT(--(AG$6:AG90&lt;&gt;""), AG$6:AG90, (Y$6:Y90-Y$5:Y89)))/1000), ""))</f>
        <v/>
      </c>
      <c r="AK90" s="1">
        <f>AK89+20</f>
        <v/>
      </c>
      <c r="AL90" s="1">
        <f>AM89</f>
        <v/>
      </c>
      <c r="AO90" t="inlineStr">
        <is>
          <t>60mL/3s/30s</t>
        </is>
      </c>
      <c r="AS90" s="1">
        <f>IF(AM90="", "", (AL90-AM90)*1000/(AK90-AK89))</f>
        <v/>
      </c>
      <c r="AT90" s="1">
        <f>IF(AS90="","",AS90/AP$2/3)</f>
        <v/>
      </c>
      <c r="AU90" s="1">
        <f>IF(AS90="","", 100*_xlfn.STDEV.P(AS89:AS90)/AVERAGE(AS89:AS90))</f>
        <v/>
      </c>
      <c r="AV90" s="8">
        <f t="array" ref="AV90">IF(AS90="","", IFERROR(((IF(AS$5&lt;&gt;"", AS$5*AK$5, 0) + SUMPRODUCT(--(AS$6:AS90&lt;&gt;""), AS$6:AS90, (AK$6:AK90-AK$5:AK89)))/1000), ""))</f>
        <v/>
      </c>
      <c r="AW90" s="1">
        <f>AW89+20</f>
        <v/>
      </c>
      <c r="AX90" s="1">
        <f>AY89</f>
        <v/>
      </c>
      <c r="BA90" t="inlineStr">
        <is>
          <t>60mL/3s/30s</t>
        </is>
      </c>
      <c r="BE90" s="1">
        <f>IF(AY90="", "", (AX90-AY90)*1000/(AW90-AW89))</f>
        <v/>
      </c>
      <c r="BF90" s="1">
        <f>IF(BE90="","",BE90/BB$2/3)</f>
        <v/>
      </c>
      <c r="BG90" s="1">
        <f>IF(BE90="","", 100*_xlfn.STDEV.P(BE89:BE90)/AVERAGE(BE89:BE90))</f>
        <v/>
      </c>
      <c r="BH90" s="8">
        <f t="array" ref="BH90">IF(BE90="","", IFERROR(((IF(BE$5&lt;&gt;"", BE$5*AW$5, 0) + SUMPRODUCT(--(BE$6:BE90&lt;&gt;""), BE$6:BE90, (AW$6:AW90-AW$5:AW89)))/1000), ""))</f>
        <v/>
      </c>
      <c r="BI90" s="1">
        <f>BI89+20</f>
        <v/>
      </c>
      <c r="BJ90" s="1">
        <f>BK89</f>
        <v/>
      </c>
      <c r="BM90" t="inlineStr">
        <is>
          <t>60mL/3s/30s</t>
        </is>
      </c>
      <c r="BQ90" s="1">
        <f>IF(BK90="", "", (BJ90-BK90)*1000/(BI90-BI89))</f>
        <v/>
      </c>
      <c r="BR90" s="1">
        <f>IF(BQ90="","",BQ90/BN$2/3)</f>
        <v/>
      </c>
      <c r="BS90" s="1">
        <f>IF(BQ90="","", 100*_xlfn.STDEV.P(BQ89:BQ90)/AVERAGE(BQ89:BQ90))</f>
        <v/>
      </c>
      <c r="BT90" s="8">
        <f t="array" ref="BT90">IF(BQ90="","", IFERROR(((IF(BQ$5&lt;&gt;"", BQ$5*BI$5, 0) + SUMPRODUCT(--(BQ$6:BQ90&lt;&gt;""), BQ$6:BQ90, (BI$6:BI90-BI$5:BI89)))/1000), ""))</f>
        <v/>
      </c>
      <c r="BU90" s="1">
        <f>BU89+20</f>
        <v/>
      </c>
      <c r="BV90" s="1">
        <f>BW89</f>
        <v/>
      </c>
      <c r="BY90" t="inlineStr">
        <is>
          <t>60mL/3s/30s</t>
        </is>
      </c>
      <c r="CC90" s="1">
        <f>IF(BW90="", "", (BV90-BW90)*1000/(BU90-BU89))</f>
        <v/>
      </c>
      <c r="CD90" s="1">
        <f>IF(CC90="","",CC90/BZ$2/3)</f>
        <v/>
      </c>
      <c r="CE90" s="1">
        <f>IF(CC90="","", 100*_xlfn.STDEV.P(CC89:CC90)/AVERAGE(CC89:CC90))</f>
        <v/>
      </c>
      <c r="CF90" s="8">
        <f t="array" ref="CF90">IF(CC90="","", IFERROR(((IF(CC$5&lt;&gt;"", CC$5*BU$5, 0) + SUMPRODUCT(--(CC$6:CC90&lt;&gt;""), CC$6:CC90, (BU$6:BU90-BU$5:BU89)))/1000), ""))</f>
        <v/>
      </c>
      <c r="CG90" s="1">
        <f>CG89+20</f>
        <v/>
      </c>
      <c r="CH90" s="1">
        <f>CI89</f>
        <v/>
      </c>
      <c r="CK90" t="inlineStr">
        <is>
          <t>60mL/3s/30s</t>
        </is>
      </c>
      <c r="CO90" s="1">
        <f>IF(CI90="", "", (CH90-CI90)*1000/(CG90-CG89))</f>
        <v/>
      </c>
      <c r="CP90" s="1">
        <f>IF(CO90="","",CO90/CL$2/3)</f>
        <v/>
      </c>
      <c r="CQ90" s="1">
        <f>IF(CO90="","", 100*_xlfn.STDEV.P(CO89:CO90)/AVERAGE(CO89:CO90))</f>
        <v/>
      </c>
      <c r="CR90" s="8">
        <f t="array" ref="CR90">IF(CO90="","", IFERROR(((IF(CO$5&lt;&gt;"", CO$5*CG$5, 0) + SUMPRODUCT(--(CO$6:CO90&lt;&gt;""), CO$6:CO90, (CG$6:CG90-CG$5:CG89)))/1000), ""))</f>
        <v/>
      </c>
    </row>
    <row r="91">
      <c r="A91" s="1">
        <f>A90+20</f>
        <v/>
      </c>
      <c r="B91" s="1">
        <f>C90</f>
        <v/>
      </c>
      <c r="E91" t="inlineStr">
        <is>
          <t>60mL/3s/30s</t>
        </is>
      </c>
      <c r="I91" s="1">
        <f>IF(C91="", "", (B91-C91)*1000/(A91-A90))</f>
        <v/>
      </c>
      <c r="J91" s="1">
        <f>IF(I91="","",I91/F$2/3)</f>
        <v/>
      </c>
      <c r="K91" s="1">
        <f>IF(I91="","", 100*_xlfn.STDEV.P(I90:I91)/AVERAGE(I90:I91))</f>
        <v/>
      </c>
      <c r="L91" s="8">
        <f t="array" ref="L91">IF(I91="","", IFERROR(((IF(I$5&lt;&gt;"", I$5*A$5, 0) + SUMPRODUCT(--(I$6:I91&lt;&gt;""), I$6:I91, (A$6:A91-A$5:A90)))/1000), ""))</f>
        <v/>
      </c>
      <c r="M91" s="1">
        <f>M90+20</f>
        <v/>
      </c>
      <c r="N91" s="1">
        <f>O90</f>
        <v/>
      </c>
      <c r="Q91" t="inlineStr">
        <is>
          <t>60mL/3s/30s</t>
        </is>
      </c>
      <c r="U91" s="1">
        <f>IF(O91="", "", (N91-O91)*1000/(M91-M90))</f>
        <v/>
      </c>
      <c r="V91" s="1">
        <f>IF(U91="","",U91/R$2/3)</f>
        <v/>
      </c>
      <c r="W91" s="1">
        <f>IF(U91="","", 100*_xlfn.STDEV.P(U90:U91)/AVERAGE(U90:U91))</f>
        <v/>
      </c>
      <c r="X91" s="8">
        <f t="array" ref="X91">IF(U91="","", IFERROR(((IF(U$5&lt;&gt;"", U$5*M$5, 0) + SUMPRODUCT(--(U$6:U91&lt;&gt;""), U$6:U91, (M$6:M91-M$5:M90)))/1000), ""))</f>
        <v/>
      </c>
      <c r="Y91" s="1">
        <f>Y90+20</f>
        <v/>
      </c>
      <c r="Z91" s="1">
        <f>AA90</f>
        <v/>
      </c>
      <c r="AC91" t="inlineStr">
        <is>
          <t>60mL/3s/30s</t>
        </is>
      </c>
      <c r="AG91" s="1">
        <f>IF(AA91="", "", (Z91-AA91)*1000/(Y91-Y90))</f>
        <v/>
      </c>
      <c r="AH91" s="1">
        <f>IF(AG91="","",AG91/AD$2/3)</f>
        <v/>
      </c>
      <c r="AI91" s="1">
        <f>IF(AG91="","", 100*_xlfn.STDEV.P(AG90:AG91)/AVERAGE(AG90:AG91))</f>
        <v/>
      </c>
      <c r="AJ91" s="8">
        <f t="array" ref="AJ91">IF(AG91="","", IFERROR(((IF(AG$5&lt;&gt;"", AG$5*Y$5, 0) + SUMPRODUCT(--(AG$6:AG91&lt;&gt;""), AG$6:AG91, (Y$6:Y91-Y$5:Y90)))/1000), ""))</f>
        <v/>
      </c>
      <c r="AK91" s="1">
        <f>AK90+20</f>
        <v/>
      </c>
      <c r="AL91" s="1">
        <f>AM90</f>
        <v/>
      </c>
      <c r="AO91" t="inlineStr">
        <is>
          <t>60mL/3s/30s</t>
        </is>
      </c>
      <c r="AS91" s="1">
        <f>IF(AM91="", "", (AL91-AM91)*1000/(AK91-AK90))</f>
        <v/>
      </c>
      <c r="AT91" s="1">
        <f>IF(AS91="","",AS91/AP$2/3)</f>
        <v/>
      </c>
      <c r="AU91" s="1">
        <f>IF(AS91="","", 100*_xlfn.STDEV.P(AS90:AS91)/AVERAGE(AS90:AS91))</f>
        <v/>
      </c>
      <c r="AV91" s="8">
        <f t="array" ref="AV91">IF(AS91="","", IFERROR(((IF(AS$5&lt;&gt;"", AS$5*AK$5, 0) + SUMPRODUCT(--(AS$6:AS91&lt;&gt;""), AS$6:AS91, (AK$6:AK91-AK$5:AK90)))/1000), ""))</f>
        <v/>
      </c>
      <c r="AW91" s="1">
        <f>AW90+20</f>
        <v/>
      </c>
      <c r="AX91" s="1">
        <f>AY90</f>
        <v/>
      </c>
      <c r="BA91" t="inlineStr">
        <is>
          <t>60mL/3s/30s</t>
        </is>
      </c>
      <c r="BE91" s="1">
        <f>IF(AY91="", "", (AX91-AY91)*1000/(AW91-AW90))</f>
        <v/>
      </c>
      <c r="BF91" s="1">
        <f>IF(BE91="","",BE91/BB$2/3)</f>
        <v/>
      </c>
      <c r="BG91" s="1">
        <f>IF(BE91="","", 100*_xlfn.STDEV.P(BE90:BE91)/AVERAGE(BE90:BE91))</f>
        <v/>
      </c>
      <c r="BH91" s="8">
        <f t="array" ref="BH91">IF(BE91="","", IFERROR(((IF(BE$5&lt;&gt;"", BE$5*AW$5, 0) + SUMPRODUCT(--(BE$6:BE91&lt;&gt;""), BE$6:BE91, (AW$6:AW91-AW$5:AW90)))/1000), ""))</f>
        <v/>
      </c>
      <c r="BI91" s="1">
        <f>BI90+20</f>
        <v/>
      </c>
      <c r="BJ91" s="1">
        <f>BK90</f>
        <v/>
      </c>
      <c r="BM91" t="inlineStr">
        <is>
          <t>60mL/3s/30s</t>
        </is>
      </c>
      <c r="BQ91" s="1">
        <f>IF(BK91="", "", (BJ91-BK91)*1000/(BI91-BI90))</f>
        <v/>
      </c>
      <c r="BR91" s="1">
        <f>IF(BQ91="","",BQ91/BN$2/3)</f>
        <v/>
      </c>
      <c r="BS91" s="1">
        <f>IF(BQ91="","", 100*_xlfn.STDEV.P(BQ90:BQ91)/AVERAGE(BQ90:BQ91))</f>
        <v/>
      </c>
      <c r="BT91" s="8">
        <f t="array" ref="BT91">IF(BQ91="","", IFERROR(((IF(BQ$5&lt;&gt;"", BQ$5*BI$5, 0) + SUMPRODUCT(--(BQ$6:BQ91&lt;&gt;""), BQ$6:BQ91, (BI$6:BI91-BI$5:BI90)))/1000), ""))</f>
        <v/>
      </c>
      <c r="BU91" s="1">
        <f>BU90+20</f>
        <v/>
      </c>
      <c r="BV91" s="1">
        <f>BW90</f>
        <v/>
      </c>
      <c r="BY91" t="inlineStr">
        <is>
          <t>60mL/3s/30s</t>
        </is>
      </c>
      <c r="CC91" s="1">
        <f>IF(BW91="", "", (BV91-BW91)*1000/(BU91-BU90))</f>
        <v/>
      </c>
      <c r="CD91" s="1">
        <f>IF(CC91="","",CC91/BZ$2/3)</f>
        <v/>
      </c>
      <c r="CE91" s="1">
        <f>IF(CC91="","", 100*_xlfn.STDEV.P(CC90:CC91)/AVERAGE(CC90:CC91))</f>
        <v/>
      </c>
      <c r="CF91" s="8">
        <f t="array" ref="CF91">IF(CC91="","", IFERROR(((IF(CC$5&lt;&gt;"", CC$5*BU$5, 0) + SUMPRODUCT(--(CC$6:CC91&lt;&gt;""), CC$6:CC91, (BU$6:BU91-BU$5:BU90)))/1000), ""))</f>
        <v/>
      </c>
      <c r="CG91" s="1">
        <f>CG90+20</f>
        <v/>
      </c>
      <c r="CH91" s="1">
        <f>CI90</f>
        <v/>
      </c>
      <c r="CK91" t="inlineStr">
        <is>
          <t>60mL/3s/30s</t>
        </is>
      </c>
      <c r="CO91" s="1">
        <f>IF(CI91="", "", (CH91-CI91)*1000/(CG91-CG90))</f>
        <v/>
      </c>
      <c r="CP91" s="1">
        <f>IF(CO91="","",CO91/CL$2/3)</f>
        <v/>
      </c>
      <c r="CQ91" s="1">
        <f>IF(CO91="","", 100*_xlfn.STDEV.P(CO90:CO91)/AVERAGE(CO90:CO91))</f>
        <v/>
      </c>
      <c r="CR91" s="8">
        <f t="array" ref="CR91">IF(CO91="","", IFERROR(((IF(CO$5&lt;&gt;"", CO$5*CG$5, 0) + SUMPRODUCT(--(CO$6:CO91&lt;&gt;""), CO$6:CO91, (CG$6:CG91-CG$5:CG90)))/1000), ""))</f>
        <v/>
      </c>
    </row>
    <row r="92">
      <c r="A92" s="1">
        <f>A91+20</f>
        <v/>
      </c>
      <c r="B92" s="1">
        <f>C91</f>
        <v/>
      </c>
      <c r="E92" t="inlineStr">
        <is>
          <t>60mL/3s/30s</t>
        </is>
      </c>
      <c r="I92" s="1">
        <f>IF(C92="", "", (B92-C92)*1000/(A92-A91))</f>
        <v/>
      </c>
      <c r="J92" s="1">
        <f>IF(I92="","",I92/F$2/3)</f>
        <v/>
      </c>
      <c r="K92" s="1">
        <f>IF(I92="","", 100*_xlfn.STDEV.P(I91:I92)/AVERAGE(I91:I92))</f>
        <v/>
      </c>
      <c r="L92" s="8">
        <f t="array" ref="L92">IF(I92="","", IFERROR(((IF(I$5&lt;&gt;"", I$5*A$5, 0) + SUMPRODUCT(--(I$6:I92&lt;&gt;""), I$6:I92, (A$6:A92-A$5:A91)))/1000), ""))</f>
        <v/>
      </c>
      <c r="M92" s="1">
        <f>M91+20</f>
        <v/>
      </c>
      <c r="N92" s="1">
        <f>O91</f>
        <v/>
      </c>
      <c r="Q92" t="inlineStr">
        <is>
          <t>60mL/3s/30s</t>
        </is>
      </c>
      <c r="U92" s="1">
        <f>IF(O92="", "", (N92-O92)*1000/(M92-M91))</f>
        <v/>
      </c>
      <c r="V92" s="1">
        <f>IF(U92="","",U92/R$2/3)</f>
        <v/>
      </c>
      <c r="W92" s="1">
        <f>IF(U92="","", 100*_xlfn.STDEV.P(U91:U92)/AVERAGE(U91:U92))</f>
        <v/>
      </c>
      <c r="X92" s="8">
        <f t="array" ref="X92">IF(U92="","", IFERROR(((IF(U$5&lt;&gt;"", U$5*M$5, 0) + SUMPRODUCT(--(U$6:U92&lt;&gt;""), U$6:U92, (M$6:M92-M$5:M91)))/1000), ""))</f>
        <v/>
      </c>
      <c r="Y92" s="1">
        <f>Y91+20</f>
        <v/>
      </c>
      <c r="Z92" s="1">
        <f>AA91</f>
        <v/>
      </c>
      <c r="AC92" t="inlineStr">
        <is>
          <t>60mL/3s/30s</t>
        </is>
      </c>
      <c r="AG92" s="1">
        <f>IF(AA92="", "", (Z92-AA92)*1000/(Y92-Y91))</f>
        <v/>
      </c>
      <c r="AH92" s="1">
        <f>IF(AG92="","",AG92/AD$2/3)</f>
        <v/>
      </c>
      <c r="AI92" s="1">
        <f>IF(AG92="","", 100*_xlfn.STDEV.P(AG91:AG92)/AVERAGE(AG91:AG92))</f>
        <v/>
      </c>
      <c r="AJ92" s="8">
        <f t="array" ref="AJ92">IF(AG92="","", IFERROR(((IF(AG$5&lt;&gt;"", AG$5*Y$5, 0) + SUMPRODUCT(--(AG$6:AG92&lt;&gt;""), AG$6:AG92, (Y$6:Y92-Y$5:Y91)))/1000), ""))</f>
        <v/>
      </c>
      <c r="AK92" s="1">
        <f>AK91+20</f>
        <v/>
      </c>
      <c r="AL92" s="1">
        <f>AM91</f>
        <v/>
      </c>
      <c r="AO92" t="inlineStr">
        <is>
          <t>60mL/3s/30s</t>
        </is>
      </c>
      <c r="AS92" s="1">
        <f>IF(AM92="", "", (AL92-AM92)*1000/(AK92-AK91))</f>
        <v/>
      </c>
      <c r="AT92" s="1">
        <f>IF(AS92="","",AS92/AP$2/3)</f>
        <v/>
      </c>
      <c r="AU92" s="1">
        <f>IF(AS92="","", 100*_xlfn.STDEV.P(AS91:AS92)/AVERAGE(AS91:AS92))</f>
        <v/>
      </c>
      <c r="AV92" s="8">
        <f t="array" ref="AV92">IF(AS92="","", IFERROR(((IF(AS$5&lt;&gt;"", AS$5*AK$5, 0) + SUMPRODUCT(--(AS$6:AS92&lt;&gt;""), AS$6:AS92, (AK$6:AK92-AK$5:AK91)))/1000), ""))</f>
        <v/>
      </c>
      <c r="AW92" s="1">
        <f>AW91+20</f>
        <v/>
      </c>
      <c r="AX92" s="1">
        <f>AY91</f>
        <v/>
      </c>
      <c r="BA92" t="inlineStr">
        <is>
          <t>60mL/3s/30s</t>
        </is>
      </c>
      <c r="BE92" s="1">
        <f>IF(AY92="", "", (AX92-AY92)*1000/(AW92-AW91))</f>
        <v/>
      </c>
      <c r="BF92" s="1">
        <f>IF(BE92="","",BE92/BB$2/3)</f>
        <v/>
      </c>
      <c r="BG92" s="1">
        <f>IF(BE92="","", 100*_xlfn.STDEV.P(BE91:BE92)/AVERAGE(BE91:BE92))</f>
        <v/>
      </c>
      <c r="BH92" s="8">
        <f t="array" ref="BH92">IF(BE92="","", IFERROR(((IF(BE$5&lt;&gt;"", BE$5*AW$5, 0) + SUMPRODUCT(--(BE$6:BE92&lt;&gt;""), BE$6:BE92, (AW$6:AW92-AW$5:AW91)))/1000), ""))</f>
        <v/>
      </c>
      <c r="BI92" s="1">
        <f>BI91+20</f>
        <v/>
      </c>
      <c r="BJ92" s="1">
        <f>BK91</f>
        <v/>
      </c>
      <c r="BM92" t="inlineStr">
        <is>
          <t>60mL/3s/30s</t>
        </is>
      </c>
      <c r="BQ92" s="1">
        <f>IF(BK92="", "", (BJ92-BK92)*1000/(BI92-BI91))</f>
        <v/>
      </c>
      <c r="BR92" s="1">
        <f>IF(BQ92="","",BQ92/BN$2/3)</f>
        <v/>
      </c>
      <c r="BS92" s="1">
        <f>IF(BQ92="","", 100*_xlfn.STDEV.P(BQ91:BQ92)/AVERAGE(BQ91:BQ92))</f>
        <v/>
      </c>
      <c r="BT92" s="8">
        <f t="array" ref="BT92">IF(BQ92="","", IFERROR(((IF(BQ$5&lt;&gt;"", BQ$5*BI$5, 0) + SUMPRODUCT(--(BQ$6:BQ92&lt;&gt;""), BQ$6:BQ92, (BI$6:BI92-BI$5:BI91)))/1000), ""))</f>
        <v/>
      </c>
      <c r="BU92" s="1">
        <f>BU91+20</f>
        <v/>
      </c>
      <c r="BV92" s="1">
        <f>BW91</f>
        <v/>
      </c>
      <c r="BY92" t="inlineStr">
        <is>
          <t>60mL/3s/30s</t>
        </is>
      </c>
      <c r="CC92" s="1">
        <f>IF(BW92="", "", (BV92-BW92)*1000/(BU92-BU91))</f>
        <v/>
      </c>
      <c r="CD92" s="1">
        <f>IF(CC92="","",CC92/BZ$2/3)</f>
        <v/>
      </c>
      <c r="CE92" s="1">
        <f>IF(CC92="","", 100*_xlfn.STDEV.P(CC91:CC92)/AVERAGE(CC91:CC92))</f>
        <v/>
      </c>
      <c r="CF92" s="8">
        <f t="array" ref="CF92">IF(CC92="","", IFERROR(((IF(CC$5&lt;&gt;"", CC$5*BU$5, 0) + SUMPRODUCT(--(CC$6:CC92&lt;&gt;""), CC$6:CC92, (BU$6:BU92-BU$5:BU91)))/1000), ""))</f>
        <v/>
      </c>
      <c r="CG92" s="1">
        <f>CG91+20</f>
        <v/>
      </c>
      <c r="CH92" s="1">
        <f>CI91</f>
        <v/>
      </c>
      <c r="CK92" t="inlineStr">
        <is>
          <t>60mL/3s/30s</t>
        </is>
      </c>
      <c r="CO92" s="1">
        <f>IF(CI92="", "", (CH92-CI92)*1000/(CG92-CG91))</f>
        <v/>
      </c>
      <c r="CP92" s="1">
        <f>IF(CO92="","",CO92/CL$2/3)</f>
        <v/>
      </c>
      <c r="CQ92" s="1">
        <f>IF(CO92="","", 100*_xlfn.STDEV.P(CO91:CO92)/AVERAGE(CO91:CO92))</f>
        <v/>
      </c>
      <c r="CR92" s="8">
        <f t="array" ref="CR92">IF(CO92="","", IFERROR(((IF(CO$5&lt;&gt;"", CO$5*CG$5, 0) + SUMPRODUCT(--(CO$6:CO92&lt;&gt;""), CO$6:CO92, (CG$6:CG92-CG$5:CG91)))/1000), ""))</f>
        <v/>
      </c>
    </row>
    <row r="93">
      <c r="A93" s="1">
        <f>A92+20</f>
        <v/>
      </c>
      <c r="B93" s="1">
        <f>C92</f>
        <v/>
      </c>
      <c r="E93" t="inlineStr">
        <is>
          <t>60mL/3s/30s</t>
        </is>
      </c>
      <c r="I93" s="1">
        <f>IF(C93="", "", (B93-C93)*1000/(A93-A92))</f>
        <v/>
      </c>
      <c r="J93" s="1">
        <f>IF(I93="","",I93/F$2/3)</f>
        <v/>
      </c>
      <c r="K93" s="1">
        <f>IF(I93="","", 100*_xlfn.STDEV.P(I92:I93)/AVERAGE(I92:I93))</f>
        <v/>
      </c>
      <c r="L93" s="8">
        <f t="array" ref="L93">IF(I93="","", IFERROR(((IF(I$5&lt;&gt;"", I$5*A$5, 0) + SUMPRODUCT(--(I$6:I93&lt;&gt;""), I$6:I93, (A$6:A93-A$5:A92)))/1000), ""))</f>
        <v/>
      </c>
      <c r="M93" s="1">
        <f>M92+20</f>
        <v/>
      </c>
      <c r="N93" s="1">
        <f>O92</f>
        <v/>
      </c>
      <c r="Q93" t="inlineStr">
        <is>
          <t>60mL/3s/30s</t>
        </is>
      </c>
      <c r="U93" s="1">
        <f>IF(O93="", "", (N93-O93)*1000/(M93-M92))</f>
        <v/>
      </c>
      <c r="V93" s="1">
        <f>IF(U93="","",U93/R$2/3)</f>
        <v/>
      </c>
      <c r="W93" s="1">
        <f>IF(U93="","", 100*_xlfn.STDEV.P(U92:U93)/AVERAGE(U92:U93))</f>
        <v/>
      </c>
      <c r="X93" s="8">
        <f t="array" ref="X93">IF(U93="","", IFERROR(((IF(U$5&lt;&gt;"", U$5*M$5, 0) + SUMPRODUCT(--(U$6:U93&lt;&gt;""), U$6:U93, (M$6:M93-M$5:M92)))/1000), ""))</f>
        <v/>
      </c>
      <c r="Y93" s="1">
        <f>Y92+20</f>
        <v/>
      </c>
      <c r="Z93" s="1">
        <f>AA92</f>
        <v/>
      </c>
      <c r="AC93" t="inlineStr">
        <is>
          <t>60mL/3s/30s</t>
        </is>
      </c>
      <c r="AG93" s="1">
        <f>IF(AA93="", "", (Z93-AA93)*1000/(Y93-Y92))</f>
        <v/>
      </c>
      <c r="AH93" s="1">
        <f>IF(AG93="","",AG93/AD$2/3)</f>
        <v/>
      </c>
      <c r="AI93" s="1">
        <f>IF(AG93="","", 100*_xlfn.STDEV.P(AG92:AG93)/AVERAGE(AG92:AG93))</f>
        <v/>
      </c>
      <c r="AJ93" s="8">
        <f t="array" ref="AJ93">IF(AG93="","", IFERROR(((IF(AG$5&lt;&gt;"", AG$5*Y$5, 0) + SUMPRODUCT(--(AG$6:AG93&lt;&gt;""), AG$6:AG93, (Y$6:Y93-Y$5:Y92)))/1000), ""))</f>
        <v/>
      </c>
      <c r="AK93" s="1">
        <f>AK92+20</f>
        <v/>
      </c>
      <c r="AL93" s="1">
        <f>AM92</f>
        <v/>
      </c>
      <c r="AO93" t="inlineStr">
        <is>
          <t>60mL/3s/30s</t>
        </is>
      </c>
      <c r="AS93" s="1">
        <f>IF(AM93="", "", (AL93-AM93)*1000/(AK93-AK92))</f>
        <v/>
      </c>
      <c r="AT93" s="1">
        <f>IF(AS93="","",AS93/AP$2/3)</f>
        <v/>
      </c>
      <c r="AU93" s="1">
        <f>IF(AS93="","", 100*_xlfn.STDEV.P(AS92:AS93)/AVERAGE(AS92:AS93))</f>
        <v/>
      </c>
      <c r="AV93" s="8">
        <f t="array" ref="AV93">IF(AS93="","", IFERROR(((IF(AS$5&lt;&gt;"", AS$5*AK$5, 0) + SUMPRODUCT(--(AS$6:AS93&lt;&gt;""), AS$6:AS93, (AK$6:AK93-AK$5:AK92)))/1000), ""))</f>
        <v/>
      </c>
      <c r="AW93" s="1">
        <f>AW92+20</f>
        <v/>
      </c>
      <c r="AX93" s="1">
        <f>AY92</f>
        <v/>
      </c>
      <c r="BA93" t="inlineStr">
        <is>
          <t>60mL/3s/30s</t>
        </is>
      </c>
      <c r="BE93" s="1">
        <f>IF(AY93="", "", (AX93-AY93)*1000/(AW93-AW92))</f>
        <v/>
      </c>
      <c r="BF93" s="1">
        <f>IF(BE93="","",BE93/BB$2/3)</f>
        <v/>
      </c>
      <c r="BG93" s="1">
        <f>IF(BE93="","", 100*_xlfn.STDEV.P(BE92:BE93)/AVERAGE(BE92:BE93))</f>
        <v/>
      </c>
      <c r="BH93" s="8">
        <f t="array" ref="BH93">IF(BE93="","", IFERROR(((IF(BE$5&lt;&gt;"", BE$5*AW$5, 0) + SUMPRODUCT(--(BE$6:BE93&lt;&gt;""), BE$6:BE93, (AW$6:AW93-AW$5:AW92)))/1000), ""))</f>
        <v/>
      </c>
      <c r="BI93" s="1">
        <f>BI92+20</f>
        <v/>
      </c>
      <c r="BJ93" s="1">
        <f>BK92</f>
        <v/>
      </c>
      <c r="BM93" t="inlineStr">
        <is>
          <t>60mL/3s/30s</t>
        </is>
      </c>
      <c r="BQ93" s="1">
        <f>IF(BK93="", "", (BJ93-BK93)*1000/(BI93-BI92))</f>
        <v/>
      </c>
      <c r="BR93" s="1">
        <f>IF(BQ93="","",BQ93/BN$2/3)</f>
        <v/>
      </c>
      <c r="BS93" s="1">
        <f>IF(BQ93="","", 100*_xlfn.STDEV.P(BQ92:BQ93)/AVERAGE(BQ92:BQ93))</f>
        <v/>
      </c>
      <c r="BT93" s="8">
        <f t="array" ref="BT93">IF(BQ93="","", IFERROR(((IF(BQ$5&lt;&gt;"", BQ$5*BI$5, 0) + SUMPRODUCT(--(BQ$6:BQ93&lt;&gt;""), BQ$6:BQ93, (BI$6:BI93-BI$5:BI92)))/1000), ""))</f>
        <v/>
      </c>
      <c r="BU93" s="1">
        <f>BU92+20</f>
        <v/>
      </c>
      <c r="BV93" s="1">
        <f>BW92</f>
        <v/>
      </c>
      <c r="BY93" t="inlineStr">
        <is>
          <t>60mL/3s/30s</t>
        </is>
      </c>
      <c r="CC93" s="1">
        <f>IF(BW93="", "", (BV93-BW93)*1000/(BU93-BU92))</f>
        <v/>
      </c>
      <c r="CD93" s="1">
        <f>IF(CC93="","",CC93/BZ$2/3)</f>
        <v/>
      </c>
      <c r="CE93" s="1">
        <f>IF(CC93="","", 100*_xlfn.STDEV.P(CC92:CC93)/AVERAGE(CC92:CC93))</f>
        <v/>
      </c>
      <c r="CF93" s="8">
        <f t="array" ref="CF93">IF(CC93="","", IFERROR(((IF(CC$5&lt;&gt;"", CC$5*BU$5, 0) + SUMPRODUCT(--(CC$6:CC93&lt;&gt;""), CC$6:CC93, (BU$6:BU93-BU$5:BU92)))/1000), ""))</f>
        <v/>
      </c>
      <c r="CG93" s="1">
        <f>CG92+20</f>
        <v/>
      </c>
      <c r="CH93" s="1">
        <f>CI92</f>
        <v/>
      </c>
      <c r="CK93" t="inlineStr">
        <is>
          <t>60mL/3s/30s</t>
        </is>
      </c>
      <c r="CO93" s="1">
        <f>IF(CI93="", "", (CH93-CI93)*1000/(CG93-CG92))</f>
        <v/>
      </c>
      <c r="CP93" s="1">
        <f>IF(CO93="","",CO93/CL$2/3)</f>
        <v/>
      </c>
      <c r="CQ93" s="1">
        <f>IF(CO93="","", 100*_xlfn.STDEV.P(CO92:CO93)/AVERAGE(CO92:CO93))</f>
        <v/>
      </c>
      <c r="CR93" s="8">
        <f t="array" ref="CR93">IF(CO93="","", IFERROR(((IF(CO$5&lt;&gt;"", CO$5*CG$5, 0) + SUMPRODUCT(--(CO$6:CO93&lt;&gt;""), CO$6:CO93, (CG$6:CG93-CG$5:CG92)))/1000), ""))</f>
        <v/>
      </c>
    </row>
    <row r="94">
      <c r="A94" s="1">
        <f>A93+20</f>
        <v/>
      </c>
      <c r="B94" s="1">
        <f>C93</f>
        <v/>
      </c>
      <c r="E94" t="inlineStr">
        <is>
          <t>60mL/3s/30s</t>
        </is>
      </c>
      <c r="I94" s="1">
        <f>IF(C94="", "", (B94-C94)*1000/(A94-A93))</f>
        <v/>
      </c>
      <c r="J94" s="1">
        <f>IF(I94="","",I94/F$2/3)</f>
        <v/>
      </c>
      <c r="K94" s="1">
        <f>IF(I94="","", 100*_xlfn.STDEV.P(I93:I94)/AVERAGE(I93:I94))</f>
        <v/>
      </c>
      <c r="L94" s="8">
        <f t="array" ref="L94">IF(I94="","", IFERROR(((IF(I$5&lt;&gt;"", I$5*A$5, 0) + SUMPRODUCT(--(I$6:I94&lt;&gt;""), I$6:I94, (A$6:A94-A$5:A93)))/1000), ""))</f>
        <v/>
      </c>
      <c r="M94" s="1">
        <f>M93+20</f>
        <v/>
      </c>
      <c r="N94" s="1">
        <f>O93</f>
        <v/>
      </c>
      <c r="Q94" t="inlineStr">
        <is>
          <t>60mL/3s/30s</t>
        </is>
      </c>
      <c r="U94" s="1">
        <f>IF(O94="", "", (N94-O94)*1000/(M94-M93))</f>
        <v/>
      </c>
      <c r="V94" s="1">
        <f>IF(U94="","",U94/R$2/3)</f>
        <v/>
      </c>
      <c r="W94" s="1">
        <f>IF(U94="","", 100*_xlfn.STDEV.P(U93:U94)/AVERAGE(U93:U94))</f>
        <v/>
      </c>
      <c r="X94" s="8">
        <f t="array" ref="X94">IF(U94="","", IFERROR(((IF(U$5&lt;&gt;"", U$5*M$5, 0) + SUMPRODUCT(--(U$6:U94&lt;&gt;""), U$6:U94, (M$6:M94-M$5:M93)))/1000), ""))</f>
        <v/>
      </c>
      <c r="Y94" s="1">
        <f>Y93+20</f>
        <v/>
      </c>
      <c r="Z94" s="1">
        <f>AA93</f>
        <v/>
      </c>
      <c r="AC94" t="inlineStr">
        <is>
          <t>60mL/3s/30s</t>
        </is>
      </c>
      <c r="AG94" s="1">
        <f>IF(AA94="", "", (Z94-AA94)*1000/(Y94-Y93))</f>
        <v/>
      </c>
      <c r="AH94" s="1">
        <f>IF(AG94="","",AG94/AD$2/3)</f>
        <v/>
      </c>
      <c r="AI94" s="1">
        <f>IF(AG94="","", 100*_xlfn.STDEV.P(AG93:AG94)/AVERAGE(AG93:AG94))</f>
        <v/>
      </c>
      <c r="AJ94" s="8">
        <f t="array" ref="AJ94">IF(AG94="","", IFERROR(((IF(AG$5&lt;&gt;"", AG$5*Y$5, 0) + SUMPRODUCT(--(AG$6:AG94&lt;&gt;""), AG$6:AG94, (Y$6:Y94-Y$5:Y93)))/1000), ""))</f>
        <v/>
      </c>
      <c r="AK94" s="1">
        <f>AK93+20</f>
        <v/>
      </c>
      <c r="AL94" s="1">
        <f>AM93</f>
        <v/>
      </c>
      <c r="AO94" t="inlineStr">
        <is>
          <t>60mL/3s/30s</t>
        </is>
      </c>
      <c r="AS94" s="1">
        <f>IF(AM94="", "", (AL94-AM94)*1000/(AK94-AK93))</f>
        <v/>
      </c>
      <c r="AT94" s="1">
        <f>IF(AS94="","",AS94/AP$2/3)</f>
        <v/>
      </c>
      <c r="AU94" s="1">
        <f>IF(AS94="","", 100*_xlfn.STDEV.P(AS93:AS94)/AVERAGE(AS93:AS94))</f>
        <v/>
      </c>
      <c r="AV94" s="8">
        <f t="array" ref="AV94">IF(AS94="","", IFERROR(((IF(AS$5&lt;&gt;"", AS$5*AK$5, 0) + SUMPRODUCT(--(AS$6:AS94&lt;&gt;""), AS$6:AS94, (AK$6:AK94-AK$5:AK93)))/1000), ""))</f>
        <v/>
      </c>
      <c r="AW94" s="1">
        <f>AW93+20</f>
        <v/>
      </c>
      <c r="AX94" s="1">
        <f>AY93</f>
        <v/>
      </c>
      <c r="BA94" t="inlineStr">
        <is>
          <t>60mL/3s/30s</t>
        </is>
      </c>
      <c r="BE94" s="1">
        <f>IF(AY94="", "", (AX94-AY94)*1000/(AW94-AW93))</f>
        <v/>
      </c>
      <c r="BF94" s="1">
        <f>IF(BE94="","",BE94/BB$2/3)</f>
        <v/>
      </c>
      <c r="BG94" s="1">
        <f>IF(BE94="","", 100*_xlfn.STDEV.P(BE93:BE94)/AVERAGE(BE93:BE94))</f>
        <v/>
      </c>
      <c r="BH94" s="8">
        <f t="array" ref="BH94">IF(BE94="","", IFERROR(((IF(BE$5&lt;&gt;"", BE$5*AW$5, 0) + SUMPRODUCT(--(BE$6:BE94&lt;&gt;""), BE$6:BE94, (AW$6:AW94-AW$5:AW93)))/1000), ""))</f>
        <v/>
      </c>
      <c r="BI94" s="1">
        <f>BI93+20</f>
        <v/>
      </c>
      <c r="BJ94" s="1">
        <f>BK93</f>
        <v/>
      </c>
      <c r="BM94" t="inlineStr">
        <is>
          <t>60mL/3s/30s</t>
        </is>
      </c>
      <c r="BQ94" s="1">
        <f>IF(BK94="", "", (BJ94-BK94)*1000/(BI94-BI93))</f>
        <v/>
      </c>
      <c r="BR94" s="1">
        <f>IF(BQ94="","",BQ94/BN$2/3)</f>
        <v/>
      </c>
      <c r="BS94" s="1">
        <f>IF(BQ94="","", 100*_xlfn.STDEV.P(BQ93:BQ94)/AVERAGE(BQ93:BQ94))</f>
        <v/>
      </c>
      <c r="BT94" s="8">
        <f t="array" ref="BT94">IF(BQ94="","", IFERROR(((IF(BQ$5&lt;&gt;"", BQ$5*BI$5, 0) + SUMPRODUCT(--(BQ$6:BQ94&lt;&gt;""), BQ$6:BQ94, (BI$6:BI94-BI$5:BI93)))/1000), ""))</f>
        <v/>
      </c>
      <c r="BU94" s="1">
        <f>BU93+20</f>
        <v/>
      </c>
      <c r="BV94" s="1">
        <f>BW93</f>
        <v/>
      </c>
      <c r="BY94" t="inlineStr">
        <is>
          <t>60mL/3s/30s</t>
        </is>
      </c>
      <c r="CC94" s="1">
        <f>IF(BW94="", "", (BV94-BW94)*1000/(BU94-BU93))</f>
        <v/>
      </c>
      <c r="CD94" s="1">
        <f>IF(CC94="","",CC94/BZ$2/3)</f>
        <v/>
      </c>
      <c r="CE94" s="1">
        <f>IF(CC94="","", 100*_xlfn.STDEV.P(CC93:CC94)/AVERAGE(CC93:CC94))</f>
        <v/>
      </c>
      <c r="CF94" s="8">
        <f t="array" ref="CF94">IF(CC94="","", IFERROR(((IF(CC$5&lt;&gt;"", CC$5*BU$5, 0) + SUMPRODUCT(--(CC$6:CC94&lt;&gt;""), CC$6:CC94, (BU$6:BU94-BU$5:BU93)))/1000), ""))</f>
        <v/>
      </c>
      <c r="CG94" s="1">
        <f>CG93+20</f>
        <v/>
      </c>
      <c r="CH94" s="1">
        <f>CI93</f>
        <v/>
      </c>
      <c r="CK94" t="inlineStr">
        <is>
          <t>60mL/3s/30s</t>
        </is>
      </c>
      <c r="CO94" s="1">
        <f>IF(CI94="", "", (CH94-CI94)*1000/(CG94-CG93))</f>
        <v/>
      </c>
      <c r="CP94" s="1">
        <f>IF(CO94="","",CO94/CL$2/3)</f>
        <v/>
      </c>
      <c r="CQ94" s="1">
        <f>IF(CO94="","", 100*_xlfn.STDEV.P(CO93:CO94)/AVERAGE(CO93:CO94))</f>
        <v/>
      </c>
      <c r="CR94" s="8">
        <f t="array" ref="CR94">IF(CO94="","", IFERROR(((IF(CO$5&lt;&gt;"", CO$5*CG$5, 0) + SUMPRODUCT(--(CO$6:CO94&lt;&gt;""), CO$6:CO94, (CG$6:CG94-CG$5:CG93)))/1000), ""))</f>
        <v/>
      </c>
    </row>
    <row r="95">
      <c r="A95" s="1">
        <f>A94+20</f>
        <v/>
      </c>
      <c r="B95" s="1">
        <f>C94</f>
        <v/>
      </c>
      <c r="E95" t="inlineStr">
        <is>
          <t>60mL/3s/30s</t>
        </is>
      </c>
      <c r="I95" s="1">
        <f>IF(C95="", "", (B95-C95)*1000/(A95-A94))</f>
        <v/>
      </c>
      <c r="J95" s="1">
        <f>IF(I95="","",I95/F$2/3)</f>
        <v/>
      </c>
      <c r="K95" s="1">
        <f>IF(I95="","", 100*_xlfn.STDEV.P(I94:I95)/AVERAGE(I94:I95))</f>
        <v/>
      </c>
      <c r="L95" s="8">
        <f t="array" ref="L95">IF(I95="","", IFERROR(((IF(I$5&lt;&gt;"", I$5*A$5, 0) + SUMPRODUCT(--(I$6:I95&lt;&gt;""), I$6:I95, (A$6:A95-A$5:A94)))/1000), ""))</f>
        <v/>
      </c>
      <c r="M95" s="1">
        <f>M94+20</f>
        <v/>
      </c>
      <c r="N95" s="1">
        <f>O94</f>
        <v/>
      </c>
      <c r="Q95" t="inlineStr">
        <is>
          <t>60mL/3s/30s</t>
        </is>
      </c>
      <c r="U95" s="1">
        <f>IF(O95="", "", (N95-O95)*1000/(M95-M94))</f>
        <v/>
      </c>
      <c r="V95" s="1">
        <f>IF(U95="","",U95/R$2/3)</f>
        <v/>
      </c>
      <c r="W95" s="1">
        <f>IF(U95="","", 100*_xlfn.STDEV.P(U94:U95)/AVERAGE(U94:U95))</f>
        <v/>
      </c>
      <c r="X95" s="8">
        <f t="array" ref="X95">IF(U95="","", IFERROR(((IF(U$5&lt;&gt;"", U$5*M$5, 0) + SUMPRODUCT(--(U$6:U95&lt;&gt;""), U$6:U95, (M$6:M95-M$5:M94)))/1000), ""))</f>
        <v/>
      </c>
      <c r="Y95" s="1">
        <f>Y94+20</f>
        <v/>
      </c>
      <c r="Z95" s="1">
        <f>AA94</f>
        <v/>
      </c>
      <c r="AC95" t="inlineStr">
        <is>
          <t>60mL/3s/30s</t>
        </is>
      </c>
      <c r="AG95" s="1">
        <f>IF(AA95="", "", (Z95-AA95)*1000/(Y95-Y94))</f>
        <v/>
      </c>
      <c r="AH95" s="1">
        <f>IF(AG95="","",AG95/AD$2/3)</f>
        <v/>
      </c>
      <c r="AI95" s="1">
        <f>IF(AG95="","", 100*_xlfn.STDEV.P(AG94:AG95)/AVERAGE(AG94:AG95))</f>
        <v/>
      </c>
      <c r="AJ95" s="8">
        <f t="array" ref="AJ95">IF(AG95="","", IFERROR(((IF(AG$5&lt;&gt;"", AG$5*Y$5, 0) + SUMPRODUCT(--(AG$6:AG95&lt;&gt;""), AG$6:AG95, (Y$6:Y95-Y$5:Y94)))/1000), ""))</f>
        <v/>
      </c>
      <c r="AK95" s="1">
        <f>AK94+20</f>
        <v/>
      </c>
      <c r="AL95" s="1">
        <f>AM94</f>
        <v/>
      </c>
      <c r="AO95" t="inlineStr">
        <is>
          <t>60mL/3s/30s</t>
        </is>
      </c>
      <c r="AS95" s="1">
        <f>IF(AM95="", "", (AL95-AM95)*1000/(AK95-AK94))</f>
        <v/>
      </c>
      <c r="AT95" s="1">
        <f>IF(AS95="","",AS95/AP$2/3)</f>
        <v/>
      </c>
      <c r="AU95" s="1">
        <f>IF(AS95="","", 100*_xlfn.STDEV.P(AS94:AS95)/AVERAGE(AS94:AS95))</f>
        <v/>
      </c>
      <c r="AV95" s="8">
        <f t="array" ref="AV95">IF(AS95="","", IFERROR(((IF(AS$5&lt;&gt;"", AS$5*AK$5, 0) + SUMPRODUCT(--(AS$6:AS95&lt;&gt;""), AS$6:AS95, (AK$6:AK95-AK$5:AK94)))/1000), ""))</f>
        <v/>
      </c>
      <c r="AW95" s="1">
        <f>AW94+20</f>
        <v/>
      </c>
      <c r="AX95" s="1">
        <f>AY94</f>
        <v/>
      </c>
      <c r="BA95" t="inlineStr">
        <is>
          <t>60mL/3s/30s</t>
        </is>
      </c>
      <c r="BE95" s="1">
        <f>IF(AY95="", "", (AX95-AY95)*1000/(AW95-AW94))</f>
        <v/>
      </c>
      <c r="BF95" s="1">
        <f>IF(BE95="","",BE95/BB$2/3)</f>
        <v/>
      </c>
      <c r="BG95" s="1">
        <f>IF(BE95="","", 100*_xlfn.STDEV.P(BE94:BE95)/AVERAGE(BE94:BE95))</f>
        <v/>
      </c>
      <c r="BH95" s="8">
        <f t="array" ref="BH95">IF(BE95="","", IFERROR(((IF(BE$5&lt;&gt;"", BE$5*AW$5, 0) + SUMPRODUCT(--(BE$6:BE95&lt;&gt;""), BE$6:BE95, (AW$6:AW95-AW$5:AW94)))/1000), ""))</f>
        <v/>
      </c>
      <c r="BI95" s="1">
        <f>BI94+20</f>
        <v/>
      </c>
      <c r="BJ95" s="1">
        <f>BK94</f>
        <v/>
      </c>
      <c r="BM95" t="inlineStr">
        <is>
          <t>60mL/3s/30s</t>
        </is>
      </c>
      <c r="BQ95" s="1">
        <f>IF(BK95="", "", (BJ95-BK95)*1000/(BI95-BI94))</f>
        <v/>
      </c>
      <c r="BR95" s="1">
        <f>IF(BQ95="","",BQ95/BN$2/3)</f>
        <v/>
      </c>
      <c r="BS95" s="1">
        <f>IF(BQ95="","", 100*_xlfn.STDEV.P(BQ94:BQ95)/AVERAGE(BQ94:BQ95))</f>
        <v/>
      </c>
      <c r="BT95" s="8">
        <f t="array" ref="BT95">IF(BQ95="","", IFERROR(((IF(BQ$5&lt;&gt;"", BQ$5*BI$5, 0) + SUMPRODUCT(--(BQ$6:BQ95&lt;&gt;""), BQ$6:BQ95, (BI$6:BI95-BI$5:BI94)))/1000), ""))</f>
        <v/>
      </c>
      <c r="BU95" s="1">
        <f>BU94+20</f>
        <v/>
      </c>
      <c r="BV95" s="1">
        <f>BW94</f>
        <v/>
      </c>
      <c r="BY95" t="inlineStr">
        <is>
          <t>60mL/3s/30s</t>
        </is>
      </c>
      <c r="CC95" s="1">
        <f>IF(BW95="", "", (BV95-BW95)*1000/(BU95-BU94))</f>
        <v/>
      </c>
      <c r="CD95" s="1">
        <f>IF(CC95="","",CC95/BZ$2/3)</f>
        <v/>
      </c>
      <c r="CE95" s="1">
        <f>IF(CC95="","", 100*_xlfn.STDEV.P(CC94:CC95)/AVERAGE(CC94:CC95))</f>
        <v/>
      </c>
      <c r="CF95" s="8">
        <f t="array" ref="CF95">IF(CC95="","", IFERROR(((IF(CC$5&lt;&gt;"", CC$5*BU$5, 0) + SUMPRODUCT(--(CC$6:CC95&lt;&gt;""), CC$6:CC95, (BU$6:BU95-BU$5:BU94)))/1000), ""))</f>
        <v/>
      </c>
      <c r="CG95" s="1">
        <f>CG94+20</f>
        <v/>
      </c>
      <c r="CH95" s="1">
        <f>CI94</f>
        <v/>
      </c>
      <c r="CK95" t="inlineStr">
        <is>
          <t>60mL/3s/30s</t>
        </is>
      </c>
      <c r="CO95" s="1">
        <f>IF(CI95="", "", (CH95-CI95)*1000/(CG95-CG94))</f>
        <v/>
      </c>
      <c r="CP95" s="1">
        <f>IF(CO95="","",CO95/CL$2/3)</f>
        <v/>
      </c>
      <c r="CQ95" s="1">
        <f>IF(CO95="","", 100*_xlfn.STDEV.P(CO94:CO95)/AVERAGE(CO94:CO95))</f>
        <v/>
      </c>
      <c r="CR95" s="8">
        <f t="array" ref="CR95">IF(CO95="","", IFERROR(((IF(CO$5&lt;&gt;"", CO$5*CG$5, 0) + SUMPRODUCT(--(CO$6:CO95&lt;&gt;""), CO$6:CO95, (CG$6:CG95-CG$5:CG94)))/1000), ""))</f>
        <v/>
      </c>
    </row>
    <row r="96">
      <c r="A96" s="1">
        <f>A95+20</f>
        <v/>
      </c>
      <c r="B96" s="1">
        <f>C95</f>
        <v/>
      </c>
      <c r="E96" t="inlineStr">
        <is>
          <t>60mL/3s/30s</t>
        </is>
      </c>
      <c r="I96" s="1">
        <f>IF(C96="", "", (B96-C96)*1000/(A96-A95))</f>
        <v/>
      </c>
      <c r="J96" s="1">
        <f>IF(I96="","",I96/F$2/3)</f>
        <v/>
      </c>
      <c r="K96" s="1">
        <f>IF(I96="","", 100*_xlfn.STDEV.P(I95:I96)/AVERAGE(I95:I96))</f>
        <v/>
      </c>
      <c r="L96" s="8">
        <f t="array" ref="L96">IF(I96="","", IFERROR(((IF(I$5&lt;&gt;"", I$5*A$5, 0) + SUMPRODUCT(--(I$6:I96&lt;&gt;""), I$6:I96, (A$6:A96-A$5:A95)))/1000), ""))</f>
        <v/>
      </c>
      <c r="M96" s="1">
        <f>M95+20</f>
        <v/>
      </c>
      <c r="N96" s="1">
        <f>O95</f>
        <v/>
      </c>
      <c r="Q96" t="inlineStr">
        <is>
          <t>60mL/3s/30s</t>
        </is>
      </c>
      <c r="U96" s="1">
        <f>IF(O96="", "", (N96-O96)*1000/(M96-M95))</f>
        <v/>
      </c>
      <c r="V96" s="1">
        <f>IF(U96="","",U96/R$2/3)</f>
        <v/>
      </c>
      <c r="W96" s="1">
        <f>IF(U96="","", 100*_xlfn.STDEV.P(U95:U96)/AVERAGE(U95:U96))</f>
        <v/>
      </c>
      <c r="X96" s="8">
        <f t="array" ref="X96">IF(U96="","", IFERROR(((IF(U$5&lt;&gt;"", U$5*M$5, 0) + SUMPRODUCT(--(U$6:U96&lt;&gt;""), U$6:U96, (M$6:M96-M$5:M95)))/1000), ""))</f>
        <v/>
      </c>
      <c r="Y96" s="1">
        <f>Y95+20</f>
        <v/>
      </c>
      <c r="Z96" s="1">
        <f>AA95</f>
        <v/>
      </c>
      <c r="AC96" t="inlineStr">
        <is>
          <t>60mL/3s/30s</t>
        </is>
      </c>
      <c r="AG96" s="1">
        <f>IF(AA96="", "", (Z96-AA96)*1000/(Y96-Y95))</f>
        <v/>
      </c>
      <c r="AH96" s="1">
        <f>IF(AG96="","",AG96/AD$2/3)</f>
        <v/>
      </c>
      <c r="AI96" s="1">
        <f>IF(AG96="","", 100*_xlfn.STDEV.P(AG95:AG96)/AVERAGE(AG95:AG96))</f>
        <v/>
      </c>
      <c r="AJ96" s="8">
        <f t="array" ref="AJ96">IF(AG96="","", IFERROR(((IF(AG$5&lt;&gt;"", AG$5*Y$5, 0) + SUMPRODUCT(--(AG$6:AG96&lt;&gt;""), AG$6:AG96, (Y$6:Y96-Y$5:Y95)))/1000), ""))</f>
        <v/>
      </c>
      <c r="AK96" s="1">
        <f>AK95+20</f>
        <v/>
      </c>
      <c r="AL96" s="1">
        <f>AM95</f>
        <v/>
      </c>
      <c r="AO96" t="inlineStr">
        <is>
          <t>60mL/3s/30s</t>
        </is>
      </c>
      <c r="AS96" s="1">
        <f>IF(AM96="", "", (AL96-AM96)*1000/(AK96-AK95))</f>
        <v/>
      </c>
      <c r="AT96" s="1">
        <f>IF(AS96="","",AS96/AP$2/3)</f>
        <v/>
      </c>
      <c r="AU96" s="1">
        <f>IF(AS96="","", 100*_xlfn.STDEV.P(AS95:AS96)/AVERAGE(AS95:AS96))</f>
        <v/>
      </c>
      <c r="AV96" s="8">
        <f t="array" ref="AV96">IF(AS96="","", IFERROR(((IF(AS$5&lt;&gt;"", AS$5*AK$5, 0) + SUMPRODUCT(--(AS$6:AS96&lt;&gt;""), AS$6:AS96, (AK$6:AK96-AK$5:AK95)))/1000), ""))</f>
        <v/>
      </c>
      <c r="AW96" s="1">
        <f>AW95+20</f>
        <v/>
      </c>
      <c r="AX96" s="1">
        <f>AY95</f>
        <v/>
      </c>
      <c r="BA96" t="inlineStr">
        <is>
          <t>60mL/3s/30s</t>
        </is>
      </c>
      <c r="BE96" s="1">
        <f>IF(AY96="", "", (AX96-AY96)*1000/(AW96-AW95))</f>
        <v/>
      </c>
      <c r="BF96" s="1">
        <f>IF(BE96="","",BE96/BB$2/3)</f>
        <v/>
      </c>
      <c r="BG96" s="1">
        <f>IF(BE96="","", 100*_xlfn.STDEV.P(BE95:BE96)/AVERAGE(BE95:BE96))</f>
        <v/>
      </c>
      <c r="BH96" s="8">
        <f t="array" ref="BH96">IF(BE96="","", IFERROR(((IF(BE$5&lt;&gt;"", BE$5*AW$5, 0) + SUMPRODUCT(--(BE$6:BE96&lt;&gt;""), BE$6:BE96, (AW$6:AW96-AW$5:AW95)))/1000), ""))</f>
        <v/>
      </c>
      <c r="BI96" s="1">
        <f>BI95+20</f>
        <v/>
      </c>
      <c r="BJ96" s="1">
        <f>BK95</f>
        <v/>
      </c>
      <c r="BM96" t="inlineStr">
        <is>
          <t>60mL/3s/30s</t>
        </is>
      </c>
      <c r="BQ96" s="1">
        <f>IF(BK96="", "", (BJ96-BK96)*1000/(BI96-BI95))</f>
        <v/>
      </c>
      <c r="BR96" s="1">
        <f>IF(BQ96="","",BQ96/BN$2/3)</f>
        <v/>
      </c>
      <c r="BS96" s="1">
        <f>IF(BQ96="","", 100*_xlfn.STDEV.P(BQ95:BQ96)/AVERAGE(BQ95:BQ96))</f>
        <v/>
      </c>
      <c r="BT96" s="8">
        <f t="array" ref="BT96">IF(BQ96="","", IFERROR(((IF(BQ$5&lt;&gt;"", BQ$5*BI$5, 0) + SUMPRODUCT(--(BQ$6:BQ96&lt;&gt;""), BQ$6:BQ96, (BI$6:BI96-BI$5:BI95)))/1000), ""))</f>
        <v/>
      </c>
      <c r="BU96" s="1">
        <f>BU95+20</f>
        <v/>
      </c>
      <c r="BV96" s="1">
        <f>BW95</f>
        <v/>
      </c>
      <c r="BY96" t="inlineStr">
        <is>
          <t>60mL/3s/30s</t>
        </is>
      </c>
      <c r="CC96" s="1">
        <f>IF(BW96="", "", (BV96-BW96)*1000/(BU96-BU95))</f>
        <v/>
      </c>
      <c r="CD96" s="1">
        <f>IF(CC96="","",CC96/BZ$2/3)</f>
        <v/>
      </c>
      <c r="CE96" s="1">
        <f>IF(CC96="","", 100*_xlfn.STDEV.P(CC95:CC96)/AVERAGE(CC95:CC96))</f>
        <v/>
      </c>
      <c r="CF96" s="8">
        <f t="array" ref="CF96">IF(CC96="","", IFERROR(((IF(CC$5&lt;&gt;"", CC$5*BU$5, 0) + SUMPRODUCT(--(CC$6:CC96&lt;&gt;""), CC$6:CC96, (BU$6:BU96-BU$5:BU95)))/1000), ""))</f>
        <v/>
      </c>
      <c r="CG96" s="1">
        <f>CG95+20</f>
        <v/>
      </c>
      <c r="CH96" s="1">
        <f>CI95</f>
        <v/>
      </c>
      <c r="CK96" t="inlineStr">
        <is>
          <t>60mL/3s/30s</t>
        </is>
      </c>
      <c r="CO96" s="1">
        <f>IF(CI96="", "", (CH96-CI96)*1000/(CG96-CG95))</f>
        <v/>
      </c>
      <c r="CP96" s="1">
        <f>IF(CO96="","",CO96/CL$2/3)</f>
        <v/>
      </c>
      <c r="CQ96" s="1">
        <f>IF(CO96="","", 100*_xlfn.STDEV.P(CO95:CO96)/AVERAGE(CO95:CO96))</f>
        <v/>
      </c>
      <c r="CR96" s="8">
        <f t="array" ref="CR96">IF(CO96="","", IFERROR(((IF(CO$5&lt;&gt;"", CO$5*CG$5, 0) + SUMPRODUCT(--(CO$6:CO96&lt;&gt;""), CO$6:CO96, (CG$6:CG96-CG$5:CG95)))/1000), ""))</f>
        <v/>
      </c>
    </row>
    <row r="97">
      <c r="A97" s="1">
        <f>A96+20</f>
        <v/>
      </c>
      <c r="B97" s="1">
        <f>C96</f>
        <v/>
      </c>
      <c r="E97" t="inlineStr">
        <is>
          <t>60mL/3s/30s</t>
        </is>
      </c>
      <c r="I97" s="1">
        <f>IF(C97="", "", (B97-C97)*1000/(A97-A96))</f>
        <v/>
      </c>
      <c r="J97" s="1">
        <f>IF(I97="","",I97/F$2/3)</f>
        <v/>
      </c>
      <c r="K97" s="1">
        <f>IF(I97="","", 100*_xlfn.STDEV.P(I96:I97)/AVERAGE(I96:I97))</f>
        <v/>
      </c>
      <c r="L97" s="8">
        <f t="array" ref="L97">IF(I97="","", IFERROR(((IF(I$5&lt;&gt;"", I$5*A$5, 0) + SUMPRODUCT(--(I$6:I97&lt;&gt;""), I$6:I97, (A$6:A97-A$5:A96)))/1000), ""))</f>
        <v/>
      </c>
      <c r="M97" s="1">
        <f>M96+20</f>
        <v/>
      </c>
      <c r="N97" s="1">
        <f>O96</f>
        <v/>
      </c>
      <c r="Q97" t="inlineStr">
        <is>
          <t>60mL/3s/30s</t>
        </is>
      </c>
      <c r="U97" s="1">
        <f>IF(O97="", "", (N97-O97)*1000/(M97-M96))</f>
        <v/>
      </c>
      <c r="V97" s="1">
        <f>IF(U97="","",U97/R$2/3)</f>
        <v/>
      </c>
      <c r="W97" s="1">
        <f>IF(U97="","", 100*_xlfn.STDEV.P(U96:U97)/AVERAGE(U96:U97))</f>
        <v/>
      </c>
      <c r="X97" s="8">
        <f t="array" ref="X97">IF(U97="","", IFERROR(((IF(U$5&lt;&gt;"", U$5*M$5, 0) + SUMPRODUCT(--(U$6:U97&lt;&gt;""), U$6:U97, (M$6:M97-M$5:M96)))/1000), ""))</f>
        <v/>
      </c>
      <c r="Y97" s="1">
        <f>Y96+20</f>
        <v/>
      </c>
      <c r="Z97" s="1">
        <f>AA96</f>
        <v/>
      </c>
      <c r="AC97" t="inlineStr">
        <is>
          <t>60mL/3s/30s</t>
        </is>
      </c>
      <c r="AG97" s="1">
        <f>IF(AA97="", "", (Z97-AA97)*1000/(Y97-Y96))</f>
        <v/>
      </c>
      <c r="AH97" s="1">
        <f>IF(AG97="","",AG97/AD$2/3)</f>
        <v/>
      </c>
      <c r="AI97" s="1">
        <f>IF(AG97="","", 100*_xlfn.STDEV.P(AG96:AG97)/AVERAGE(AG96:AG97))</f>
        <v/>
      </c>
      <c r="AJ97" s="8">
        <f t="array" ref="AJ97">IF(AG97="","", IFERROR(((IF(AG$5&lt;&gt;"", AG$5*Y$5, 0) + SUMPRODUCT(--(AG$6:AG97&lt;&gt;""), AG$6:AG97, (Y$6:Y97-Y$5:Y96)))/1000), ""))</f>
        <v/>
      </c>
      <c r="AK97" s="1">
        <f>AK96+20</f>
        <v/>
      </c>
      <c r="AL97" s="1">
        <f>AM96</f>
        <v/>
      </c>
      <c r="AO97" t="inlineStr">
        <is>
          <t>60mL/3s/30s</t>
        </is>
      </c>
      <c r="AS97" s="1">
        <f>IF(AM97="", "", (AL97-AM97)*1000/(AK97-AK96))</f>
        <v/>
      </c>
      <c r="AT97" s="1">
        <f>IF(AS97="","",AS97/AP$2/3)</f>
        <v/>
      </c>
      <c r="AU97" s="1">
        <f>IF(AS97="","", 100*_xlfn.STDEV.P(AS96:AS97)/AVERAGE(AS96:AS97))</f>
        <v/>
      </c>
      <c r="AV97" s="8">
        <f t="array" ref="AV97">IF(AS97="","", IFERROR(((IF(AS$5&lt;&gt;"", AS$5*AK$5, 0) + SUMPRODUCT(--(AS$6:AS97&lt;&gt;""), AS$6:AS97, (AK$6:AK97-AK$5:AK96)))/1000), ""))</f>
        <v/>
      </c>
      <c r="AW97" s="1">
        <f>AW96+20</f>
        <v/>
      </c>
      <c r="AX97" s="1">
        <f>AY96</f>
        <v/>
      </c>
      <c r="BA97" t="inlineStr">
        <is>
          <t>60mL/3s/30s</t>
        </is>
      </c>
      <c r="BE97" s="1">
        <f>IF(AY97="", "", (AX97-AY97)*1000/(AW97-AW96))</f>
        <v/>
      </c>
      <c r="BF97" s="1">
        <f>IF(BE97="","",BE97/BB$2/3)</f>
        <v/>
      </c>
      <c r="BG97" s="1">
        <f>IF(BE97="","", 100*_xlfn.STDEV.P(BE96:BE97)/AVERAGE(BE96:BE97))</f>
        <v/>
      </c>
      <c r="BH97" s="8">
        <f t="array" ref="BH97">IF(BE97="","", IFERROR(((IF(BE$5&lt;&gt;"", BE$5*AW$5, 0) + SUMPRODUCT(--(BE$6:BE97&lt;&gt;""), BE$6:BE97, (AW$6:AW97-AW$5:AW96)))/1000), ""))</f>
        <v/>
      </c>
      <c r="BI97" s="1">
        <f>BI96+20</f>
        <v/>
      </c>
      <c r="BJ97" s="1">
        <f>BK96</f>
        <v/>
      </c>
      <c r="BM97" t="inlineStr">
        <is>
          <t>60mL/3s/30s</t>
        </is>
      </c>
      <c r="BQ97" s="1">
        <f>IF(BK97="", "", (BJ97-BK97)*1000/(BI97-BI96))</f>
        <v/>
      </c>
      <c r="BR97" s="1">
        <f>IF(BQ97="","",BQ97/BN$2/3)</f>
        <v/>
      </c>
      <c r="BS97" s="1">
        <f>IF(BQ97="","", 100*_xlfn.STDEV.P(BQ96:BQ97)/AVERAGE(BQ96:BQ97))</f>
        <v/>
      </c>
      <c r="BT97" s="8">
        <f t="array" ref="BT97">IF(BQ97="","", IFERROR(((IF(BQ$5&lt;&gt;"", BQ$5*BI$5, 0) + SUMPRODUCT(--(BQ$6:BQ97&lt;&gt;""), BQ$6:BQ97, (BI$6:BI97-BI$5:BI96)))/1000), ""))</f>
        <v/>
      </c>
      <c r="BU97" s="1">
        <f>BU96+20</f>
        <v/>
      </c>
      <c r="BV97" s="1">
        <f>BW96</f>
        <v/>
      </c>
      <c r="BY97" t="inlineStr">
        <is>
          <t>60mL/3s/30s</t>
        </is>
      </c>
      <c r="CC97" s="1">
        <f>IF(BW97="", "", (BV97-BW97)*1000/(BU97-BU96))</f>
        <v/>
      </c>
      <c r="CD97" s="1">
        <f>IF(CC97="","",CC97/BZ$2/3)</f>
        <v/>
      </c>
      <c r="CE97" s="1">
        <f>IF(CC97="","", 100*_xlfn.STDEV.P(CC96:CC97)/AVERAGE(CC96:CC97))</f>
        <v/>
      </c>
      <c r="CF97" s="8">
        <f t="array" ref="CF97">IF(CC97="","", IFERROR(((IF(CC$5&lt;&gt;"", CC$5*BU$5, 0) + SUMPRODUCT(--(CC$6:CC97&lt;&gt;""), CC$6:CC97, (BU$6:BU97-BU$5:BU96)))/1000), ""))</f>
        <v/>
      </c>
      <c r="CG97" s="1">
        <f>CG96+20</f>
        <v/>
      </c>
      <c r="CH97" s="1">
        <f>CI96</f>
        <v/>
      </c>
      <c r="CK97" t="inlineStr">
        <is>
          <t>60mL/3s/30s</t>
        </is>
      </c>
      <c r="CO97" s="1">
        <f>IF(CI97="", "", (CH97-CI97)*1000/(CG97-CG96))</f>
        <v/>
      </c>
      <c r="CP97" s="1">
        <f>IF(CO97="","",CO97/CL$2/3)</f>
        <v/>
      </c>
      <c r="CQ97" s="1">
        <f>IF(CO97="","", 100*_xlfn.STDEV.P(CO96:CO97)/AVERAGE(CO96:CO97))</f>
        <v/>
      </c>
      <c r="CR97" s="8">
        <f t="array" ref="CR97">IF(CO97="","", IFERROR(((IF(CO$5&lt;&gt;"", CO$5*CG$5, 0) + SUMPRODUCT(--(CO$6:CO97&lt;&gt;""), CO$6:CO97, (CG$6:CG97-CG$5:CG96)))/1000), ""))</f>
        <v/>
      </c>
    </row>
    <row r="98">
      <c r="A98" s="1">
        <f>A97+20</f>
        <v/>
      </c>
      <c r="B98" s="1">
        <f>C97</f>
        <v/>
      </c>
      <c r="E98" t="inlineStr">
        <is>
          <t>60mL/3s/30s</t>
        </is>
      </c>
      <c r="I98" s="1">
        <f>IF(C98="", "", (B98-C98)*1000/(A98-A97))</f>
        <v/>
      </c>
      <c r="J98" s="1">
        <f>IF(I98="","",I98/F$2/3)</f>
        <v/>
      </c>
      <c r="K98" s="1">
        <f>IF(I98="","", 100*_xlfn.STDEV.P(I97:I98)/AVERAGE(I97:I98))</f>
        <v/>
      </c>
      <c r="L98" s="8">
        <f t="array" ref="L98">IF(I98="","", IFERROR(((IF(I$5&lt;&gt;"", I$5*A$5, 0) + SUMPRODUCT(--(I$6:I98&lt;&gt;""), I$6:I98, (A$6:A98-A$5:A97)))/1000), ""))</f>
        <v/>
      </c>
      <c r="M98" s="1">
        <f>M97+20</f>
        <v/>
      </c>
      <c r="N98" s="1">
        <f>O97</f>
        <v/>
      </c>
      <c r="Q98" t="inlineStr">
        <is>
          <t>60mL/3s/30s</t>
        </is>
      </c>
      <c r="U98" s="1">
        <f>IF(O98="", "", (N98-O98)*1000/(M98-M97))</f>
        <v/>
      </c>
      <c r="V98" s="1">
        <f>IF(U98="","",U98/R$2/3)</f>
        <v/>
      </c>
      <c r="W98" s="1">
        <f>IF(U98="","", 100*_xlfn.STDEV.P(U97:U98)/AVERAGE(U97:U98))</f>
        <v/>
      </c>
      <c r="X98" s="8">
        <f t="array" ref="X98">IF(U98="","", IFERROR(((IF(U$5&lt;&gt;"", U$5*M$5, 0) + SUMPRODUCT(--(U$6:U98&lt;&gt;""), U$6:U98, (M$6:M98-M$5:M97)))/1000), ""))</f>
        <v/>
      </c>
      <c r="Y98" s="1">
        <f>Y97+20</f>
        <v/>
      </c>
      <c r="Z98" s="1">
        <f>AA97</f>
        <v/>
      </c>
      <c r="AC98" t="inlineStr">
        <is>
          <t>60mL/3s/30s</t>
        </is>
      </c>
      <c r="AG98" s="1">
        <f>IF(AA98="", "", (Z98-AA98)*1000/(Y98-Y97))</f>
        <v/>
      </c>
      <c r="AH98" s="1">
        <f>IF(AG98="","",AG98/AD$2/3)</f>
        <v/>
      </c>
      <c r="AI98" s="1">
        <f>IF(AG98="","", 100*_xlfn.STDEV.P(AG97:AG98)/AVERAGE(AG97:AG98))</f>
        <v/>
      </c>
      <c r="AJ98" s="8">
        <f t="array" ref="AJ98">IF(AG98="","", IFERROR(((IF(AG$5&lt;&gt;"", AG$5*Y$5, 0) + SUMPRODUCT(--(AG$6:AG98&lt;&gt;""), AG$6:AG98, (Y$6:Y98-Y$5:Y97)))/1000), ""))</f>
        <v/>
      </c>
      <c r="AK98" s="1">
        <f>AK97+20</f>
        <v/>
      </c>
      <c r="AL98" s="1">
        <f>AM97</f>
        <v/>
      </c>
      <c r="AO98" t="inlineStr">
        <is>
          <t>60mL/3s/30s</t>
        </is>
      </c>
      <c r="AS98" s="1">
        <f>IF(AM98="", "", (AL98-AM98)*1000/(AK98-AK97))</f>
        <v/>
      </c>
      <c r="AT98" s="1">
        <f>IF(AS98="","",AS98/AP$2/3)</f>
        <v/>
      </c>
      <c r="AU98" s="1">
        <f>IF(AS98="","", 100*_xlfn.STDEV.P(AS97:AS98)/AVERAGE(AS97:AS98))</f>
        <v/>
      </c>
      <c r="AV98" s="8">
        <f t="array" ref="AV98">IF(AS98="","", IFERROR(((IF(AS$5&lt;&gt;"", AS$5*AK$5, 0) + SUMPRODUCT(--(AS$6:AS98&lt;&gt;""), AS$6:AS98, (AK$6:AK98-AK$5:AK97)))/1000), ""))</f>
        <v/>
      </c>
      <c r="AW98" s="1">
        <f>AW97+20</f>
        <v/>
      </c>
      <c r="AX98" s="1">
        <f>AY97</f>
        <v/>
      </c>
      <c r="BA98" t="inlineStr">
        <is>
          <t>60mL/3s/30s</t>
        </is>
      </c>
      <c r="BE98" s="1">
        <f>IF(AY98="", "", (AX98-AY98)*1000/(AW98-AW97))</f>
        <v/>
      </c>
      <c r="BF98" s="1">
        <f>IF(BE98="","",BE98/BB$2/3)</f>
        <v/>
      </c>
      <c r="BG98" s="1">
        <f>IF(BE98="","", 100*_xlfn.STDEV.P(BE97:BE98)/AVERAGE(BE97:BE98))</f>
        <v/>
      </c>
      <c r="BH98" s="8">
        <f t="array" ref="BH98">IF(BE98="","", IFERROR(((IF(BE$5&lt;&gt;"", BE$5*AW$5, 0) + SUMPRODUCT(--(BE$6:BE98&lt;&gt;""), BE$6:BE98, (AW$6:AW98-AW$5:AW97)))/1000), ""))</f>
        <v/>
      </c>
      <c r="BI98" s="1">
        <f>BI97+20</f>
        <v/>
      </c>
      <c r="BJ98" s="1">
        <f>BK97</f>
        <v/>
      </c>
      <c r="BM98" t="inlineStr">
        <is>
          <t>60mL/3s/30s</t>
        </is>
      </c>
      <c r="BQ98" s="1">
        <f>IF(BK98="", "", (BJ98-BK98)*1000/(BI98-BI97))</f>
        <v/>
      </c>
      <c r="BR98" s="1">
        <f>IF(BQ98="","",BQ98/BN$2/3)</f>
        <v/>
      </c>
      <c r="BS98" s="1">
        <f>IF(BQ98="","", 100*_xlfn.STDEV.P(BQ97:BQ98)/AVERAGE(BQ97:BQ98))</f>
        <v/>
      </c>
      <c r="BT98" s="8">
        <f t="array" ref="BT98">IF(BQ98="","", IFERROR(((IF(BQ$5&lt;&gt;"", BQ$5*BI$5, 0) + SUMPRODUCT(--(BQ$6:BQ98&lt;&gt;""), BQ$6:BQ98, (BI$6:BI98-BI$5:BI97)))/1000), ""))</f>
        <v/>
      </c>
      <c r="BU98" s="1">
        <f>BU97+20</f>
        <v/>
      </c>
      <c r="BV98" s="1">
        <f>BW97</f>
        <v/>
      </c>
      <c r="BY98" t="inlineStr">
        <is>
          <t>60mL/3s/30s</t>
        </is>
      </c>
      <c r="CC98" s="1">
        <f>IF(BW98="", "", (BV98-BW98)*1000/(BU98-BU97))</f>
        <v/>
      </c>
      <c r="CD98" s="1">
        <f>IF(CC98="","",CC98/BZ$2/3)</f>
        <v/>
      </c>
      <c r="CE98" s="1">
        <f>IF(CC98="","", 100*_xlfn.STDEV.P(CC97:CC98)/AVERAGE(CC97:CC98))</f>
        <v/>
      </c>
      <c r="CF98" s="8">
        <f t="array" ref="CF98">IF(CC98="","", IFERROR(((IF(CC$5&lt;&gt;"", CC$5*BU$5, 0) + SUMPRODUCT(--(CC$6:CC98&lt;&gt;""), CC$6:CC98, (BU$6:BU98-BU$5:BU97)))/1000), ""))</f>
        <v/>
      </c>
      <c r="CG98" s="1">
        <f>CG97+20</f>
        <v/>
      </c>
      <c r="CH98" s="1">
        <f>CI97</f>
        <v/>
      </c>
      <c r="CK98" t="inlineStr">
        <is>
          <t>60mL/3s/30s</t>
        </is>
      </c>
      <c r="CO98" s="1">
        <f>IF(CI98="", "", (CH98-CI98)*1000/(CG98-CG97))</f>
        <v/>
      </c>
      <c r="CP98" s="1">
        <f>IF(CO98="","",CO98/CL$2/3)</f>
        <v/>
      </c>
      <c r="CQ98" s="1">
        <f>IF(CO98="","", 100*_xlfn.STDEV.P(CO97:CO98)/AVERAGE(CO97:CO98))</f>
        <v/>
      </c>
      <c r="CR98" s="8">
        <f t="array" ref="CR98">IF(CO98="","", IFERROR(((IF(CO$5&lt;&gt;"", CO$5*CG$5, 0) + SUMPRODUCT(--(CO$6:CO98&lt;&gt;""), CO$6:CO98, (CG$6:CG98-CG$5:CG97)))/1000), ""))</f>
        <v/>
      </c>
    </row>
    <row r="99">
      <c r="A99" s="1">
        <f>A98+20</f>
        <v/>
      </c>
      <c r="B99" s="1">
        <f>C98</f>
        <v/>
      </c>
      <c r="E99" t="inlineStr">
        <is>
          <t>60mL/3s/30s</t>
        </is>
      </c>
      <c r="I99" s="1">
        <f>IF(C99="", "", (B99-C99)*1000/(A99-A98))</f>
        <v/>
      </c>
      <c r="J99" s="1">
        <f>IF(I99="","",I99/F$2/3)</f>
        <v/>
      </c>
      <c r="K99" s="1">
        <f>IF(I99="","", 100*_xlfn.STDEV.P(I98:I99)/AVERAGE(I98:I99))</f>
        <v/>
      </c>
      <c r="L99" s="8">
        <f t="array" ref="L99">IF(I99="","", IFERROR(((IF(I$5&lt;&gt;"", I$5*A$5, 0) + SUMPRODUCT(--(I$6:I99&lt;&gt;""), I$6:I99, (A$6:A99-A$5:A98)))/1000), ""))</f>
        <v/>
      </c>
      <c r="M99" s="1">
        <f>M98+20</f>
        <v/>
      </c>
      <c r="N99" s="1">
        <f>O98</f>
        <v/>
      </c>
      <c r="Q99" t="inlineStr">
        <is>
          <t>60mL/3s/30s</t>
        </is>
      </c>
      <c r="U99" s="1">
        <f>IF(O99="", "", (N99-O99)*1000/(M99-M98))</f>
        <v/>
      </c>
      <c r="V99" s="1">
        <f>IF(U99="","",U99/R$2/3)</f>
        <v/>
      </c>
      <c r="W99" s="1">
        <f>IF(U99="","", 100*_xlfn.STDEV.P(U98:U99)/AVERAGE(U98:U99))</f>
        <v/>
      </c>
      <c r="X99" s="8">
        <f t="array" ref="X99">IF(U99="","", IFERROR(((IF(U$5&lt;&gt;"", U$5*M$5, 0) + SUMPRODUCT(--(U$6:U99&lt;&gt;""), U$6:U99, (M$6:M99-M$5:M98)))/1000), ""))</f>
        <v/>
      </c>
      <c r="Y99" s="1">
        <f>Y98+20</f>
        <v/>
      </c>
      <c r="Z99" s="1">
        <f>AA98</f>
        <v/>
      </c>
      <c r="AC99" t="inlineStr">
        <is>
          <t>60mL/3s/30s</t>
        </is>
      </c>
      <c r="AG99" s="1">
        <f>IF(AA99="", "", (Z99-AA99)*1000/(Y99-Y98))</f>
        <v/>
      </c>
      <c r="AH99" s="1">
        <f>IF(AG99="","",AG99/AD$2/3)</f>
        <v/>
      </c>
      <c r="AI99" s="1">
        <f>IF(AG99="","", 100*_xlfn.STDEV.P(AG98:AG99)/AVERAGE(AG98:AG99))</f>
        <v/>
      </c>
      <c r="AJ99" s="8">
        <f t="array" ref="AJ99">IF(AG99="","", IFERROR(((IF(AG$5&lt;&gt;"", AG$5*Y$5, 0) + SUMPRODUCT(--(AG$6:AG99&lt;&gt;""), AG$6:AG99, (Y$6:Y99-Y$5:Y98)))/1000), ""))</f>
        <v/>
      </c>
      <c r="AK99" s="1">
        <f>AK98+20</f>
        <v/>
      </c>
      <c r="AL99" s="1">
        <f>AM98</f>
        <v/>
      </c>
      <c r="AO99" t="inlineStr">
        <is>
          <t>60mL/3s/30s</t>
        </is>
      </c>
      <c r="AS99" s="1">
        <f>IF(AM99="", "", (AL99-AM99)*1000/(AK99-AK98))</f>
        <v/>
      </c>
      <c r="AT99" s="1">
        <f>IF(AS99="","",AS99/AP$2/3)</f>
        <v/>
      </c>
      <c r="AU99" s="1">
        <f>IF(AS99="","", 100*_xlfn.STDEV.P(AS98:AS99)/AVERAGE(AS98:AS99))</f>
        <v/>
      </c>
      <c r="AV99" s="8">
        <f t="array" ref="AV99">IF(AS99="","", IFERROR(((IF(AS$5&lt;&gt;"", AS$5*AK$5, 0) + SUMPRODUCT(--(AS$6:AS99&lt;&gt;""), AS$6:AS99, (AK$6:AK99-AK$5:AK98)))/1000), ""))</f>
        <v/>
      </c>
      <c r="AW99" s="1">
        <f>AW98+20</f>
        <v/>
      </c>
      <c r="AX99" s="1">
        <f>AY98</f>
        <v/>
      </c>
      <c r="BA99" t="inlineStr">
        <is>
          <t>60mL/3s/30s</t>
        </is>
      </c>
      <c r="BE99" s="1">
        <f>IF(AY99="", "", (AX99-AY99)*1000/(AW99-AW98))</f>
        <v/>
      </c>
      <c r="BF99" s="1">
        <f>IF(BE99="","",BE99/BB$2/3)</f>
        <v/>
      </c>
      <c r="BG99" s="1">
        <f>IF(BE99="","", 100*_xlfn.STDEV.P(BE98:BE99)/AVERAGE(BE98:BE99))</f>
        <v/>
      </c>
      <c r="BH99" s="8">
        <f t="array" ref="BH99">IF(BE99="","", IFERROR(((IF(BE$5&lt;&gt;"", BE$5*AW$5, 0) + SUMPRODUCT(--(BE$6:BE99&lt;&gt;""), BE$6:BE99, (AW$6:AW99-AW$5:AW98)))/1000), ""))</f>
        <v/>
      </c>
      <c r="BI99" s="1">
        <f>BI98+20</f>
        <v/>
      </c>
      <c r="BJ99" s="1">
        <f>BK98</f>
        <v/>
      </c>
      <c r="BM99" t="inlineStr">
        <is>
          <t>60mL/3s/30s</t>
        </is>
      </c>
      <c r="BQ99" s="1">
        <f>IF(BK99="", "", (BJ99-BK99)*1000/(BI99-BI98))</f>
        <v/>
      </c>
      <c r="BR99" s="1">
        <f>IF(BQ99="","",BQ99/BN$2/3)</f>
        <v/>
      </c>
      <c r="BS99" s="1">
        <f>IF(BQ99="","", 100*_xlfn.STDEV.P(BQ98:BQ99)/AVERAGE(BQ98:BQ99))</f>
        <v/>
      </c>
      <c r="BT99" s="8">
        <f t="array" ref="BT99">IF(BQ99="","", IFERROR(((IF(BQ$5&lt;&gt;"", BQ$5*BI$5, 0) + SUMPRODUCT(--(BQ$6:BQ99&lt;&gt;""), BQ$6:BQ99, (BI$6:BI99-BI$5:BI98)))/1000), ""))</f>
        <v/>
      </c>
      <c r="BU99" s="1">
        <f>BU98+20</f>
        <v/>
      </c>
      <c r="BV99" s="1">
        <f>BW98</f>
        <v/>
      </c>
      <c r="BY99" t="inlineStr">
        <is>
          <t>60mL/3s/30s</t>
        </is>
      </c>
      <c r="CC99" s="1">
        <f>IF(BW99="", "", (BV99-BW99)*1000/(BU99-BU98))</f>
        <v/>
      </c>
      <c r="CD99" s="1">
        <f>IF(CC99="","",CC99/BZ$2/3)</f>
        <v/>
      </c>
      <c r="CE99" s="1">
        <f>IF(CC99="","", 100*_xlfn.STDEV.P(CC98:CC99)/AVERAGE(CC98:CC99))</f>
        <v/>
      </c>
      <c r="CF99" s="8">
        <f t="array" ref="CF99">IF(CC99="","", IFERROR(((IF(CC$5&lt;&gt;"", CC$5*BU$5, 0) + SUMPRODUCT(--(CC$6:CC99&lt;&gt;""), CC$6:CC99, (BU$6:BU99-BU$5:BU98)))/1000), ""))</f>
        <v/>
      </c>
      <c r="CG99" s="1">
        <f>CG98+20</f>
        <v/>
      </c>
      <c r="CH99" s="1">
        <f>CI98</f>
        <v/>
      </c>
      <c r="CK99" t="inlineStr">
        <is>
          <t>60mL/3s/30s</t>
        </is>
      </c>
      <c r="CO99" s="1">
        <f>IF(CI99="", "", (CH99-CI99)*1000/(CG99-CG98))</f>
        <v/>
      </c>
      <c r="CP99" s="1">
        <f>IF(CO99="","",CO99/CL$2/3)</f>
        <v/>
      </c>
      <c r="CQ99" s="1">
        <f>IF(CO99="","", 100*_xlfn.STDEV.P(CO98:CO99)/AVERAGE(CO98:CO99))</f>
        <v/>
      </c>
      <c r="CR99" s="8">
        <f t="array" ref="CR99">IF(CO99="","", IFERROR(((IF(CO$5&lt;&gt;"", CO$5*CG$5, 0) + SUMPRODUCT(--(CO$6:CO99&lt;&gt;""), CO$6:CO99, (CG$6:CG99-CG$5:CG98)))/1000), ""))</f>
        <v/>
      </c>
    </row>
    <row r="100">
      <c r="A100" s="1">
        <f>A99+20</f>
        <v/>
      </c>
      <c r="B100" s="1">
        <f>C99</f>
        <v/>
      </c>
      <c r="E100" t="inlineStr">
        <is>
          <t>60mL/3s/30s</t>
        </is>
      </c>
      <c r="I100" s="1">
        <f>IF(C100="", "", (B100-C100)*1000/(A100-A99))</f>
        <v/>
      </c>
      <c r="J100" s="1">
        <f>IF(I100="","",I100/F$2/3)</f>
        <v/>
      </c>
      <c r="K100" s="1">
        <f>IF(I100="","", 100*_xlfn.STDEV.P(I99:I100)/AVERAGE(I99:I100))</f>
        <v/>
      </c>
      <c r="L100" s="8">
        <f t="array" ref="L100">IF(I100="","", IFERROR(((IF(I$5&lt;&gt;"", I$5*A$5, 0) + SUMPRODUCT(--(I$6:I100&lt;&gt;""), I$6:I100, (A$6:A100-A$5:A99)))/1000), ""))</f>
        <v/>
      </c>
      <c r="M100" s="1">
        <f>M99+20</f>
        <v/>
      </c>
      <c r="N100" s="1">
        <f>O99</f>
        <v/>
      </c>
      <c r="Q100" t="inlineStr">
        <is>
          <t>60mL/3s/30s</t>
        </is>
      </c>
      <c r="U100" s="1">
        <f>IF(O100="", "", (N100-O100)*1000/(M100-M99))</f>
        <v/>
      </c>
      <c r="V100" s="1">
        <f>IF(U100="","",U100/R$2/3)</f>
        <v/>
      </c>
      <c r="W100" s="1">
        <f>IF(U100="","", 100*_xlfn.STDEV.P(U99:U100)/AVERAGE(U99:U100))</f>
        <v/>
      </c>
      <c r="X100" s="8">
        <f t="array" ref="X100">IF(U100="","", IFERROR(((IF(U$5&lt;&gt;"", U$5*M$5, 0) + SUMPRODUCT(--(U$6:U100&lt;&gt;""), U$6:U100, (M$6:M100-M$5:M99)))/1000), ""))</f>
        <v/>
      </c>
      <c r="Y100" s="1">
        <f>Y99+20</f>
        <v/>
      </c>
      <c r="Z100" s="1">
        <f>AA99</f>
        <v/>
      </c>
      <c r="AC100" t="inlineStr">
        <is>
          <t>60mL/3s/30s</t>
        </is>
      </c>
      <c r="AG100" s="1">
        <f>IF(AA100="", "", (Z100-AA100)*1000/(Y100-Y99))</f>
        <v/>
      </c>
      <c r="AH100" s="1">
        <f>IF(AG100="","",AG100/AD$2/3)</f>
        <v/>
      </c>
      <c r="AI100" s="1">
        <f>IF(AG100="","", 100*_xlfn.STDEV.P(AG99:AG100)/AVERAGE(AG99:AG100))</f>
        <v/>
      </c>
      <c r="AJ100" s="8">
        <f t="array" ref="AJ100">IF(AG100="","", IFERROR(((IF(AG$5&lt;&gt;"", AG$5*Y$5, 0) + SUMPRODUCT(--(AG$6:AG100&lt;&gt;""), AG$6:AG100, (Y$6:Y100-Y$5:Y99)))/1000), ""))</f>
        <v/>
      </c>
      <c r="AK100" s="1">
        <f>AK99+20</f>
        <v/>
      </c>
      <c r="AL100" s="1">
        <f>AM99</f>
        <v/>
      </c>
      <c r="AO100" t="inlineStr">
        <is>
          <t>60mL/3s/30s</t>
        </is>
      </c>
      <c r="AS100" s="1">
        <f>IF(AM100="", "", (AL100-AM100)*1000/(AK100-AK99))</f>
        <v/>
      </c>
      <c r="AT100" s="1">
        <f>IF(AS100="","",AS100/AP$2/3)</f>
        <v/>
      </c>
      <c r="AU100" s="1">
        <f>IF(AS100="","", 100*_xlfn.STDEV.P(AS99:AS100)/AVERAGE(AS99:AS100))</f>
        <v/>
      </c>
      <c r="AV100" s="8">
        <f t="array" ref="AV100">IF(AS100="","", IFERROR(((IF(AS$5&lt;&gt;"", AS$5*AK$5, 0) + SUMPRODUCT(--(AS$6:AS100&lt;&gt;""), AS$6:AS100, (AK$6:AK100-AK$5:AK99)))/1000), ""))</f>
        <v/>
      </c>
      <c r="AW100" s="1">
        <f>AW99+20</f>
        <v/>
      </c>
      <c r="AX100" s="1">
        <f>AY99</f>
        <v/>
      </c>
      <c r="BA100" t="inlineStr">
        <is>
          <t>60mL/3s/30s</t>
        </is>
      </c>
      <c r="BE100" s="1">
        <f>IF(AY100="", "", (AX100-AY100)*1000/(AW100-AW99))</f>
        <v/>
      </c>
      <c r="BF100" s="1">
        <f>IF(BE100="","",BE100/BB$2/3)</f>
        <v/>
      </c>
      <c r="BG100" s="1">
        <f>IF(BE100="","", 100*_xlfn.STDEV.P(BE99:BE100)/AVERAGE(BE99:BE100))</f>
        <v/>
      </c>
      <c r="BH100" s="8">
        <f t="array" ref="BH100">IF(BE100="","", IFERROR(((IF(BE$5&lt;&gt;"", BE$5*AW$5, 0) + SUMPRODUCT(--(BE$6:BE100&lt;&gt;""), BE$6:BE100, (AW$6:AW100-AW$5:AW99)))/1000), ""))</f>
        <v/>
      </c>
      <c r="BI100" s="1">
        <f>BI99+20</f>
        <v/>
      </c>
      <c r="BJ100" s="1">
        <f>BK99</f>
        <v/>
      </c>
      <c r="BM100" t="inlineStr">
        <is>
          <t>60mL/3s/30s</t>
        </is>
      </c>
      <c r="BQ100" s="1">
        <f>IF(BK100="", "", (BJ100-BK100)*1000/(BI100-BI99))</f>
        <v/>
      </c>
      <c r="BR100" s="1">
        <f>IF(BQ100="","",BQ100/BN$2/3)</f>
        <v/>
      </c>
      <c r="BS100" s="1">
        <f>IF(BQ100="","", 100*_xlfn.STDEV.P(BQ99:BQ100)/AVERAGE(BQ99:BQ100))</f>
        <v/>
      </c>
      <c r="BT100" s="8">
        <f t="array" ref="BT100">IF(BQ100="","", IFERROR(((IF(BQ$5&lt;&gt;"", BQ$5*BI$5, 0) + SUMPRODUCT(--(BQ$6:BQ100&lt;&gt;""), BQ$6:BQ100, (BI$6:BI100-BI$5:BI99)))/1000), ""))</f>
        <v/>
      </c>
      <c r="BU100" s="1">
        <f>BU99+20</f>
        <v/>
      </c>
      <c r="BV100" s="1">
        <f>BW99</f>
        <v/>
      </c>
      <c r="BY100" t="inlineStr">
        <is>
          <t>60mL/3s/30s</t>
        </is>
      </c>
      <c r="CC100" s="1">
        <f>IF(BW100="", "", (BV100-BW100)*1000/(BU100-BU99))</f>
        <v/>
      </c>
      <c r="CD100" s="1">
        <f>IF(CC100="","",CC100/BZ$2/3)</f>
        <v/>
      </c>
      <c r="CE100" s="1">
        <f>IF(CC100="","", 100*_xlfn.STDEV.P(CC99:CC100)/AVERAGE(CC99:CC100))</f>
        <v/>
      </c>
      <c r="CF100" s="8">
        <f t="array" ref="CF100">IF(CC100="","", IFERROR(((IF(CC$5&lt;&gt;"", CC$5*BU$5, 0) + SUMPRODUCT(--(CC$6:CC100&lt;&gt;""), CC$6:CC100, (BU$6:BU100-BU$5:BU99)))/1000), ""))</f>
        <v/>
      </c>
      <c r="CG100" s="1">
        <f>CG99+20</f>
        <v/>
      </c>
      <c r="CH100" s="1">
        <f>CI99</f>
        <v/>
      </c>
      <c r="CK100" t="inlineStr">
        <is>
          <t>60mL/3s/30s</t>
        </is>
      </c>
      <c r="CO100" s="1">
        <f>IF(CI100="", "", (CH100-CI100)*1000/(CG100-CG99))</f>
        <v/>
      </c>
      <c r="CP100" s="1">
        <f>IF(CO100="","",CO100/CL$2/3)</f>
        <v/>
      </c>
      <c r="CQ100" s="1">
        <f>IF(CO100="","", 100*_xlfn.STDEV.P(CO99:CO100)/AVERAGE(CO99:CO100))</f>
        <v/>
      </c>
      <c r="CR100" s="8">
        <f t="array" ref="CR100">IF(CO100="","", IFERROR(((IF(CO$5&lt;&gt;"", CO$5*CG$5, 0) + SUMPRODUCT(--(CO$6:CO100&lt;&gt;""), CO$6:CO100, (CG$6:CG100-CG$5:CG99)))/1000), ""))</f>
        <v/>
      </c>
    </row>
    <row r="101">
      <c r="A101" s="1">
        <f>A100+20</f>
        <v/>
      </c>
      <c r="B101" s="1">
        <f>C100</f>
        <v/>
      </c>
      <c r="E101" t="inlineStr">
        <is>
          <t>60mL/3s/30s</t>
        </is>
      </c>
      <c r="I101" s="1">
        <f>IF(C101="", "", (B101-C101)*1000/(A101-A100))</f>
        <v/>
      </c>
      <c r="J101" s="1">
        <f>IF(I101="","",I101/F$2/3)</f>
        <v/>
      </c>
      <c r="K101" s="1">
        <f>IF(I101="","", 100*_xlfn.STDEV.P(I100:I101)/AVERAGE(I100:I101))</f>
        <v/>
      </c>
      <c r="L101" s="8">
        <f t="array" ref="L101">IF(I101="","", IFERROR(((IF(I$5&lt;&gt;"", I$5*A$5, 0) + SUMPRODUCT(--(I$6:I101&lt;&gt;""), I$6:I101, (A$6:A101-A$5:A100)))/1000), ""))</f>
        <v/>
      </c>
      <c r="M101" s="1">
        <f>M100+20</f>
        <v/>
      </c>
      <c r="N101" s="1">
        <f>O100</f>
        <v/>
      </c>
      <c r="Q101" t="inlineStr">
        <is>
          <t>60mL/3s/30s</t>
        </is>
      </c>
      <c r="U101" s="1">
        <f>IF(O101="", "", (N101-O101)*1000/(M101-M100))</f>
        <v/>
      </c>
      <c r="V101" s="1">
        <f>IF(U101="","",U101/R$2/3)</f>
        <v/>
      </c>
      <c r="W101" s="1">
        <f>IF(U101="","", 100*_xlfn.STDEV.P(U100:U101)/AVERAGE(U100:U101))</f>
        <v/>
      </c>
      <c r="X101" s="8">
        <f t="array" ref="X101">IF(U101="","", IFERROR(((IF(U$5&lt;&gt;"", U$5*M$5, 0) + SUMPRODUCT(--(U$6:U101&lt;&gt;""), U$6:U101, (M$6:M101-M$5:M100)))/1000), ""))</f>
        <v/>
      </c>
      <c r="Y101" s="1">
        <f>Y100+20</f>
        <v/>
      </c>
      <c r="Z101" s="1">
        <f>AA100</f>
        <v/>
      </c>
      <c r="AC101" t="inlineStr">
        <is>
          <t>60mL/3s/30s</t>
        </is>
      </c>
      <c r="AG101" s="1">
        <f>IF(AA101="", "", (Z101-AA101)*1000/(Y101-Y100))</f>
        <v/>
      </c>
      <c r="AH101" s="1">
        <f>IF(AG101="","",AG101/AD$2/3)</f>
        <v/>
      </c>
      <c r="AI101" s="1">
        <f>IF(AG101="","", 100*_xlfn.STDEV.P(AG100:AG101)/AVERAGE(AG100:AG101))</f>
        <v/>
      </c>
      <c r="AJ101" s="8">
        <f t="array" ref="AJ101">IF(AG101="","", IFERROR(((IF(AG$5&lt;&gt;"", AG$5*Y$5, 0) + SUMPRODUCT(--(AG$6:AG101&lt;&gt;""), AG$6:AG101, (Y$6:Y101-Y$5:Y100)))/1000), ""))</f>
        <v/>
      </c>
      <c r="AK101" s="1">
        <f>AK100+20</f>
        <v/>
      </c>
      <c r="AL101" s="1">
        <f>AM100</f>
        <v/>
      </c>
      <c r="AO101" t="inlineStr">
        <is>
          <t>60mL/3s/30s</t>
        </is>
      </c>
      <c r="AS101" s="1">
        <f>IF(AM101="", "", (AL101-AM101)*1000/(AK101-AK100))</f>
        <v/>
      </c>
      <c r="AT101" s="1">
        <f>IF(AS101="","",AS101/AP$2/3)</f>
        <v/>
      </c>
      <c r="AU101" s="1">
        <f>IF(AS101="","", 100*_xlfn.STDEV.P(AS100:AS101)/AVERAGE(AS100:AS101))</f>
        <v/>
      </c>
      <c r="AV101" s="8">
        <f t="array" ref="AV101">IF(AS101="","", IFERROR(((IF(AS$5&lt;&gt;"", AS$5*AK$5, 0) + SUMPRODUCT(--(AS$6:AS101&lt;&gt;""), AS$6:AS101, (AK$6:AK101-AK$5:AK100)))/1000), ""))</f>
        <v/>
      </c>
      <c r="AW101" s="1">
        <f>AW100+20</f>
        <v/>
      </c>
      <c r="AX101" s="1">
        <f>AY100</f>
        <v/>
      </c>
      <c r="BA101" t="inlineStr">
        <is>
          <t>60mL/3s/30s</t>
        </is>
      </c>
      <c r="BE101" s="1">
        <f>IF(AY101="", "", (AX101-AY101)*1000/(AW101-AW100))</f>
        <v/>
      </c>
      <c r="BF101" s="1">
        <f>IF(BE101="","",BE101/BB$2/3)</f>
        <v/>
      </c>
      <c r="BG101" s="1">
        <f>IF(BE101="","", 100*_xlfn.STDEV.P(BE100:BE101)/AVERAGE(BE100:BE101))</f>
        <v/>
      </c>
      <c r="BH101" s="8">
        <f t="array" ref="BH101">IF(BE101="","", IFERROR(((IF(BE$5&lt;&gt;"", BE$5*AW$5, 0) + SUMPRODUCT(--(BE$6:BE101&lt;&gt;""), BE$6:BE101, (AW$6:AW101-AW$5:AW100)))/1000), ""))</f>
        <v/>
      </c>
      <c r="BI101" s="1">
        <f>BI100+20</f>
        <v/>
      </c>
      <c r="BJ101" s="1">
        <f>BK100</f>
        <v/>
      </c>
      <c r="BM101" t="inlineStr">
        <is>
          <t>60mL/3s/30s</t>
        </is>
      </c>
      <c r="BQ101" s="1">
        <f>IF(BK101="", "", (BJ101-BK101)*1000/(BI101-BI100))</f>
        <v/>
      </c>
      <c r="BR101" s="1">
        <f>IF(BQ101="","",BQ101/BN$2/3)</f>
        <v/>
      </c>
      <c r="BS101" s="1">
        <f>IF(BQ101="","", 100*_xlfn.STDEV.P(BQ100:BQ101)/AVERAGE(BQ100:BQ101))</f>
        <v/>
      </c>
      <c r="BT101" s="8">
        <f t="array" ref="BT101">IF(BQ101="","", IFERROR(((IF(BQ$5&lt;&gt;"", BQ$5*BI$5, 0) + SUMPRODUCT(--(BQ$6:BQ101&lt;&gt;""), BQ$6:BQ101, (BI$6:BI101-BI$5:BI100)))/1000), ""))</f>
        <v/>
      </c>
      <c r="BU101" s="1">
        <f>BU100+20</f>
        <v/>
      </c>
      <c r="BV101" s="1">
        <f>BW100</f>
        <v/>
      </c>
      <c r="BY101" t="inlineStr">
        <is>
          <t>60mL/3s/30s</t>
        </is>
      </c>
      <c r="CC101" s="1">
        <f>IF(BW101="", "", (BV101-BW101)*1000/(BU101-BU100))</f>
        <v/>
      </c>
      <c r="CD101" s="1">
        <f>IF(CC101="","",CC101/BZ$2/3)</f>
        <v/>
      </c>
      <c r="CE101" s="1">
        <f>IF(CC101="","", 100*_xlfn.STDEV.P(CC100:CC101)/AVERAGE(CC100:CC101))</f>
        <v/>
      </c>
      <c r="CF101" s="8">
        <f t="array" ref="CF101">IF(CC101="","", IFERROR(((IF(CC$5&lt;&gt;"", CC$5*BU$5, 0) + SUMPRODUCT(--(CC$6:CC101&lt;&gt;""), CC$6:CC101, (BU$6:BU101-BU$5:BU100)))/1000), ""))</f>
        <v/>
      </c>
      <c r="CG101" s="1">
        <f>CG100+20</f>
        <v/>
      </c>
      <c r="CH101" s="1">
        <f>CI100</f>
        <v/>
      </c>
      <c r="CK101" t="inlineStr">
        <is>
          <t>60mL/3s/30s</t>
        </is>
      </c>
      <c r="CO101" s="1">
        <f>IF(CI101="", "", (CH101-CI101)*1000/(CG101-CG100))</f>
        <v/>
      </c>
      <c r="CP101" s="1">
        <f>IF(CO101="","",CO101/CL$2/3)</f>
        <v/>
      </c>
      <c r="CQ101" s="1">
        <f>IF(CO101="","", 100*_xlfn.STDEV.P(CO100:CO101)/AVERAGE(CO100:CO101))</f>
        <v/>
      </c>
      <c r="CR101" s="8">
        <f t="array" ref="CR101">IF(CO101="","", IFERROR(((IF(CO$5&lt;&gt;"", CO$5*CG$5, 0) + SUMPRODUCT(--(CO$6:CO101&lt;&gt;""), CO$6:CO101, (CG$6:CG101-CG$5:CG100)))/1000), ""))</f>
        <v/>
      </c>
    </row>
    <row r="102">
      <c r="A102" s="1">
        <f>A101+20</f>
        <v/>
      </c>
      <c r="B102" s="1">
        <f>C101</f>
        <v/>
      </c>
      <c r="E102" t="inlineStr">
        <is>
          <t>60mL/3s/30s</t>
        </is>
      </c>
      <c r="I102" s="1">
        <f>IF(C102="", "", (B102-C102)*1000/(A102-A101))</f>
        <v/>
      </c>
      <c r="J102" s="1">
        <f>IF(I102="","",I102/F$2/3)</f>
        <v/>
      </c>
      <c r="K102" s="1">
        <f>IF(I102="","", 100*_xlfn.STDEV.P(I101:I102)/AVERAGE(I101:I102))</f>
        <v/>
      </c>
      <c r="L102" s="8">
        <f t="array" ref="L102">IF(I102="","", IFERROR(((IF(I$5&lt;&gt;"", I$5*A$5, 0) + SUMPRODUCT(--(I$6:I102&lt;&gt;""), I$6:I102, (A$6:A102-A$5:A101)))/1000), ""))</f>
        <v/>
      </c>
      <c r="M102" s="1">
        <f>M101+20</f>
        <v/>
      </c>
      <c r="N102" s="1">
        <f>O101</f>
        <v/>
      </c>
      <c r="Q102" t="inlineStr">
        <is>
          <t>60mL/3s/30s</t>
        </is>
      </c>
      <c r="U102" s="1">
        <f>IF(O102="", "", (N102-O102)*1000/(M102-M101))</f>
        <v/>
      </c>
      <c r="V102" s="1">
        <f>IF(U102="","",U102/R$2/3)</f>
        <v/>
      </c>
      <c r="W102" s="1">
        <f>IF(U102="","", 100*_xlfn.STDEV.P(U101:U102)/AVERAGE(U101:U102))</f>
        <v/>
      </c>
      <c r="X102" s="8">
        <f t="array" ref="X102">IF(U102="","", IFERROR(((IF(U$5&lt;&gt;"", U$5*M$5, 0) + SUMPRODUCT(--(U$6:U102&lt;&gt;""), U$6:U102, (M$6:M102-M$5:M101)))/1000), ""))</f>
        <v/>
      </c>
      <c r="Y102" s="1">
        <f>Y101+20</f>
        <v/>
      </c>
      <c r="Z102" s="1">
        <f>AA101</f>
        <v/>
      </c>
      <c r="AC102" t="inlineStr">
        <is>
          <t>60mL/3s/30s</t>
        </is>
      </c>
      <c r="AG102" s="1">
        <f>IF(AA102="", "", (Z102-AA102)*1000/(Y102-Y101))</f>
        <v/>
      </c>
      <c r="AH102" s="1">
        <f>IF(AG102="","",AG102/AD$2/3)</f>
        <v/>
      </c>
      <c r="AI102" s="1">
        <f>IF(AG102="","", 100*_xlfn.STDEV.P(AG101:AG102)/AVERAGE(AG101:AG102))</f>
        <v/>
      </c>
      <c r="AJ102" s="8">
        <f t="array" ref="AJ102">IF(AG102="","", IFERROR(((IF(AG$5&lt;&gt;"", AG$5*Y$5, 0) + SUMPRODUCT(--(AG$6:AG102&lt;&gt;""), AG$6:AG102, (Y$6:Y102-Y$5:Y101)))/1000), ""))</f>
        <v/>
      </c>
      <c r="AK102" s="1">
        <f>AK101+20</f>
        <v/>
      </c>
      <c r="AL102" s="1">
        <f>AM101</f>
        <v/>
      </c>
      <c r="AO102" t="inlineStr">
        <is>
          <t>60mL/3s/30s</t>
        </is>
      </c>
      <c r="AS102" s="1">
        <f>IF(AM102="", "", (AL102-AM102)*1000/(AK102-AK101))</f>
        <v/>
      </c>
      <c r="AT102" s="1">
        <f>IF(AS102="","",AS102/AP$2/3)</f>
        <v/>
      </c>
      <c r="AU102" s="1">
        <f>IF(AS102="","", 100*_xlfn.STDEV.P(AS101:AS102)/AVERAGE(AS101:AS102))</f>
        <v/>
      </c>
      <c r="AV102" s="8">
        <f t="array" ref="AV102">IF(AS102="","", IFERROR(((IF(AS$5&lt;&gt;"", AS$5*AK$5, 0) + SUMPRODUCT(--(AS$6:AS102&lt;&gt;""), AS$6:AS102, (AK$6:AK102-AK$5:AK101)))/1000), ""))</f>
        <v/>
      </c>
      <c r="AW102" s="1">
        <f>AW101+20</f>
        <v/>
      </c>
      <c r="AX102" s="1">
        <f>AY101</f>
        <v/>
      </c>
      <c r="BA102" t="inlineStr">
        <is>
          <t>60mL/3s/30s</t>
        </is>
      </c>
      <c r="BE102" s="1">
        <f>IF(AY102="", "", (AX102-AY102)*1000/(AW102-AW101))</f>
        <v/>
      </c>
      <c r="BF102" s="1">
        <f>IF(BE102="","",BE102/BB$2/3)</f>
        <v/>
      </c>
      <c r="BG102" s="1">
        <f>IF(BE102="","", 100*_xlfn.STDEV.P(BE101:BE102)/AVERAGE(BE101:BE102))</f>
        <v/>
      </c>
      <c r="BH102" s="8">
        <f t="array" ref="BH102">IF(BE102="","", IFERROR(((IF(BE$5&lt;&gt;"", BE$5*AW$5, 0) + SUMPRODUCT(--(BE$6:BE102&lt;&gt;""), BE$6:BE102, (AW$6:AW102-AW$5:AW101)))/1000), ""))</f>
        <v/>
      </c>
      <c r="BI102" s="1">
        <f>BI101+20</f>
        <v/>
      </c>
      <c r="BJ102" s="1">
        <f>BK101</f>
        <v/>
      </c>
      <c r="BM102" t="inlineStr">
        <is>
          <t>60mL/3s/30s</t>
        </is>
      </c>
      <c r="BQ102" s="1">
        <f>IF(BK102="", "", (BJ102-BK102)*1000/(BI102-BI101))</f>
        <v/>
      </c>
      <c r="BR102" s="1">
        <f>IF(BQ102="","",BQ102/BN$2/3)</f>
        <v/>
      </c>
      <c r="BS102" s="1">
        <f>IF(BQ102="","", 100*_xlfn.STDEV.P(BQ101:BQ102)/AVERAGE(BQ101:BQ102))</f>
        <v/>
      </c>
      <c r="BT102" s="8">
        <f t="array" ref="BT102">IF(BQ102="","", IFERROR(((IF(BQ$5&lt;&gt;"", BQ$5*BI$5, 0) + SUMPRODUCT(--(BQ$6:BQ102&lt;&gt;""), BQ$6:BQ102, (BI$6:BI102-BI$5:BI101)))/1000), ""))</f>
        <v/>
      </c>
      <c r="BU102" s="1">
        <f>BU101+20</f>
        <v/>
      </c>
      <c r="BV102" s="1">
        <f>BW101</f>
        <v/>
      </c>
      <c r="BY102" t="inlineStr">
        <is>
          <t>60mL/3s/30s</t>
        </is>
      </c>
      <c r="CC102" s="1">
        <f>IF(BW102="", "", (BV102-BW102)*1000/(BU102-BU101))</f>
        <v/>
      </c>
      <c r="CD102" s="1">
        <f>IF(CC102="","",CC102/BZ$2/3)</f>
        <v/>
      </c>
      <c r="CE102" s="1">
        <f>IF(CC102="","", 100*_xlfn.STDEV.P(CC101:CC102)/AVERAGE(CC101:CC102))</f>
        <v/>
      </c>
      <c r="CF102" s="8">
        <f t="array" ref="CF102">IF(CC102="","", IFERROR(((IF(CC$5&lt;&gt;"", CC$5*BU$5, 0) + SUMPRODUCT(--(CC$6:CC102&lt;&gt;""), CC$6:CC102, (BU$6:BU102-BU$5:BU101)))/1000), ""))</f>
        <v/>
      </c>
      <c r="CG102" s="1">
        <f>CG101+20</f>
        <v/>
      </c>
      <c r="CH102" s="1">
        <f>CI101</f>
        <v/>
      </c>
      <c r="CK102" t="inlineStr">
        <is>
          <t>60mL/3s/30s</t>
        </is>
      </c>
      <c r="CO102" s="1">
        <f>IF(CI102="", "", (CH102-CI102)*1000/(CG102-CG101))</f>
        <v/>
      </c>
      <c r="CP102" s="1">
        <f>IF(CO102="","",CO102/CL$2/3)</f>
        <v/>
      </c>
      <c r="CQ102" s="1">
        <f>IF(CO102="","", 100*_xlfn.STDEV.P(CO101:CO102)/AVERAGE(CO101:CO102))</f>
        <v/>
      </c>
      <c r="CR102" s="8">
        <f t="array" ref="CR102">IF(CO102="","", IFERROR(((IF(CO$5&lt;&gt;"", CO$5*CG$5, 0) + SUMPRODUCT(--(CO$6:CO102&lt;&gt;""), CO$6:CO102, (CG$6:CG102-CG$5:CG101)))/1000), ""))</f>
        <v/>
      </c>
    </row>
    <row r="103">
      <c r="A103" s="1">
        <f>A102+20</f>
        <v/>
      </c>
      <c r="B103" s="1">
        <f>C102</f>
        <v/>
      </c>
      <c r="E103" t="inlineStr">
        <is>
          <t>60mL/3s/30s</t>
        </is>
      </c>
      <c r="I103" s="1">
        <f>IF(C103="", "", (B103-C103)*1000/(A103-A102))</f>
        <v/>
      </c>
      <c r="J103" s="1">
        <f>IF(I103="","",I103/F$2/3)</f>
        <v/>
      </c>
      <c r="K103" s="1">
        <f>IF(I103="","", 100*_xlfn.STDEV.P(I102:I103)/AVERAGE(I102:I103))</f>
        <v/>
      </c>
      <c r="L103" s="8">
        <f t="array" ref="L103">IF(I103="","", IFERROR(((IF(I$5&lt;&gt;"", I$5*A$5, 0) + SUMPRODUCT(--(I$6:I103&lt;&gt;""), I$6:I103, (A$6:A103-A$5:A102)))/1000), ""))</f>
        <v/>
      </c>
      <c r="M103" s="1">
        <f>M102+20</f>
        <v/>
      </c>
      <c r="N103" s="1">
        <f>O102</f>
        <v/>
      </c>
      <c r="Q103" t="inlineStr">
        <is>
          <t>60mL/3s/30s</t>
        </is>
      </c>
      <c r="U103" s="1">
        <f>IF(O103="", "", (N103-O103)*1000/(M103-M102))</f>
        <v/>
      </c>
      <c r="V103" s="1">
        <f>IF(U103="","",U103/R$2/3)</f>
        <v/>
      </c>
      <c r="W103" s="1">
        <f>IF(U103="","", 100*_xlfn.STDEV.P(U102:U103)/AVERAGE(U102:U103))</f>
        <v/>
      </c>
      <c r="X103" s="8">
        <f t="array" ref="X103">IF(U103="","", IFERROR(((IF(U$5&lt;&gt;"", U$5*M$5, 0) + SUMPRODUCT(--(U$6:U103&lt;&gt;""), U$6:U103, (M$6:M103-M$5:M102)))/1000), ""))</f>
        <v/>
      </c>
      <c r="Y103" s="1">
        <f>Y102+20</f>
        <v/>
      </c>
      <c r="Z103" s="1">
        <f>AA102</f>
        <v/>
      </c>
      <c r="AC103" t="inlineStr">
        <is>
          <t>60mL/3s/30s</t>
        </is>
      </c>
      <c r="AG103" s="1">
        <f>IF(AA103="", "", (Z103-AA103)*1000/(Y103-Y102))</f>
        <v/>
      </c>
      <c r="AH103" s="1">
        <f>IF(AG103="","",AG103/AD$2/3)</f>
        <v/>
      </c>
      <c r="AI103" s="1">
        <f>IF(AG103="","", 100*_xlfn.STDEV.P(AG102:AG103)/AVERAGE(AG102:AG103))</f>
        <v/>
      </c>
      <c r="AJ103" s="8">
        <f t="array" ref="AJ103">IF(AG103="","", IFERROR(((IF(AG$5&lt;&gt;"", AG$5*Y$5, 0) + SUMPRODUCT(--(AG$6:AG103&lt;&gt;""), AG$6:AG103, (Y$6:Y103-Y$5:Y102)))/1000), ""))</f>
        <v/>
      </c>
      <c r="AK103" s="1">
        <f>AK102+20</f>
        <v/>
      </c>
      <c r="AL103" s="1">
        <f>AM102</f>
        <v/>
      </c>
      <c r="AO103" t="inlineStr">
        <is>
          <t>60mL/3s/30s</t>
        </is>
      </c>
      <c r="AS103" s="1">
        <f>IF(AM103="", "", (AL103-AM103)*1000/(AK103-AK102))</f>
        <v/>
      </c>
      <c r="AT103" s="1">
        <f>IF(AS103="","",AS103/AP$2/3)</f>
        <v/>
      </c>
      <c r="AU103" s="1">
        <f>IF(AS103="","", 100*_xlfn.STDEV.P(AS102:AS103)/AVERAGE(AS102:AS103))</f>
        <v/>
      </c>
      <c r="AV103" s="8">
        <f t="array" ref="AV103">IF(AS103="","", IFERROR(((IF(AS$5&lt;&gt;"", AS$5*AK$5, 0) + SUMPRODUCT(--(AS$6:AS103&lt;&gt;""), AS$6:AS103, (AK$6:AK103-AK$5:AK102)))/1000), ""))</f>
        <v/>
      </c>
      <c r="AW103" s="1">
        <f>AW102+20</f>
        <v/>
      </c>
      <c r="AX103" s="1">
        <f>AY102</f>
        <v/>
      </c>
      <c r="BA103" t="inlineStr">
        <is>
          <t>60mL/3s/30s</t>
        </is>
      </c>
      <c r="BE103" s="1">
        <f>IF(AY103="", "", (AX103-AY103)*1000/(AW103-AW102))</f>
        <v/>
      </c>
      <c r="BF103" s="1">
        <f>IF(BE103="","",BE103/BB$2/3)</f>
        <v/>
      </c>
      <c r="BG103" s="1">
        <f>IF(BE103="","", 100*_xlfn.STDEV.P(BE102:BE103)/AVERAGE(BE102:BE103))</f>
        <v/>
      </c>
      <c r="BH103" s="8">
        <f t="array" ref="BH103">IF(BE103="","", IFERROR(((IF(BE$5&lt;&gt;"", BE$5*AW$5, 0) + SUMPRODUCT(--(BE$6:BE103&lt;&gt;""), BE$6:BE103, (AW$6:AW103-AW$5:AW102)))/1000), ""))</f>
        <v/>
      </c>
      <c r="BI103" s="1">
        <f>BI102+20</f>
        <v/>
      </c>
      <c r="BJ103" s="1">
        <f>BK102</f>
        <v/>
      </c>
      <c r="BM103" t="inlineStr">
        <is>
          <t>60mL/3s/30s</t>
        </is>
      </c>
      <c r="BQ103" s="1">
        <f>IF(BK103="", "", (BJ103-BK103)*1000/(BI103-BI102))</f>
        <v/>
      </c>
      <c r="BR103" s="1">
        <f>IF(BQ103="","",BQ103/BN$2/3)</f>
        <v/>
      </c>
      <c r="BS103" s="1">
        <f>IF(BQ103="","", 100*_xlfn.STDEV.P(BQ102:BQ103)/AVERAGE(BQ102:BQ103))</f>
        <v/>
      </c>
      <c r="BT103" s="8">
        <f t="array" ref="BT103">IF(BQ103="","", IFERROR(((IF(BQ$5&lt;&gt;"", BQ$5*BI$5, 0) + SUMPRODUCT(--(BQ$6:BQ103&lt;&gt;""), BQ$6:BQ103, (BI$6:BI103-BI$5:BI102)))/1000), ""))</f>
        <v/>
      </c>
      <c r="BU103" s="1">
        <f>BU102+20</f>
        <v/>
      </c>
      <c r="BV103" s="1">
        <f>BW102</f>
        <v/>
      </c>
      <c r="BY103" t="inlineStr">
        <is>
          <t>60mL/3s/30s</t>
        </is>
      </c>
      <c r="CC103" s="1">
        <f>IF(BW103="", "", (BV103-BW103)*1000/(BU103-BU102))</f>
        <v/>
      </c>
      <c r="CD103" s="1">
        <f>IF(CC103="","",CC103/BZ$2/3)</f>
        <v/>
      </c>
      <c r="CE103" s="1">
        <f>IF(CC103="","", 100*_xlfn.STDEV.P(CC102:CC103)/AVERAGE(CC102:CC103))</f>
        <v/>
      </c>
      <c r="CF103" s="8">
        <f t="array" ref="CF103">IF(CC103="","", IFERROR(((IF(CC$5&lt;&gt;"", CC$5*BU$5, 0) + SUMPRODUCT(--(CC$6:CC103&lt;&gt;""), CC$6:CC103, (BU$6:BU103-BU$5:BU102)))/1000), ""))</f>
        <v/>
      </c>
      <c r="CG103" s="1">
        <f>CG102+20</f>
        <v/>
      </c>
      <c r="CH103" s="1">
        <f>CI102</f>
        <v/>
      </c>
      <c r="CK103" t="inlineStr">
        <is>
          <t>60mL/3s/30s</t>
        </is>
      </c>
      <c r="CO103" s="1">
        <f>IF(CI103="", "", (CH103-CI103)*1000/(CG103-CG102))</f>
        <v/>
      </c>
      <c r="CP103" s="1">
        <f>IF(CO103="","",CO103/CL$2/3)</f>
        <v/>
      </c>
      <c r="CQ103" s="1">
        <f>IF(CO103="","", 100*_xlfn.STDEV.P(CO102:CO103)/AVERAGE(CO102:CO103))</f>
        <v/>
      </c>
      <c r="CR103" s="8">
        <f t="array" ref="CR103">IF(CO103="","", IFERROR(((IF(CO$5&lt;&gt;"", CO$5*CG$5, 0) + SUMPRODUCT(--(CO$6:CO103&lt;&gt;""), CO$6:CO103, (CG$6:CG103-CG$5:CG102)))/1000), ""))</f>
        <v/>
      </c>
    </row>
    <row r="104">
      <c r="A104" s="1">
        <f>A103+20</f>
        <v/>
      </c>
      <c r="B104" s="1">
        <f>C103</f>
        <v/>
      </c>
      <c r="E104" t="inlineStr">
        <is>
          <t>60mL/3s/30s</t>
        </is>
      </c>
      <c r="I104" s="1">
        <f>IF(C104="", "", (B104-C104)*1000/(A104-A103))</f>
        <v/>
      </c>
      <c r="J104" s="1">
        <f>IF(I104="","",I104/F$2/3)</f>
        <v/>
      </c>
      <c r="K104" s="1">
        <f>IF(I104="","", 100*_xlfn.STDEV.P(I103:I104)/AVERAGE(I103:I104))</f>
        <v/>
      </c>
      <c r="L104" s="8">
        <f t="array" ref="L104">IF(I104="","", IFERROR(((IF(I$5&lt;&gt;"", I$5*A$5, 0) + SUMPRODUCT(--(I$6:I104&lt;&gt;""), I$6:I104, (A$6:A104-A$5:A103)))/1000), ""))</f>
        <v/>
      </c>
      <c r="M104" s="1">
        <f>M103+20</f>
        <v/>
      </c>
      <c r="N104" s="1">
        <f>O103</f>
        <v/>
      </c>
      <c r="Q104" t="inlineStr">
        <is>
          <t>60mL/3s/30s</t>
        </is>
      </c>
      <c r="U104" s="1">
        <f>IF(O104="", "", (N104-O104)*1000/(M104-M103))</f>
        <v/>
      </c>
      <c r="V104" s="1">
        <f>IF(U104="","",U104/R$2/3)</f>
        <v/>
      </c>
      <c r="W104" s="1">
        <f>IF(U104="","", 100*_xlfn.STDEV.P(U103:U104)/AVERAGE(U103:U104))</f>
        <v/>
      </c>
      <c r="X104" s="8">
        <f t="array" ref="X104">IF(U104="","", IFERROR(((IF(U$5&lt;&gt;"", U$5*M$5, 0) + SUMPRODUCT(--(U$6:U104&lt;&gt;""), U$6:U104, (M$6:M104-M$5:M103)))/1000), ""))</f>
        <v/>
      </c>
      <c r="Y104" s="1">
        <f>Y103+20</f>
        <v/>
      </c>
      <c r="Z104" s="1">
        <f>AA103</f>
        <v/>
      </c>
      <c r="AC104" t="inlineStr">
        <is>
          <t>60mL/3s/30s</t>
        </is>
      </c>
      <c r="AG104" s="1">
        <f>IF(AA104="", "", (Z104-AA104)*1000/(Y104-Y103))</f>
        <v/>
      </c>
      <c r="AH104" s="1">
        <f>IF(AG104="","",AG104/AD$2/3)</f>
        <v/>
      </c>
      <c r="AI104" s="1">
        <f>IF(AG104="","", 100*_xlfn.STDEV.P(AG103:AG104)/AVERAGE(AG103:AG104))</f>
        <v/>
      </c>
      <c r="AJ104" s="8">
        <f t="array" ref="AJ104">IF(AG104="","", IFERROR(((IF(AG$5&lt;&gt;"", AG$5*Y$5, 0) + SUMPRODUCT(--(AG$6:AG104&lt;&gt;""), AG$6:AG104, (Y$6:Y104-Y$5:Y103)))/1000), ""))</f>
        <v/>
      </c>
      <c r="AK104" s="1">
        <f>AK103+20</f>
        <v/>
      </c>
      <c r="AL104" s="1">
        <f>AM103</f>
        <v/>
      </c>
      <c r="AO104" t="inlineStr">
        <is>
          <t>60mL/3s/30s</t>
        </is>
      </c>
      <c r="AS104" s="1">
        <f>IF(AM104="", "", (AL104-AM104)*1000/(AK104-AK103))</f>
        <v/>
      </c>
      <c r="AT104" s="1">
        <f>IF(AS104="","",AS104/AP$2/3)</f>
        <v/>
      </c>
      <c r="AU104" s="1">
        <f>IF(AS104="","", 100*_xlfn.STDEV.P(AS103:AS104)/AVERAGE(AS103:AS104))</f>
        <v/>
      </c>
      <c r="AV104" s="8">
        <f t="array" ref="AV104">IF(AS104="","", IFERROR(((IF(AS$5&lt;&gt;"", AS$5*AK$5, 0) + SUMPRODUCT(--(AS$6:AS104&lt;&gt;""), AS$6:AS104, (AK$6:AK104-AK$5:AK103)))/1000), ""))</f>
        <v/>
      </c>
      <c r="AW104" s="1">
        <f>AW103+20</f>
        <v/>
      </c>
      <c r="AX104" s="1">
        <f>AY103</f>
        <v/>
      </c>
      <c r="BA104" t="inlineStr">
        <is>
          <t>60mL/3s/30s</t>
        </is>
      </c>
      <c r="BE104" s="1">
        <f>IF(AY104="", "", (AX104-AY104)*1000/(AW104-AW103))</f>
        <v/>
      </c>
      <c r="BF104" s="1">
        <f>IF(BE104="","",BE104/BB$2/3)</f>
        <v/>
      </c>
      <c r="BG104" s="1">
        <f>IF(BE104="","", 100*_xlfn.STDEV.P(BE103:BE104)/AVERAGE(BE103:BE104))</f>
        <v/>
      </c>
      <c r="BH104" s="8">
        <f t="array" ref="BH104">IF(BE104="","", IFERROR(((IF(BE$5&lt;&gt;"", BE$5*AW$5, 0) + SUMPRODUCT(--(BE$6:BE104&lt;&gt;""), BE$6:BE104, (AW$6:AW104-AW$5:AW103)))/1000), ""))</f>
        <v/>
      </c>
      <c r="BI104" s="1">
        <f>BI103+20</f>
        <v/>
      </c>
      <c r="BJ104" s="1">
        <f>BK103</f>
        <v/>
      </c>
      <c r="BM104" t="inlineStr">
        <is>
          <t>60mL/3s/30s</t>
        </is>
      </c>
      <c r="BQ104" s="1">
        <f>IF(BK104="", "", (BJ104-BK104)*1000/(BI104-BI103))</f>
        <v/>
      </c>
      <c r="BR104" s="1">
        <f>IF(BQ104="","",BQ104/BN$2/3)</f>
        <v/>
      </c>
      <c r="BS104" s="1">
        <f>IF(BQ104="","", 100*_xlfn.STDEV.P(BQ103:BQ104)/AVERAGE(BQ103:BQ104))</f>
        <v/>
      </c>
      <c r="BT104" s="8">
        <f t="array" ref="BT104">IF(BQ104="","", IFERROR(((IF(BQ$5&lt;&gt;"", BQ$5*BI$5, 0) + SUMPRODUCT(--(BQ$6:BQ104&lt;&gt;""), BQ$6:BQ104, (BI$6:BI104-BI$5:BI103)))/1000), ""))</f>
        <v/>
      </c>
      <c r="BU104" s="1">
        <f>BU103+20</f>
        <v/>
      </c>
      <c r="BV104" s="1">
        <f>BW103</f>
        <v/>
      </c>
      <c r="BY104" t="inlineStr">
        <is>
          <t>60mL/3s/30s</t>
        </is>
      </c>
      <c r="CC104" s="1">
        <f>IF(BW104="", "", (BV104-BW104)*1000/(BU104-BU103))</f>
        <v/>
      </c>
      <c r="CD104" s="1">
        <f>IF(CC104="","",CC104/BZ$2/3)</f>
        <v/>
      </c>
      <c r="CE104" s="1">
        <f>IF(CC104="","", 100*_xlfn.STDEV.P(CC103:CC104)/AVERAGE(CC103:CC104))</f>
        <v/>
      </c>
      <c r="CF104" s="8">
        <f t="array" ref="CF104">IF(CC104="","", IFERROR(((IF(CC$5&lt;&gt;"", CC$5*BU$5, 0) + SUMPRODUCT(--(CC$6:CC104&lt;&gt;""), CC$6:CC104, (BU$6:BU104-BU$5:BU103)))/1000), ""))</f>
        <v/>
      </c>
      <c r="CG104" s="1">
        <f>CG103+20</f>
        <v/>
      </c>
      <c r="CH104" s="1">
        <f>CI103</f>
        <v/>
      </c>
      <c r="CK104" t="inlineStr">
        <is>
          <t>60mL/3s/30s</t>
        </is>
      </c>
      <c r="CO104" s="1">
        <f>IF(CI104="", "", (CH104-CI104)*1000/(CG104-CG103))</f>
        <v/>
      </c>
      <c r="CP104" s="1">
        <f>IF(CO104="","",CO104/CL$2/3)</f>
        <v/>
      </c>
      <c r="CQ104" s="1">
        <f>IF(CO104="","", 100*_xlfn.STDEV.P(CO103:CO104)/AVERAGE(CO103:CO104))</f>
        <v/>
      </c>
      <c r="CR104" s="8">
        <f t="array" ref="CR104">IF(CO104="","", IFERROR(((IF(CO$5&lt;&gt;"", CO$5*CG$5, 0) + SUMPRODUCT(--(CO$6:CO104&lt;&gt;""), CO$6:CO104, (CG$6:CG104-CG$5:CG103)))/1000), ""))</f>
        <v/>
      </c>
    </row>
    <row r="105">
      <c r="A105" s="1">
        <f>A104+20</f>
        <v/>
      </c>
      <c r="B105" s="1">
        <f>C104</f>
        <v/>
      </c>
      <c r="E105" t="inlineStr">
        <is>
          <t>60mL/3s/30s</t>
        </is>
      </c>
      <c r="I105" s="1">
        <f>IF(C105="", "", (B105-C105)*1000/(A105-A104))</f>
        <v/>
      </c>
      <c r="J105" s="1">
        <f>IF(I105="","",I105/F$2/3)</f>
        <v/>
      </c>
      <c r="K105" s="1">
        <f>IF(I105="","", 100*_xlfn.STDEV.P(I104:I105)/AVERAGE(I104:I105))</f>
        <v/>
      </c>
      <c r="L105" s="8">
        <f t="array" ref="L105">IF(I105="","", IFERROR(((IF(I$5&lt;&gt;"", I$5*A$5, 0) + SUMPRODUCT(--(I$6:I105&lt;&gt;""), I$6:I105, (A$6:A105-A$5:A104)))/1000), ""))</f>
        <v/>
      </c>
      <c r="M105" s="1">
        <f>M104+20</f>
        <v/>
      </c>
      <c r="N105" s="1">
        <f>O104</f>
        <v/>
      </c>
      <c r="Q105" t="inlineStr">
        <is>
          <t>60mL/3s/30s</t>
        </is>
      </c>
      <c r="U105" s="1">
        <f>IF(O105="", "", (N105-O105)*1000/(M105-M104))</f>
        <v/>
      </c>
      <c r="V105" s="1">
        <f>IF(U105="","",U105/R$2/3)</f>
        <v/>
      </c>
      <c r="W105" s="1">
        <f>IF(U105="","", 100*_xlfn.STDEV.P(U104:U105)/AVERAGE(U104:U105))</f>
        <v/>
      </c>
      <c r="X105" s="8">
        <f t="array" ref="X105">IF(U105="","", IFERROR(((IF(U$5&lt;&gt;"", U$5*M$5, 0) + SUMPRODUCT(--(U$6:U105&lt;&gt;""), U$6:U105, (M$6:M105-M$5:M104)))/1000), ""))</f>
        <v/>
      </c>
      <c r="Y105" s="1">
        <f>Y104+20</f>
        <v/>
      </c>
      <c r="Z105" s="1">
        <f>AA104</f>
        <v/>
      </c>
      <c r="AC105" t="inlineStr">
        <is>
          <t>60mL/3s/30s</t>
        </is>
      </c>
      <c r="AG105" s="1">
        <f>IF(AA105="", "", (Z105-AA105)*1000/(Y105-Y104))</f>
        <v/>
      </c>
      <c r="AH105" s="1">
        <f>IF(AG105="","",AG105/AD$2/3)</f>
        <v/>
      </c>
      <c r="AI105" s="1">
        <f>IF(AG105="","", 100*_xlfn.STDEV.P(AG104:AG105)/AVERAGE(AG104:AG105))</f>
        <v/>
      </c>
      <c r="AJ105" s="8">
        <f t="array" ref="AJ105">IF(AG105="","", IFERROR(((IF(AG$5&lt;&gt;"", AG$5*Y$5, 0) + SUMPRODUCT(--(AG$6:AG105&lt;&gt;""), AG$6:AG105, (Y$6:Y105-Y$5:Y104)))/1000), ""))</f>
        <v/>
      </c>
      <c r="AK105" s="1">
        <f>AK104+20</f>
        <v/>
      </c>
      <c r="AL105" s="1">
        <f>AM104</f>
        <v/>
      </c>
      <c r="AO105" t="inlineStr">
        <is>
          <t>60mL/3s/30s</t>
        </is>
      </c>
      <c r="AS105" s="1">
        <f>IF(AM105="", "", (AL105-AM105)*1000/(AK105-AK104))</f>
        <v/>
      </c>
      <c r="AT105" s="1">
        <f>IF(AS105="","",AS105/AP$2/3)</f>
        <v/>
      </c>
      <c r="AU105" s="1">
        <f>IF(AS105="","", 100*_xlfn.STDEV.P(AS104:AS105)/AVERAGE(AS104:AS105))</f>
        <v/>
      </c>
      <c r="AV105" s="8">
        <f t="array" ref="AV105">IF(AS105="","", IFERROR(((IF(AS$5&lt;&gt;"", AS$5*AK$5, 0) + SUMPRODUCT(--(AS$6:AS105&lt;&gt;""), AS$6:AS105, (AK$6:AK105-AK$5:AK104)))/1000), ""))</f>
        <v/>
      </c>
      <c r="AW105" s="1">
        <f>AW104+20</f>
        <v/>
      </c>
      <c r="AX105" s="1">
        <f>AY104</f>
        <v/>
      </c>
      <c r="BA105" t="inlineStr">
        <is>
          <t>60mL/3s/30s</t>
        </is>
      </c>
      <c r="BE105" s="1">
        <f>IF(AY105="", "", (AX105-AY105)*1000/(AW105-AW104))</f>
        <v/>
      </c>
      <c r="BF105" s="1">
        <f>IF(BE105="","",BE105/BB$2/3)</f>
        <v/>
      </c>
      <c r="BG105" s="1">
        <f>IF(BE105="","", 100*_xlfn.STDEV.P(BE104:BE105)/AVERAGE(BE104:BE105))</f>
        <v/>
      </c>
      <c r="BH105" s="8">
        <f t="array" ref="BH105">IF(BE105="","", IFERROR(((IF(BE$5&lt;&gt;"", BE$5*AW$5, 0) + SUMPRODUCT(--(BE$6:BE105&lt;&gt;""), BE$6:BE105, (AW$6:AW105-AW$5:AW104)))/1000), ""))</f>
        <v/>
      </c>
      <c r="BI105" s="1">
        <f>BI104+20</f>
        <v/>
      </c>
      <c r="BJ105" s="1">
        <f>BK104</f>
        <v/>
      </c>
      <c r="BM105" t="inlineStr">
        <is>
          <t>60mL/3s/30s</t>
        </is>
      </c>
      <c r="BQ105" s="1">
        <f>IF(BK105="", "", (BJ105-BK105)*1000/(BI105-BI104))</f>
        <v/>
      </c>
      <c r="BR105" s="1">
        <f>IF(BQ105="","",BQ105/BN$2/3)</f>
        <v/>
      </c>
      <c r="BS105" s="1">
        <f>IF(BQ105="","", 100*_xlfn.STDEV.P(BQ104:BQ105)/AVERAGE(BQ104:BQ105))</f>
        <v/>
      </c>
      <c r="BT105" s="8">
        <f t="array" ref="BT105">IF(BQ105="","", IFERROR(((IF(BQ$5&lt;&gt;"", BQ$5*BI$5, 0) + SUMPRODUCT(--(BQ$6:BQ105&lt;&gt;""), BQ$6:BQ105, (BI$6:BI105-BI$5:BI104)))/1000), ""))</f>
        <v/>
      </c>
      <c r="BU105" s="1">
        <f>BU104+20</f>
        <v/>
      </c>
      <c r="BV105" s="1">
        <f>BW104</f>
        <v/>
      </c>
      <c r="BY105" t="inlineStr">
        <is>
          <t>60mL/3s/30s</t>
        </is>
      </c>
      <c r="CC105" s="1">
        <f>IF(BW105="", "", (BV105-BW105)*1000/(BU105-BU104))</f>
        <v/>
      </c>
      <c r="CD105" s="1">
        <f>IF(CC105="","",CC105/BZ$2/3)</f>
        <v/>
      </c>
      <c r="CE105" s="1">
        <f>IF(CC105="","", 100*_xlfn.STDEV.P(CC104:CC105)/AVERAGE(CC104:CC105))</f>
        <v/>
      </c>
      <c r="CF105" s="8">
        <f t="array" ref="CF105">IF(CC105="","", IFERROR(((IF(CC$5&lt;&gt;"", CC$5*BU$5, 0) + SUMPRODUCT(--(CC$6:CC105&lt;&gt;""), CC$6:CC105, (BU$6:BU105-BU$5:BU104)))/1000), ""))</f>
        <v/>
      </c>
      <c r="CG105" s="1">
        <f>CG104+20</f>
        <v/>
      </c>
      <c r="CH105" s="1">
        <f>CI104</f>
        <v/>
      </c>
      <c r="CK105" t="inlineStr">
        <is>
          <t>60mL/3s/30s</t>
        </is>
      </c>
      <c r="CO105" s="1">
        <f>IF(CI105="", "", (CH105-CI105)*1000/(CG105-CG104))</f>
        <v/>
      </c>
      <c r="CP105" s="1">
        <f>IF(CO105="","",CO105/CL$2/3)</f>
        <v/>
      </c>
      <c r="CQ105" s="1">
        <f>IF(CO105="","", 100*_xlfn.STDEV.P(CO104:CO105)/AVERAGE(CO104:CO105))</f>
        <v/>
      </c>
      <c r="CR105" s="8">
        <f t="array" ref="CR105">IF(CO105="","", IFERROR(((IF(CO$5&lt;&gt;"", CO$5*CG$5, 0) + SUMPRODUCT(--(CO$6:CO105&lt;&gt;""), CO$6:CO105, (CG$6:CG105-CG$5:CG104)))/1000), ""))</f>
        <v/>
      </c>
    </row>
    <row r="106">
      <c r="A106" s="1">
        <f>A105+20</f>
        <v/>
      </c>
      <c r="B106" s="1">
        <f>C105</f>
        <v/>
      </c>
      <c r="E106" t="inlineStr">
        <is>
          <t>60mL/3s/30s</t>
        </is>
      </c>
      <c r="I106" s="1">
        <f>IF(C106="", "", (B106-C106)*1000/(A106-A105))</f>
        <v/>
      </c>
      <c r="J106" s="1">
        <f>IF(I106="","",I106/F$2/3)</f>
        <v/>
      </c>
      <c r="K106" s="1">
        <f>IF(I106="","", 100*_xlfn.STDEV.P(I105:I106)/AVERAGE(I105:I106))</f>
        <v/>
      </c>
      <c r="L106" s="8">
        <f t="array" ref="L106">IF(I106="","", IFERROR(((IF(I$5&lt;&gt;"", I$5*A$5, 0) + SUMPRODUCT(--(I$6:I106&lt;&gt;""), I$6:I106, (A$6:A106-A$5:A105)))/1000), ""))</f>
        <v/>
      </c>
      <c r="M106" s="1">
        <f>M105+20</f>
        <v/>
      </c>
      <c r="N106" s="1">
        <f>O105</f>
        <v/>
      </c>
      <c r="Q106" t="inlineStr">
        <is>
          <t>60mL/3s/30s</t>
        </is>
      </c>
      <c r="U106" s="1">
        <f>IF(O106="", "", (N106-O106)*1000/(M106-M105))</f>
        <v/>
      </c>
      <c r="V106" s="1">
        <f>IF(U106="","",U106/R$2/3)</f>
        <v/>
      </c>
      <c r="W106" s="1">
        <f>IF(U106="","", 100*_xlfn.STDEV.P(U105:U106)/AVERAGE(U105:U106))</f>
        <v/>
      </c>
      <c r="X106" s="8">
        <f t="array" ref="X106">IF(U106="","", IFERROR(((IF(U$5&lt;&gt;"", U$5*M$5, 0) + SUMPRODUCT(--(U$6:U106&lt;&gt;""), U$6:U106, (M$6:M106-M$5:M105)))/1000), ""))</f>
        <v/>
      </c>
      <c r="Y106" s="1">
        <f>Y105+20</f>
        <v/>
      </c>
      <c r="Z106" s="1">
        <f>AA105</f>
        <v/>
      </c>
      <c r="AC106" t="inlineStr">
        <is>
          <t>60mL/3s/30s</t>
        </is>
      </c>
      <c r="AG106" s="1">
        <f>IF(AA106="", "", (Z106-AA106)*1000/(Y106-Y105))</f>
        <v/>
      </c>
      <c r="AH106" s="1">
        <f>IF(AG106="","",AG106/AD$2/3)</f>
        <v/>
      </c>
      <c r="AI106" s="1">
        <f>IF(AG106="","", 100*_xlfn.STDEV.P(AG105:AG106)/AVERAGE(AG105:AG106))</f>
        <v/>
      </c>
      <c r="AJ106" s="8">
        <f t="array" ref="AJ106">IF(AG106="","", IFERROR(((IF(AG$5&lt;&gt;"", AG$5*Y$5, 0) + SUMPRODUCT(--(AG$6:AG106&lt;&gt;""), AG$6:AG106, (Y$6:Y106-Y$5:Y105)))/1000), ""))</f>
        <v/>
      </c>
      <c r="AK106" s="1">
        <f>AK105+20</f>
        <v/>
      </c>
      <c r="AL106" s="1">
        <f>AM105</f>
        <v/>
      </c>
      <c r="AO106" t="inlineStr">
        <is>
          <t>60mL/3s/30s</t>
        </is>
      </c>
      <c r="AS106" s="1">
        <f>IF(AM106="", "", (AL106-AM106)*1000/(AK106-AK105))</f>
        <v/>
      </c>
      <c r="AT106" s="1">
        <f>IF(AS106="","",AS106/AP$2/3)</f>
        <v/>
      </c>
      <c r="AU106" s="1">
        <f>IF(AS106="","", 100*_xlfn.STDEV.P(AS105:AS106)/AVERAGE(AS105:AS106))</f>
        <v/>
      </c>
      <c r="AV106" s="8">
        <f t="array" ref="AV106">IF(AS106="","", IFERROR(((IF(AS$5&lt;&gt;"", AS$5*AK$5, 0) + SUMPRODUCT(--(AS$6:AS106&lt;&gt;""), AS$6:AS106, (AK$6:AK106-AK$5:AK105)))/1000), ""))</f>
        <v/>
      </c>
      <c r="AW106" s="1">
        <f>AW105+20</f>
        <v/>
      </c>
      <c r="AX106" s="1">
        <f>AY105</f>
        <v/>
      </c>
      <c r="BA106" t="inlineStr">
        <is>
          <t>60mL/3s/30s</t>
        </is>
      </c>
      <c r="BE106" s="1">
        <f>IF(AY106="", "", (AX106-AY106)*1000/(AW106-AW105))</f>
        <v/>
      </c>
      <c r="BF106" s="1">
        <f>IF(BE106="","",BE106/BB$2/3)</f>
        <v/>
      </c>
      <c r="BG106" s="1">
        <f>IF(BE106="","", 100*_xlfn.STDEV.P(BE105:BE106)/AVERAGE(BE105:BE106))</f>
        <v/>
      </c>
      <c r="BH106" s="8">
        <f t="array" ref="BH106">IF(BE106="","", IFERROR(((IF(BE$5&lt;&gt;"", BE$5*AW$5, 0) + SUMPRODUCT(--(BE$6:BE106&lt;&gt;""), BE$6:BE106, (AW$6:AW106-AW$5:AW105)))/1000), ""))</f>
        <v/>
      </c>
      <c r="BI106" s="1">
        <f>BI105+20</f>
        <v/>
      </c>
      <c r="BJ106" s="1">
        <f>BK105</f>
        <v/>
      </c>
      <c r="BM106" t="inlineStr">
        <is>
          <t>60mL/3s/30s</t>
        </is>
      </c>
      <c r="BQ106" s="1">
        <f>IF(BK106="", "", (BJ106-BK106)*1000/(BI106-BI105))</f>
        <v/>
      </c>
      <c r="BR106" s="1">
        <f>IF(BQ106="","",BQ106/BN$2/3)</f>
        <v/>
      </c>
      <c r="BS106" s="1">
        <f>IF(BQ106="","", 100*_xlfn.STDEV.P(BQ105:BQ106)/AVERAGE(BQ105:BQ106))</f>
        <v/>
      </c>
      <c r="BT106" s="8">
        <f t="array" ref="BT106">IF(BQ106="","", IFERROR(((IF(BQ$5&lt;&gt;"", BQ$5*BI$5, 0) + SUMPRODUCT(--(BQ$6:BQ106&lt;&gt;""), BQ$6:BQ106, (BI$6:BI106-BI$5:BI105)))/1000), ""))</f>
        <v/>
      </c>
      <c r="BU106" s="1">
        <f>BU105+20</f>
        <v/>
      </c>
      <c r="BV106" s="1">
        <f>BW105</f>
        <v/>
      </c>
      <c r="BY106" t="inlineStr">
        <is>
          <t>60mL/3s/30s</t>
        </is>
      </c>
      <c r="CC106" s="1">
        <f>IF(BW106="", "", (BV106-BW106)*1000/(BU106-BU105))</f>
        <v/>
      </c>
      <c r="CD106" s="1">
        <f>IF(CC106="","",CC106/BZ$2/3)</f>
        <v/>
      </c>
      <c r="CE106" s="1">
        <f>IF(CC106="","", 100*_xlfn.STDEV.P(CC105:CC106)/AVERAGE(CC105:CC106))</f>
        <v/>
      </c>
      <c r="CF106" s="8">
        <f t="array" ref="CF106">IF(CC106="","", IFERROR(((IF(CC$5&lt;&gt;"", CC$5*BU$5, 0) + SUMPRODUCT(--(CC$6:CC106&lt;&gt;""), CC$6:CC106, (BU$6:BU106-BU$5:BU105)))/1000), ""))</f>
        <v/>
      </c>
      <c r="CG106" s="1">
        <f>CG105+20</f>
        <v/>
      </c>
      <c r="CH106" s="1">
        <f>CI105</f>
        <v/>
      </c>
      <c r="CK106" t="inlineStr">
        <is>
          <t>60mL/3s/30s</t>
        </is>
      </c>
      <c r="CO106" s="1">
        <f>IF(CI106="", "", (CH106-CI106)*1000/(CG106-CG105))</f>
        <v/>
      </c>
      <c r="CP106" s="1">
        <f>IF(CO106="","",CO106/CL$2/3)</f>
        <v/>
      </c>
      <c r="CQ106" s="1">
        <f>IF(CO106="","", 100*_xlfn.STDEV.P(CO105:CO106)/AVERAGE(CO105:CO106))</f>
        <v/>
      </c>
      <c r="CR106" s="8">
        <f t="array" ref="CR106">IF(CO106="","", IFERROR(((IF(CO$5&lt;&gt;"", CO$5*CG$5, 0) + SUMPRODUCT(--(CO$6:CO106&lt;&gt;""), CO$6:CO106, (CG$6:CG106-CG$5:CG105)))/1000), ""))</f>
        <v/>
      </c>
    </row>
    <row r="107">
      <c r="A107" s="1">
        <f>A106+20</f>
        <v/>
      </c>
      <c r="B107" s="1">
        <f>C106</f>
        <v/>
      </c>
      <c r="E107" t="inlineStr">
        <is>
          <t>60mL/3s/30s</t>
        </is>
      </c>
      <c r="I107" s="1">
        <f>IF(C107="", "", (B107-C107)*1000/(A107-A106))</f>
        <v/>
      </c>
      <c r="J107" s="1">
        <f>IF(I107="","",I107/F$2/3)</f>
        <v/>
      </c>
      <c r="K107" s="1">
        <f>IF(I107="","", 100*_xlfn.STDEV.P(I106:I107)/AVERAGE(I106:I107))</f>
        <v/>
      </c>
      <c r="L107" s="8">
        <f t="array" ref="L107">IF(I107="","", IFERROR(((IF(I$5&lt;&gt;"", I$5*A$5, 0) + SUMPRODUCT(--(I$6:I107&lt;&gt;""), I$6:I107, (A$6:A107-A$5:A106)))/1000), ""))</f>
        <v/>
      </c>
      <c r="M107" s="1">
        <f>M106+20</f>
        <v/>
      </c>
      <c r="N107" s="1">
        <f>O106</f>
        <v/>
      </c>
      <c r="Q107" t="inlineStr">
        <is>
          <t>60mL/3s/30s</t>
        </is>
      </c>
      <c r="U107" s="1">
        <f>IF(O107="", "", (N107-O107)*1000/(M107-M106))</f>
        <v/>
      </c>
      <c r="V107" s="1">
        <f>IF(U107="","",U107/R$2/3)</f>
        <v/>
      </c>
      <c r="W107" s="1">
        <f>IF(U107="","", 100*_xlfn.STDEV.P(U106:U107)/AVERAGE(U106:U107))</f>
        <v/>
      </c>
      <c r="X107" s="8">
        <f t="array" ref="X107">IF(U107="","", IFERROR(((IF(U$5&lt;&gt;"", U$5*M$5, 0) + SUMPRODUCT(--(U$6:U107&lt;&gt;""), U$6:U107, (M$6:M107-M$5:M106)))/1000), ""))</f>
        <v/>
      </c>
      <c r="Y107" s="1">
        <f>Y106+20</f>
        <v/>
      </c>
      <c r="Z107" s="1">
        <f>AA106</f>
        <v/>
      </c>
      <c r="AC107" t="inlineStr">
        <is>
          <t>60mL/3s/30s</t>
        </is>
      </c>
      <c r="AG107" s="1">
        <f>IF(AA107="", "", (Z107-AA107)*1000/(Y107-Y106))</f>
        <v/>
      </c>
      <c r="AH107" s="1">
        <f>IF(AG107="","",AG107/AD$2/3)</f>
        <v/>
      </c>
      <c r="AI107" s="1">
        <f>IF(AG107="","", 100*_xlfn.STDEV.P(AG106:AG107)/AVERAGE(AG106:AG107))</f>
        <v/>
      </c>
      <c r="AJ107" s="8">
        <f t="array" ref="AJ107">IF(AG107="","", IFERROR(((IF(AG$5&lt;&gt;"", AG$5*Y$5, 0) + SUMPRODUCT(--(AG$6:AG107&lt;&gt;""), AG$6:AG107, (Y$6:Y107-Y$5:Y106)))/1000), ""))</f>
        <v/>
      </c>
      <c r="AK107" s="1">
        <f>AK106+20</f>
        <v/>
      </c>
      <c r="AL107" s="1">
        <f>AM106</f>
        <v/>
      </c>
      <c r="AO107" t="inlineStr">
        <is>
          <t>60mL/3s/30s</t>
        </is>
      </c>
      <c r="AS107" s="1">
        <f>IF(AM107="", "", (AL107-AM107)*1000/(AK107-AK106))</f>
        <v/>
      </c>
      <c r="AT107" s="1">
        <f>IF(AS107="","",AS107/AP$2/3)</f>
        <v/>
      </c>
      <c r="AU107" s="1">
        <f>IF(AS107="","", 100*_xlfn.STDEV.P(AS106:AS107)/AVERAGE(AS106:AS107))</f>
        <v/>
      </c>
      <c r="AV107" s="8">
        <f t="array" ref="AV107">IF(AS107="","", IFERROR(((IF(AS$5&lt;&gt;"", AS$5*AK$5, 0) + SUMPRODUCT(--(AS$6:AS107&lt;&gt;""), AS$6:AS107, (AK$6:AK107-AK$5:AK106)))/1000), ""))</f>
        <v/>
      </c>
      <c r="AW107" s="1">
        <f>AW106+20</f>
        <v/>
      </c>
      <c r="AX107" s="1">
        <f>AY106</f>
        <v/>
      </c>
      <c r="BA107" t="inlineStr">
        <is>
          <t>60mL/3s/30s</t>
        </is>
      </c>
      <c r="BE107" s="1">
        <f>IF(AY107="", "", (AX107-AY107)*1000/(AW107-AW106))</f>
        <v/>
      </c>
      <c r="BF107" s="1">
        <f>IF(BE107="","",BE107/BB$2/3)</f>
        <v/>
      </c>
      <c r="BG107" s="1">
        <f>IF(BE107="","", 100*_xlfn.STDEV.P(BE106:BE107)/AVERAGE(BE106:BE107))</f>
        <v/>
      </c>
      <c r="BH107" s="8">
        <f t="array" ref="BH107">IF(BE107="","", IFERROR(((IF(BE$5&lt;&gt;"", BE$5*AW$5, 0) + SUMPRODUCT(--(BE$6:BE107&lt;&gt;""), BE$6:BE107, (AW$6:AW107-AW$5:AW106)))/1000), ""))</f>
        <v/>
      </c>
      <c r="BI107" s="1">
        <f>BI106+20</f>
        <v/>
      </c>
      <c r="BJ107" s="1">
        <f>BK106</f>
        <v/>
      </c>
      <c r="BM107" t="inlineStr">
        <is>
          <t>60mL/3s/30s</t>
        </is>
      </c>
      <c r="BQ107" s="1">
        <f>IF(BK107="", "", (BJ107-BK107)*1000/(BI107-BI106))</f>
        <v/>
      </c>
      <c r="BR107" s="1">
        <f>IF(BQ107="","",BQ107/BN$2/3)</f>
        <v/>
      </c>
      <c r="BS107" s="1">
        <f>IF(BQ107="","", 100*_xlfn.STDEV.P(BQ106:BQ107)/AVERAGE(BQ106:BQ107))</f>
        <v/>
      </c>
      <c r="BT107" s="8">
        <f t="array" ref="BT107">IF(BQ107="","", IFERROR(((IF(BQ$5&lt;&gt;"", BQ$5*BI$5, 0) + SUMPRODUCT(--(BQ$6:BQ107&lt;&gt;""), BQ$6:BQ107, (BI$6:BI107-BI$5:BI106)))/1000), ""))</f>
        <v/>
      </c>
      <c r="BU107" s="1">
        <f>BU106+20</f>
        <v/>
      </c>
      <c r="BV107" s="1">
        <f>BW106</f>
        <v/>
      </c>
      <c r="BY107" t="inlineStr">
        <is>
          <t>60mL/3s/30s</t>
        </is>
      </c>
      <c r="CC107" s="1">
        <f>IF(BW107="", "", (BV107-BW107)*1000/(BU107-BU106))</f>
        <v/>
      </c>
      <c r="CD107" s="1">
        <f>IF(CC107="","",CC107/BZ$2/3)</f>
        <v/>
      </c>
      <c r="CE107" s="1">
        <f>IF(CC107="","", 100*_xlfn.STDEV.P(CC106:CC107)/AVERAGE(CC106:CC107))</f>
        <v/>
      </c>
      <c r="CF107" s="8">
        <f t="array" ref="CF107">IF(CC107="","", IFERROR(((IF(CC$5&lt;&gt;"", CC$5*BU$5, 0) + SUMPRODUCT(--(CC$6:CC107&lt;&gt;""), CC$6:CC107, (BU$6:BU107-BU$5:BU106)))/1000), ""))</f>
        <v/>
      </c>
      <c r="CG107" s="1">
        <f>CG106+20</f>
        <v/>
      </c>
      <c r="CH107" s="1">
        <f>CI106</f>
        <v/>
      </c>
      <c r="CK107" t="inlineStr">
        <is>
          <t>60mL/3s/30s</t>
        </is>
      </c>
      <c r="CO107" s="1">
        <f>IF(CI107="", "", (CH107-CI107)*1000/(CG107-CG106))</f>
        <v/>
      </c>
      <c r="CP107" s="1">
        <f>IF(CO107="","",CO107/CL$2/3)</f>
        <v/>
      </c>
      <c r="CQ107" s="1">
        <f>IF(CO107="","", 100*_xlfn.STDEV.P(CO106:CO107)/AVERAGE(CO106:CO107))</f>
        <v/>
      </c>
      <c r="CR107" s="8">
        <f t="array" ref="CR107">IF(CO107="","", IFERROR(((IF(CO$5&lt;&gt;"", CO$5*CG$5, 0) + SUMPRODUCT(--(CO$6:CO107&lt;&gt;""), CO$6:CO107, (CG$6:CG107-CG$5:CG106)))/1000), ""))</f>
        <v/>
      </c>
    </row>
    <row r="108">
      <c r="A108" s="1">
        <f>A107+20</f>
        <v/>
      </c>
      <c r="B108" s="1">
        <f>C107</f>
        <v/>
      </c>
      <c r="E108" t="inlineStr">
        <is>
          <t>60mL/3s/30s</t>
        </is>
      </c>
      <c r="I108" s="1">
        <f>IF(C108="", "", (B108-C108)*1000/(A108-A107))</f>
        <v/>
      </c>
      <c r="J108" s="1">
        <f>IF(I108="","",I108/F$2/3)</f>
        <v/>
      </c>
      <c r="K108" s="1">
        <f>IF(I108="","", 100*_xlfn.STDEV.P(I107:I108)/AVERAGE(I107:I108))</f>
        <v/>
      </c>
      <c r="L108" s="8">
        <f t="array" ref="L108">IF(I108="","", IFERROR(((IF(I$5&lt;&gt;"", I$5*A$5, 0) + SUMPRODUCT(--(I$6:I108&lt;&gt;""), I$6:I108, (A$6:A108-A$5:A107)))/1000), ""))</f>
        <v/>
      </c>
      <c r="M108" s="1">
        <f>M107+20</f>
        <v/>
      </c>
      <c r="N108" s="1">
        <f>O107</f>
        <v/>
      </c>
      <c r="Q108" t="inlineStr">
        <is>
          <t>60mL/3s/30s</t>
        </is>
      </c>
      <c r="U108" s="1">
        <f>IF(O108="", "", (N108-O108)*1000/(M108-M107))</f>
        <v/>
      </c>
      <c r="V108" s="1">
        <f>IF(U108="","",U108/R$2/3)</f>
        <v/>
      </c>
      <c r="W108" s="1">
        <f>IF(U108="","", 100*_xlfn.STDEV.P(U107:U108)/AVERAGE(U107:U108))</f>
        <v/>
      </c>
      <c r="X108" s="8">
        <f t="array" ref="X108">IF(U108="","", IFERROR(((IF(U$5&lt;&gt;"", U$5*M$5, 0) + SUMPRODUCT(--(U$6:U108&lt;&gt;""), U$6:U108, (M$6:M108-M$5:M107)))/1000), ""))</f>
        <v/>
      </c>
      <c r="Y108" s="1">
        <f>Y107+20</f>
        <v/>
      </c>
      <c r="Z108" s="1">
        <f>AA107</f>
        <v/>
      </c>
      <c r="AC108" t="inlineStr">
        <is>
          <t>60mL/3s/30s</t>
        </is>
      </c>
      <c r="AG108" s="1">
        <f>IF(AA108="", "", (Z108-AA108)*1000/(Y108-Y107))</f>
        <v/>
      </c>
      <c r="AH108" s="1">
        <f>IF(AG108="","",AG108/AD$2/3)</f>
        <v/>
      </c>
      <c r="AI108" s="1">
        <f>IF(AG108="","", 100*_xlfn.STDEV.P(AG107:AG108)/AVERAGE(AG107:AG108))</f>
        <v/>
      </c>
      <c r="AJ108" s="8">
        <f t="array" ref="AJ108">IF(AG108="","", IFERROR(((IF(AG$5&lt;&gt;"", AG$5*Y$5, 0) + SUMPRODUCT(--(AG$6:AG108&lt;&gt;""), AG$6:AG108, (Y$6:Y108-Y$5:Y107)))/1000), ""))</f>
        <v/>
      </c>
      <c r="AK108" s="1">
        <f>AK107+20</f>
        <v/>
      </c>
      <c r="AL108" s="1">
        <f>AM107</f>
        <v/>
      </c>
      <c r="AO108" t="inlineStr">
        <is>
          <t>60mL/3s/30s</t>
        </is>
      </c>
      <c r="AS108" s="1">
        <f>IF(AM108="", "", (AL108-AM108)*1000/(AK108-AK107))</f>
        <v/>
      </c>
      <c r="AT108" s="1">
        <f>IF(AS108="","",AS108/AP$2/3)</f>
        <v/>
      </c>
      <c r="AU108" s="1">
        <f>IF(AS108="","", 100*_xlfn.STDEV.P(AS107:AS108)/AVERAGE(AS107:AS108))</f>
        <v/>
      </c>
      <c r="AV108" s="8">
        <f t="array" ref="AV108">IF(AS108="","", IFERROR(((IF(AS$5&lt;&gt;"", AS$5*AK$5, 0) + SUMPRODUCT(--(AS$6:AS108&lt;&gt;""), AS$6:AS108, (AK$6:AK108-AK$5:AK107)))/1000), ""))</f>
        <v/>
      </c>
      <c r="AW108" s="1">
        <f>AW107+20</f>
        <v/>
      </c>
      <c r="AX108" s="1">
        <f>AY107</f>
        <v/>
      </c>
      <c r="BA108" t="inlineStr">
        <is>
          <t>60mL/3s/30s</t>
        </is>
      </c>
      <c r="BE108" s="1">
        <f>IF(AY108="", "", (AX108-AY108)*1000/(AW108-AW107))</f>
        <v/>
      </c>
      <c r="BF108" s="1">
        <f>IF(BE108="","",BE108/BB$2/3)</f>
        <v/>
      </c>
      <c r="BG108" s="1">
        <f>IF(BE108="","", 100*_xlfn.STDEV.P(BE107:BE108)/AVERAGE(BE107:BE108))</f>
        <v/>
      </c>
      <c r="BH108" s="8">
        <f t="array" ref="BH108">IF(BE108="","", IFERROR(((IF(BE$5&lt;&gt;"", BE$5*AW$5, 0) + SUMPRODUCT(--(BE$6:BE108&lt;&gt;""), BE$6:BE108, (AW$6:AW108-AW$5:AW107)))/1000), ""))</f>
        <v/>
      </c>
      <c r="BI108" s="1">
        <f>BI107+20</f>
        <v/>
      </c>
      <c r="BJ108" s="1">
        <f>BK107</f>
        <v/>
      </c>
      <c r="BM108" t="inlineStr">
        <is>
          <t>60mL/3s/30s</t>
        </is>
      </c>
      <c r="BQ108" s="1">
        <f>IF(BK108="", "", (BJ108-BK108)*1000/(BI108-BI107))</f>
        <v/>
      </c>
      <c r="BR108" s="1">
        <f>IF(BQ108="","",BQ108/BN$2/3)</f>
        <v/>
      </c>
      <c r="BS108" s="1">
        <f>IF(BQ108="","", 100*_xlfn.STDEV.P(BQ107:BQ108)/AVERAGE(BQ107:BQ108))</f>
        <v/>
      </c>
      <c r="BT108" s="8">
        <f t="array" ref="BT108">IF(BQ108="","", IFERROR(((IF(BQ$5&lt;&gt;"", BQ$5*BI$5, 0) + SUMPRODUCT(--(BQ$6:BQ108&lt;&gt;""), BQ$6:BQ108, (BI$6:BI108-BI$5:BI107)))/1000), ""))</f>
        <v/>
      </c>
      <c r="BU108" s="1">
        <f>BU107+20</f>
        <v/>
      </c>
      <c r="BV108" s="1">
        <f>BW107</f>
        <v/>
      </c>
      <c r="BY108" t="inlineStr">
        <is>
          <t>60mL/3s/30s</t>
        </is>
      </c>
      <c r="CC108" s="1">
        <f>IF(BW108="", "", (BV108-BW108)*1000/(BU108-BU107))</f>
        <v/>
      </c>
      <c r="CD108" s="1">
        <f>IF(CC108="","",CC108/BZ$2/3)</f>
        <v/>
      </c>
      <c r="CE108" s="1">
        <f>IF(CC108="","", 100*_xlfn.STDEV.P(CC107:CC108)/AVERAGE(CC107:CC108))</f>
        <v/>
      </c>
      <c r="CF108" s="8">
        <f t="array" ref="CF108">IF(CC108="","", IFERROR(((IF(CC$5&lt;&gt;"", CC$5*BU$5, 0) + SUMPRODUCT(--(CC$6:CC108&lt;&gt;""), CC$6:CC108, (BU$6:BU108-BU$5:BU107)))/1000), ""))</f>
        <v/>
      </c>
      <c r="CG108" s="1">
        <f>CG107+20</f>
        <v/>
      </c>
      <c r="CH108" s="1">
        <f>CI107</f>
        <v/>
      </c>
      <c r="CK108" t="inlineStr">
        <is>
          <t>60mL/3s/30s</t>
        </is>
      </c>
      <c r="CO108" s="1">
        <f>IF(CI108="", "", (CH108-CI108)*1000/(CG108-CG107))</f>
        <v/>
      </c>
      <c r="CP108" s="1">
        <f>IF(CO108="","",CO108/CL$2/3)</f>
        <v/>
      </c>
      <c r="CQ108" s="1">
        <f>IF(CO108="","", 100*_xlfn.STDEV.P(CO107:CO108)/AVERAGE(CO107:CO108))</f>
        <v/>
      </c>
      <c r="CR108" s="8">
        <f t="array" ref="CR108">IF(CO108="","", IFERROR(((IF(CO$5&lt;&gt;"", CO$5*CG$5, 0) + SUMPRODUCT(--(CO$6:CO108&lt;&gt;""), CO$6:CO108, (CG$6:CG108-CG$5:CG107)))/1000), ""))</f>
        <v/>
      </c>
    </row>
    <row r="109">
      <c r="A109" s="1">
        <f>A108+20</f>
        <v/>
      </c>
      <c r="B109" s="1">
        <f>C108</f>
        <v/>
      </c>
      <c r="E109" t="inlineStr">
        <is>
          <t>60mL/3s/30s</t>
        </is>
      </c>
      <c r="I109" s="1">
        <f>IF(C109="", "", (B109-C109)*1000/(A109-A108))</f>
        <v/>
      </c>
      <c r="J109" s="1">
        <f>IF(I109="","",I109/F$2/3)</f>
        <v/>
      </c>
      <c r="K109" s="1">
        <f>IF(I109="","", 100*_xlfn.STDEV.P(I108:I109)/AVERAGE(I108:I109))</f>
        <v/>
      </c>
      <c r="L109" s="8">
        <f t="array" ref="L109">IF(I109="","", IFERROR(((IF(I$5&lt;&gt;"", I$5*A$5, 0) + SUMPRODUCT(--(I$6:I109&lt;&gt;""), I$6:I109, (A$6:A109-A$5:A108)))/1000), ""))</f>
        <v/>
      </c>
      <c r="M109" s="1">
        <f>M108+20</f>
        <v/>
      </c>
      <c r="N109" s="1">
        <f>O108</f>
        <v/>
      </c>
      <c r="Q109" t="inlineStr">
        <is>
          <t>60mL/3s/30s</t>
        </is>
      </c>
      <c r="U109" s="1">
        <f>IF(O109="", "", (N109-O109)*1000/(M109-M108))</f>
        <v/>
      </c>
      <c r="V109" s="1">
        <f>IF(U109="","",U109/R$2/3)</f>
        <v/>
      </c>
      <c r="W109" s="1">
        <f>IF(U109="","", 100*_xlfn.STDEV.P(U108:U109)/AVERAGE(U108:U109))</f>
        <v/>
      </c>
      <c r="X109" s="8">
        <f t="array" ref="X109">IF(U109="","", IFERROR(((IF(U$5&lt;&gt;"", U$5*M$5, 0) + SUMPRODUCT(--(U$6:U109&lt;&gt;""), U$6:U109, (M$6:M109-M$5:M108)))/1000), ""))</f>
        <v/>
      </c>
      <c r="Y109" s="1">
        <f>Y108+20</f>
        <v/>
      </c>
      <c r="Z109" s="1">
        <f>AA108</f>
        <v/>
      </c>
      <c r="AC109" t="inlineStr">
        <is>
          <t>60mL/3s/30s</t>
        </is>
      </c>
      <c r="AG109" s="1">
        <f>IF(AA109="", "", (Z109-AA109)*1000/(Y109-Y108))</f>
        <v/>
      </c>
      <c r="AH109" s="1">
        <f>IF(AG109="","",AG109/AD$2/3)</f>
        <v/>
      </c>
      <c r="AI109" s="1">
        <f>IF(AG109="","", 100*_xlfn.STDEV.P(AG108:AG109)/AVERAGE(AG108:AG109))</f>
        <v/>
      </c>
      <c r="AJ109" s="8">
        <f t="array" ref="AJ109">IF(AG109="","", IFERROR(((IF(AG$5&lt;&gt;"", AG$5*Y$5, 0) + SUMPRODUCT(--(AG$6:AG109&lt;&gt;""), AG$6:AG109, (Y$6:Y109-Y$5:Y108)))/1000), ""))</f>
        <v/>
      </c>
      <c r="AK109" s="1">
        <f>AK108+20</f>
        <v/>
      </c>
      <c r="AL109" s="1">
        <f>AM108</f>
        <v/>
      </c>
      <c r="AO109" t="inlineStr">
        <is>
          <t>60mL/3s/30s</t>
        </is>
      </c>
      <c r="AS109" s="1">
        <f>IF(AM109="", "", (AL109-AM109)*1000/(AK109-AK108))</f>
        <v/>
      </c>
      <c r="AT109" s="1">
        <f>IF(AS109="","",AS109/AP$2/3)</f>
        <v/>
      </c>
      <c r="AU109" s="1">
        <f>IF(AS109="","", 100*_xlfn.STDEV.P(AS108:AS109)/AVERAGE(AS108:AS109))</f>
        <v/>
      </c>
      <c r="AV109" s="8">
        <f t="array" ref="AV109">IF(AS109="","", IFERROR(((IF(AS$5&lt;&gt;"", AS$5*AK$5, 0) + SUMPRODUCT(--(AS$6:AS109&lt;&gt;""), AS$6:AS109, (AK$6:AK109-AK$5:AK108)))/1000), ""))</f>
        <v/>
      </c>
      <c r="AW109" s="1">
        <f>AW108+20</f>
        <v/>
      </c>
      <c r="AX109" s="1">
        <f>AY108</f>
        <v/>
      </c>
      <c r="BA109" t="inlineStr">
        <is>
          <t>60mL/3s/30s</t>
        </is>
      </c>
      <c r="BE109" s="1">
        <f>IF(AY109="", "", (AX109-AY109)*1000/(AW109-AW108))</f>
        <v/>
      </c>
      <c r="BF109" s="1">
        <f>IF(BE109="","",BE109/BB$2/3)</f>
        <v/>
      </c>
      <c r="BG109" s="1">
        <f>IF(BE109="","", 100*_xlfn.STDEV.P(BE108:BE109)/AVERAGE(BE108:BE109))</f>
        <v/>
      </c>
      <c r="BH109" s="8">
        <f t="array" ref="BH109">IF(BE109="","", IFERROR(((IF(BE$5&lt;&gt;"", BE$5*AW$5, 0) + SUMPRODUCT(--(BE$6:BE109&lt;&gt;""), BE$6:BE109, (AW$6:AW109-AW$5:AW108)))/1000), ""))</f>
        <v/>
      </c>
      <c r="BI109" s="1">
        <f>BI108+20</f>
        <v/>
      </c>
      <c r="BJ109" s="1">
        <f>BK108</f>
        <v/>
      </c>
      <c r="BM109" t="inlineStr">
        <is>
          <t>60mL/3s/30s</t>
        </is>
      </c>
      <c r="BQ109" s="1">
        <f>IF(BK109="", "", (BJ109-BK109)*1000/(BI109-BI108))</f>
        <v/>
      </c>
      <c r="BR109" s="1">
        <f>IF(BQ109="","",BQ109/BN$2/3)</f>
        <v/>
      </c>
      <c r="BS109" s="1">
        <f>IF(BQ109="","", 100*_xlfn.STDEV.P(BQ108:BQ109)/AVERAGE(BQ108:BQ109))</f>
        <v/>
      </c>
      <c r="BT109" s="8">
        <f t="array" ref="BT109">IF(BQ109="","", IFERROR(((IF(BQ$5&lt;&gt;"", BQ$5*BI$5, 0) + SUMPRODUCT(--(BQ$6:BQ109&lt;&gt;""), BQ$6:BQ109, (BI$6:BI109-BI$5:BI108)))/1000), ""))</f>
        <v/>
      </c>
      <c r="BU109" s="1">
        <f>BU108+20</f>
        <v/>
      </c>
      <c r="BV109" s="1">
        <f>BW108</f>
        <v/>
      </c>
      <c r="BY109" t="inlineStr">
        <is>
          <t>60mL/3s/30s</t>
        </is>
      </c>
      <c r="CC109" s="1">
        <f>IF(BW109="", "", (BV109-BW109)*1000/(BU109-BU108))</f>
        <v/>
      </c>
      <c r="CD109" s="1">
        <f>IF(CC109="","",CC109/BZ$2/3)</f>
        <v/>
      </c>
      <c r="CE109" s="1">
        <f>IF(CC109="","", 100*_xlfn.STDEV.P(CC108:CC109)/AVERAGE(CC108:CC109))</f>
        <v/>
      </c>
      <c r="CF109" s="8">
        <f t="array" ref="CF109">IF(CC109="","", IFERROR(((IF(CC$5&lt;&gt;"", CC$5*BU$5, 0) + SUMPRODUCT(--(CC$6:CC109&lt;&gt;""), CC$6:CC109, (BU$6:BU109-BU$5:BU108)))/1000), ""))</f>
        <v/>
      </c>
      <c r="CG109" s="1">
        <f>CG108+20</f>
        <v/>
      </c>
      <c r="CH109" s="1">
        <f>CI108</f>
        <v/>
      </c>
      <c r="CK109" t="inlineStr">
        <is>
          <t>60mL/3s/30s</t>
        </is>
      </c>
      <c r="CO109" s="1">
        <f>IF(CI109="", "", (CH109-CI109)*1000/(CG109-CG108))</f>
        <v/>
      </c>
      <c r="CP109" s="1">
        <f>IF(CO109="","",CO109/CL$2/3)</f>
        <v/>
      </c>
      <c r="CQ109" s="1">
        <f>IF(CO109="","", 100*_xlfn.STDEV.P(CO108:CO109)/AVERAGE(CO108:CO109))</f>
        <v/>
      </c>
      <c r="CR109" s="8">
        <f t="array" ref="CR109">IF(CO109="","", IFERROR(((IF(CO$5&lt;&gt;"", CO$5*CG$5, 0) + SUMPRODUCT(--(CO$6:CO109&lt;&gt;""), CO$6:CO109, (CG$6:CG109-CG$5:CG108)))/1000), ""))</f>
        <v/>
      </c>
    </row>
    <row r="110">
      <c r="A110" s="1">
        <f>A109+20</f>
        <v/>
      </c>
      <c r="B110" s="1">
        <f>C109</f>
        <v/>
      </c>
      <c r="E110" t="inlineStr">
        <is>
          <t>60mL/3s/30s</t>
        </is>
      </c>
      <c r="I110" s="1">
        <f>IF(C110="", "", (B110-C110)*1000/(A110-A109))</f>
        <v/>
      </c>
      <c r="J110" s="1">
        <f>IF(I110="","",I110/F$2/3)</f>
        <v/>
      </c>
      <c r="K110" s="1">
        <f>IF(I110="","", 100*_xlfn.STDEV.P(I109:I110)/AVERAGE(I109:I110))</f>
        <v/>
      </c>
      <c r="L110" s="8">
        <f t="array" ref="L110">IF(I110="","", IFERROR(((IF(I$5&lt;&gt;"", I$5*A$5, 0) + SUMPRODUCT(--(I$6:I110&lt;&gt;""), I$6:I110, (A$6:A110-A$5:A109)))/1000), ""))</f>
        <v/>
      </c>
      <c r="M110" s="1">
        <f>M109+20</f>
        <v/>
      </c>
      <c r="N110" s="1">
        <f>O109</f>
        <v/>
      </c>
      <c r="Q110" t="inlineStr">
        <is>
          <t>60mL/3s/30s</t>
        </is>
      </c>
      <c r="U110" s="1">
        <f>IF(O110="", "", (N110-O110)*1000/(M110-M109))</f>
        <v/>
      </c>
      <c r="V110" s="1">
        <f>IF(U110="","",U110/R$2/3)</f>
        <v/>
      </c>
      <c r="W110" s="1">
        <f>IF(U110="","", 100*_xlfn.STDEV.P(U109:U110)/AVERAGE(U109:U110))</f>
        <v/>
      </c>
      <c r="X110" s="8">
        <f t="array" ref="X110">IF(U110="","", IFERROR(((IF(U$5&lt;&gt;"", U$5*M$5, 0) + SUMPRODUCT(--(U$6:U110&lt;&gt;""), U$6:U110, (M$6:M110-M$5:M109)))/1000), ""))</f>
        <v/>
      </c>
      <c r="Y110" s="1">
        <f>Y109+20</f>
        <v/>
      </c>
      <c r="Z110" s="1">
        <f>AA109</f>
        <v/>
      </c>
      <c r="AC110" t="inlineStr">
        <is>
          <t>60mL/3s/30s</t>
        </is>
      </c>
      <c r="AG110" s="1">
        <f>IF(AA110="", "", (Z110-AA110)*1000/(Y110-Y109))</f>
        <v/>
      </c>
      <c r="AH110" s="1">
        <f>IF(AG110="","",AG110/AD$2/3)</f>
        <v/>
      </c>
      <c r="AI110" s="1">
        <f>IF(AG110="","", 100*_xlfn.STDEV.P(AG109:AG110)/AVERAGE(AG109:AG110))</f>
        <v/>
      </c>
      <c r="AJ110" s="8">
        <f t="array" ref="AJ110">IF(AG110="","", IFERROR(((IF(AG$5&lt;&gt;"", AG$5*Y$5, 0) + SUMPRODUCT(--(AG$6:AG110&lt;&gt;""), AG$6:AG110, (Y$6:Y110-Y$5:Y109)))/1000), ""))</f>
        <v/>
      </c>
      <c r="AK110" s="1">
        <f>AK109+20</f>
        <v/>
      </c>
      <c r="AL110" s="1">
        <f>AM109</f>
        <v/>
      </c>
      <c r="AO110" t="inlineStr">
        <is>
          <t>60mL/3s/30s</t>
        </is>
      </c>
      <c r="AS110" s="1">
        <f>IF(AM110="", "", (AL110-AM110)*1000/(AK110-AK109))</f>
        <v/>
      </c>
      <c r="AT110" s="1">
        <f>IF(AS110="","",AS110/AP$2/3)</f>
        <v/>
      </c>
      <c r="AU110" s="1">
        <f>IF(AS110="","", 100*_xlfn.STDEV.P(AS109:AS110)/AVERAGE(AS109:AS110))</f>
        <v/>
      </c>
      <c r="AV110" s="8">
        <f t="array" ref="AV110">IF(AS110="","", IFERROR(((IF(AS$5&lt;&gt;"", AS$5*AK$5, 0) + SUMPRODUCT(--(AS$6:AS110&lt;&gt;""), AS$6:AS110, (AK$6:AK110-AK$5:AK109)))/1000), ""))</f>
        <v/>
      </c>
      <c r="AW110" s="1">
        <f>AW109+20</f>
        <v/>
      </c>
      <c r="AX110" s="1">
        <f>AY109</f>
        <v/>
      </c>
      <c r="BA110" t="inlineStr">
        <is>
          <t>60mL/3s/30s</t>
        </is>
      </c>
      <c r="BE110" s="1">
        <f>IF(AY110="", "", (AX110-AY110)*1000/(AW110-AW109))</f>
        <v/>
      </c>
      <c r="BF110" s="1">
        <f>IF(BE110="","",BE110/BB$2/3)</f>
        <v/>
      </c>
      <c r="BG110" s="1">
        <f>IF(BE110="","", 100*_xlfn.STDEV.P(BE109:BE110)/AVERAGE(BE109:BE110))</f>
        <v/>
      </c>
      <c r="BH110" s="8">
        <f t="array" ref="BH110">IF(BE110="","", IFERROR(((IF(BE$5&lt;&gt;"", BE$5*AW$5, 0) + SUMPRODUCT(--(BE$6:BE110&lt;&gt;""), BE$6:BE110, (AW$6:AW110-AW$5:AW109)))/1000), ""))</f>
        <v/>
      </c>
      <c r="BI110" s="1">
        <f>BI109+20</f>
        <v/>
      </c>
      <c r="BJ110" s="1">
        <f>BK109</f>
        <v/>
      </c>
      <c r="BM110" t="inlineStr">
        <is>
          <t>60mL/3s/30s</t>
        </is>
      </c>
      <c r="BQ110" s="1">
        <f>IF(BK110="", "", (BJ110-BK110)*1000/(BI110-BI109))</f>
        <v/>
      </c>
      <c r="BR110" s="1">
        <f>IF(BQ110="","",BQ110/BN$2/3)</f>
        <v/>
      </c>
      <c r="BS110" s="1">
        <f>IF(BQ110="","", 100*_xlfn.STDEV.P(BQ109:BQ110)/AVERAGE(BQ109:BQ110))</f>
        <v/>
      </c>
      <c r="BT110" s="8">
        <f t="array" ref="BT110">IF(BQ110="","", IFERROR(((IF(BQ$5&lt;&gt;"", BQ$5*BI$5, 0) + SUMPRODUCT(--(BQ$6:BQ110&lt;&gt;""), BQ$6:BQ110, (BI$6:BI110-BI$5:BI109)))/1000), ""))</f>
        <v/>
      </c>
      <c r="BU110" s="1">
        <f>BU109+20</f>
        <v/>
      </c>
      <c r="BV110" s="1">
        <f>BW109</f>
        <v/>
      </c>
      <c r="BY110" t="inlineStr">
        <is>
          <t>60mL/3s/30s</t>
        </is>
      </c>
      <c r="CC110" s="1">
        <f>IF(BW110="", "", (BV110-BW110)*1000/(BU110-BU109))</f>
        <v/>
      </c>
      <c r="CD110" s="1">
        <f>IF(CC110="","",CC110/BZ$2/3)</f>
        <v/>
      </c>
      <c r="CE110" s="1">
        <f>IF(CC110="","", 100*_xlfn.STDEV.P(CC109:CC110)/AVERAGE(CC109:CC110))</f>
        <v/>
      </c>
      <c r="CF110" s="8">
        <f t="array" ref="CF110">IF(CC110="","", IFERROR(((IF(CC$5&lt;&gt;"", CC$5*BU$5, 0) + SUMPRODUCT(--(CC$6:CC110&lt;&gt;""), CC$6:CC110, (BU$6:BU110-BU$5:BU109)))/1000), ""))</f>
        <v/>
      </c>
      <c r="CG110" s="1">
        <f>CG109+20</f>
        <v/>
      </c>
      <c r="CH110" s="1">
        <f>CI109</f>
        <v/>
      </c>
      <c r="CK110" t="inlineStr">
        <is>
          <t>60mL/3s/30s</t>
        </is>
      </c>
      <c r="CO110" s="1">
        <f>IF(CI110="", "", (CH110-CI110)*1000/(CG110-CG109))</f>
        <v/>
      </c>
      <c r="CP110" s="1">
        <f>IF(CO110="","",CO110/CL$2/3)</f>
        <v/>
      </c>
      <c r="CQ110" s="1">
        <f>IF(CO110="","", 100*_xlfn.STDEV.P(CO109:CO110)/AVERAGE(CO109:CO110))</f>
        <v/>
      </c>
      <c r="CR110" s="8">
        <f t="array" ref="CR110">IF(CO110="","", IFERROR(((IF(CO$5&lt;&gt;"", CO$5*CG$5, 0) + SUMPRODUCT(--(CO$6:CO110&lt;&gt;""), CO$6:CO110, (CG$6:CG110-CG$5:CG109)))/1000), ""))</f>
        <v/>
      </c>
    </row>
    <row r="111">
      <c r="A111" s="1">
        <f>A110+20</f>
        <v/>
      </c>
      <c r="B111" s="1">
        <f>C110</f>
        <v/>
      </c>
      <c r="E111" t="inlineStr">
        <is>
          <t>60mL/3s/30s</t>
        </is>
      </c>
      <c r="I111" s="1">
        <f>IF(C111="", "", (B111-C111)*1000/(A111-A110))</f>
        <v/>
      </c>
      <c r="J111" s="1">
        <f>IF(I111="","",I111/F$2/3)</f>
        <v/>
      </c>
      <c r="K111" s="1">
        <f>IF(I111="","", 100*_xlfn.STDEV.P(I110:I111)/AVERAGE(I110:I111))</f>
        <v/>
      </c>
      <c r="L111" s="8">
        <f t="array" ref="L111">IF(I111="","", IFERROR(((IF(I$5&lt;&gt;"", I$5*A$5, 0) + SUMPRODUCT(--(I$6:I111&lt;&gt;""), I$6:I111, (A$6:A111-A$5:A110)))/1000), ""))</f>
        <v/>
      </c>
      <c r="M111" s="1">
        <f>M110+20</f>
        <v/>
      </c>
      <c r="N111" s="1">
        <f>O110</f>
        <v/>
      </c>
      <c r="Q111" t="inlineStr">
        <is>
          <t>60mL/3s/30s</t>
        </is>
      </c>
      <c r="U111" s="1">
        <f>IF(O111="", "", (N111-O111)*1000/(M111-M110))</f>
        <v/>
      </c>
      <c r="V111" s="1">
        <f>IF(U111="","",U111/R$2/3)</f>
        <v/>
      </c>
      <c r="W111" s="1">
        <f>IF(U111="","", 100*_xlfn.STDEV.P(U110:U111)/AVERAGE(U110:U111))</f>
        <v/>
      </c>
      <c r="X111" s="8">
        <f t="array" ref="X111">IF(U111="","", IFERROR(((IF(U$5&lt;&gt;"", U$5*M$5, 0) + SUMPRODUCT(--(U$6:U111&lt;&gt;""), U$6:U111, (M$6:M111-M$5:M110)))/1000), ""))</f>
        <v/>
      </c>
      <c r="Y111" s="1">
        <f>Y110+20</f>
        <v/>
      </c>
      <c r="Z111" s="1">
        <f>AA110</f>
        <v/>
      </c>
      <c r="AC111" t="inlineStr">
        <is>
          <t>60mL/3s/30s</t>
        </is>
      </c>
      <c r="AG111" s="1">
        <f>IF(AA111="", "", (Z111-AA111)*1000/(Y111-Y110))</f>
        <v/>
      </c>
      <c r="AH111" s="1">
        <f>IF(AG111="","",AG111/AD$2/3)</f>
        <v/>
      </c>
      <c r="AI111" s="1">
        <f>IF(AG111="","", 100*_xlfn.STDEV.P(AG110:AG111)/AVERAGE(AG110:AG111))</f>
        <v/>
      </c>
      <c r="AJ111" s="8">
        <f t="array" ref="AJ111">IF(AG111="","", IFERROR(((IF(AG$5&lt;&gt;"", AG$5*Y$5, 0) + SUMPRODUCT(--(AG$6:AG111&lt;&gt;""), AG$6:AG111, (Y$6:Y111-Y$5:Y110)))/1000), ""))</f>
        <v/>
      </c>
      <c r="AK111" s="1">
        <f>AK110+20</f>
        <v/>
      </c>
      <c r="AL111" s="1">
        <f>AM110</f>
        <v/>
      </c>
      <c r="AO111" t="inlineStr">
        <is>
          <t>60mL/3s/30s</t>
        </is>
      </c>
      <c r="AS111" s="1">
        <f>IF(AM111="", "", (AL111-AM111)*1000/(AK111-AK110))</f>
        <v/>
      </c>
      <c r="AT111" s="1">
        <f>IF(AS111="","",AS111/AP$2/3)</f>
        <v/>
      </c>
      <c r="AU111" s="1">
        <f>IF(AS111="","", 100*_xlfn.STDEV.P(AS110:AS111)/AVERAGE(AS110:AS111))</f>
        <v/>
      </c>
      <c r="AV111" s="8">
        <f t="array" ref="AV111">IF(AS111="","", IFERROR(((IF(AS$5&lt;&gt;"", AS$5*AK$5, 0) + SUMPRODUCT(--(AS$6:AS111&lt;&gt;""), AS$6:AS111, (AK$6:AK111-AK$5:AK110)))/1000), ""))</f>
        <v/>
      </c>
      <c r="AW111" s="1">
        <f>AW110+20</f>
        <v/>
      </c>
      <c r="AX111" s="1">
        <f>AY110</f>
        <v/>
      </c>
      <c r="BA111" t="inlineStr">
        <is>
          <t>60mL/3s/30s</t>
        </is>
      </c>
      <c r="BE111" s="1">
        <f>IF(AY111="", "", (AX111-AY111)*1000/(AW111-AW110))</f>
        <v/>
      </c>
      <c r="BF111" s="1">
        <f>IF(BE111="","",BE111/BB$2/3)</f>
        <v/>
      </c>
      <c r="BG111" s="1">
        <f>IF(BE111="","", 100*_xlfn.STDEV.P(BE110:BE111)/AVERAGE(BE110:BE111))</f>
        <v/>
      </c>
      <c r="BH111" s="8">
        <f t="array" ref="BH111">IF(BE111="","", IFERROR(((IF(BE$5&lt;&gt;"", BE$5*AW$5, 0) + SUMPRODUCT(--(BE$6:BE111&lt;&gt;""), BE$6:BE111, (AW$6:AW111-AW$5:AW110)))/1000), ""))</f>
        <v/>
      </c>
      <c r="BI111" s="1">
        <f>BI110+20</f>
        <v/>
      </c>
      <c r="BJ111" s="1">
        <f>BK110</f>
        <v/>
      </c>
      <c r="BM111" t="inlineStr">
        <is>
          <t>60mL/3s/30s</t>
        </is>
      </c>
      <c r="BQ111" s="1">
        <f>IF(BK111="", "", (BJ111-BK111)*1000/(BI111-BI110))</f>
        <v/>
      </c>
      <c r="BR111" s="1">
        <f>IF(BQ111="","",BQ111/BN$2/3)</f>
        <v/>
      </c>
      <c r="BS111" s="1">
        <f>IF(BQ111="","", 100*_xlfn.STDEV.P(BQ110:BQ111)/AVERAGE(BQ110:BQ111))</f>
        <v/>
      </c>
      <c r="BT111" s="8">
        <f t="array" ref="BT111">IF(BQ111="","", IFERROR(((IF(BQ$5&lt;&gt;"", BQ$5*BI$5, 0) + SUMPRODUCT(--(BQ$6:BQ111&lt;&gt;""), BQ$6:BQ111, (BI$6:BI111-BI$5:BI110)))/1000), ""))</f>
        <v/>
      </c>
      <c r="BU111" s="1">
        <f>BU110+20</f>
        <v/>
      </c>
      <c r="BV111" s="1">
        <f>BW110</f>
        <v/>
      </c>
      <c r="BY111" t="inlineStr">
        <is>
          <t>60mL/3s/30s</t>
        </is>
      </c>
      <c r="CC111" s="1">
        <f>IF(BW111="", "", (BV111-BW111)*1000/(BU111-BU110))</f>
        <v/>
      </c>
      <c r="CD111" s="1">
        <f>IF(CC111="","",CC111/BZ$2/3)</f>
        <v/>
      </c>
      <c r="CE111" s="1">
        <f>IF(CC111="","", 100*_xlfn.STDEV.P(CC110:CC111)/AVERAGE(CC110:CC111))</f>
        <v/>
      </c>
      <c r="CF111" s="8">
        <f t="array" ref="CF111">IF(CC111="","", IFERROR(((IF(CC$5&lt;&gt;"", CC$5*BU$5, 0) + SUMPRODUCT(--(CC$6:CC111&lt;&gt;""), CC$6:CC111, (BU$6:BU111-BU$5:BU110)))/1000), ""))</f>
        <v/>
      </c>
      <c r="CG111" s="1">
        <f>CG110+20</f>
        <v/>
      </c>
      <c r="CH111" s="1">
        <f>CI110</f>
        <v/>
      </c>
      <c r="CK111" t="inlineStr">
        <is>
          <t>60mL/3s/30s</t>
        </is>
      </c>
      <c r="CO111" s="1">
        <f>IF(CI111="", "", (CH111-CI111)*1000/(CG111-CG110))</f>
        <v/>
      </c>
      <c r="CP111" s="1">
        <f>IF(CO111="","",CO111/CL$2/3)</f>
        <v/>
      </c>
      <c r="CQ111" s="1">
        <f>IF(CO111="","", 100*_xlfn.STDEV.P(CO110:CO111)/AVERAGE(CO110:CO111))</f>
        <v/>
      </c>
      <c r="CR111" s="8">
        <f t="array" ref="CR111">IF(CO111="","", IFERROR(((IF(CO$5&lt;&gt;"", CO$5*CG$5, 0) + SUMPRODUCT(--(CO$6:CO111&lt;&gt;""), CO$6:CO111, (CG$6:CG111-CG$5:CG110)))/1000), ""))</f>
        <v/>
      </c>
    </row>
    <row r="112">
      <c r="A112" s="1">
        <f>A111+20</f>
        <v/>
      </c>
      <c r="B112" s="1">
        <f>C111</f>
        <v/>
      </c>
      <c r="E112" t="inlineStr">
        <is>
          <t>60mL/3s/30s</t>
        </is>
      </c>
      <c r="I112" s="1">
        <f>IF(C112="", "", (B112-C112)*1000/(A112-A111))</f>
        <v/>
      </c>
      <c r="J112" s="1">
        <f>IF(I112="","",I112/F$2/3)</f>
        <v/>
      </c>
      <c r="K112" s="1">
        <f>IF(I112="","", 100*_xlfn.STDEV.P(I111:I112)/AVERAGE(I111:I112))</f>
        <v/>
      </c>
      <c r="L112" s="8">
        <f t="array" ref="L112">IF(I112="","", IFERROR(((IF(I$5&lt;&gt;"", I$5*A$5, 0) + SUMPRODUCT(--(I$6:I112&lt;&gt;""), I$6:I112, (A$6:A112-A$5:A111)))/1000), ""))</f>
        <v/>
      </c>
      <c r="M112" s="1">
        <f>M111+20</f>
        <v/>
      </c>
      <c r="N112" s="1">
        <f>O111</f>
        <v/>
      </c>
      <c r="Q112" t="inlineStr">
        <is>
          <t>60mL/3s/30s</t>
        </is>
      </c>
      <c r="U112" s="1">
        <f>IF(O112="", "", (N112-O112)*1000/(M112-M111))</f>
        <v/>
      </c>
      <c r="V112" s="1">
        <f>IF(U112="","",U112/R$2/3)</f>
        <v/>
      </c>
      <c r="W112" s="1">
        <f>IF(U112="","", 100*_xlfn.STDEV.P(U111:U112)/AVERAGE(U111:U112))</f>
        <v/>
      </c>
      <c r="X112" s="8">
        <f t="array" ref="X112">IF(U112="","", IFERROR(((IF(U$5&lt;&gt;"", U$5*M$5, 0) + SUMPRODUCT(--(U$6:U112&lt;&gt;""), U$6:U112, (M$6:M112-M$5:M111)))/1000), ""))</f>
        <v/>
      </c>
      <c r="Y112" s="1">
        <f>Y111+20</f>
        <v/>
      </c>
      <c r="Z112" s="1">
        <f>AA111</f>
        <v/>
      </c>
      <c r="AC112" t="inlineStr">
        <is>
          <t>60mL/3s/30s</t>
        </is>
      </c>
      <c r="AG112" s="1">
        <f>IF(AA112="", "", (Z112-AA112)*1000/(Y112-Y111))</f>
        <v/>
      </c>
      <c r="AH112" s="1">
        <f>IF(AG112="","",AG112/AD$2/3)</f>
        <v/>
      </c>
      <c r="AI112" s="1">
        <f>IF(AG112="","", 100*_xlfn.STDEV.P(AG111:AG112)/AVERAGE(AG111:AG112))</f>
        <v/>
      </c>
      <c r="AJ112" s="8">
        <f t="array" ref="AJ112">IF(AG112="","", IFERROR(((IF(AG$5&lt;&gt;"", AG$5*Y$5, 0) + SUMPRODUCT(--(AG$6:AG112&lt;&gt;""), AG$6:AG112, (Y$6:Y112-Y$5:Y111)))/1000), ""))</f>
        <v/>
      </c>
      <c r="AK112" s="1">
        <f>AK111+20</f>
        <v/>
      </c>
      <c r="AL112" s="1">
        <f>AM111</f>
        <v/>
      </c>
      <c r="AO112" t="inlineStr">
        <is>
          <t>60mL/3s/30s</t>
        </is>
      </c>
      <c r="AS112" s="1">
        <f>IF(AM112="", "", (AL112-AM112)*1000/(AK112-AK111))</f>
        <v/>
      </c>
      <c r="AT112" s="1">
        <f>IF(AS112="","",AS112/AP$2/3)</f>
        <v/>
      </c>
      <c r="AU112" s="1">
        <f>IF(AS112="","", 100*_xlfn.STDEV.P(AS111:AS112)/AVERAGE(AS111:AS112))</f>
        <v/>
      </c>
      <c r="AV112" s="8">
        <f t="array" ref="AV112">IF(AS112="","", IFERROR(((IF(AS$5&lt;&gt;"", AS$5*AK$5, 0) + SUMPRODUCT(--(AS$6:AS112&lt;&gt;""), AS$6:AS112, (AK$6:AK112-AK$5:AK111)))/1000), ""))</f>
        <v/>
      </c>
      <c r="AW112" s="1">
        <f>AW111+20</f>
        <v/>
      </c>
      <c r="AX112" s="1">
        <f>AY111</f>
        <v/>
      </c>
      <c r="BA112" t="inlineStr">
        <is>
          <t>60mL/3s/30s</t>
        </is>
      </c>
      <c r="BE112" s="1">
        <f>IF(AY112="", "", (AX112-AY112)*1000/(AW112-AW111))</f>
        <v/>
      </c>
      <c r="BF112" s="1">
        <f>IF(BE112="","",BE112/BB$2/3)</f>
        <v/>
      </c>
      <c r="BG112" s="1">
        <f>IF(BE112="","", 100*_xlfn.STDEV.P(BE111:BE112)/AVERAGE(BE111:BE112))</f>
        <v/>
      </c>
      <c r="BH112" s="8">
        <f t="array" ref="BH112">IF(BE112="","", IFERROR(((IF(BE$5&lt;&gt;"", BE$5*AW$5, 0) + SUMPRODUCT(--(BE$6:BE112&lt;&gt;""), BE$6:BE112, (AW$6:AW112-AW$5:AW111)))/1000), ""))</f>
        <v/>
      </c>
      <c r="BI112" s="1">
        <f>BI111+20</f>
        <v/>
      </c>
      <c r="BJ112" s="1">
        <f>BK111</f>
        <v/>
      </c>
      <c r="BM112" t="inlineStr">
        <is>
          <t>60mL/3s/30s</t>
        </is>
      </c>
      <c r="BQ112" s="1">
        <f>IF(BK112="", "", (BJ112-BK112)*1000/(BI112-BI111))</f>
        <v/>
      </c>
      <c r="BR112" s="1">
        <f>IF(BQ112="","",BQ112/BN$2/3)</f>
        <v/>
      </c>
      <c r="BS112" s="1">
        <f>IF(BQ112="","", 100*_xlfn.STDEV.P(BQ111:BQ112)/AVERAGE(BQ111:BQ112))</f>
        <v/>
      </c>
      <c r="BT112" s="8">
        <f t="array" ref="BT112">IF(BQ112="","", IFERROR(((IF(BQ$5&lt;&gt;"", BQ$5*BI$5, 0) + SUMPRODUCT(--(BQ$6:BQ112&lt;&gt;""), BQ$6:BQ112, (BI$6:BI112-BI$5:BI111)))/1000), ""))</f>
        <v/>
      </c>
      <c r="BU112" s="1">
        <f>BU111+20</f>
        <v/>
      </c>
      <c r="BV112" s="1">
        <f>BW111</f>
        <v/>
      </c>
      <c r="BY112" t="inlineStr">
        <is>
          <t>60mL/3s/30s</t>
        </is>
      </c>
      <c r="CC112" s="1">
        <f>IF(BW112="", "", (BV112-BW112)*1000/(BU112-BU111))</f>
        <v/>
      </c>
      <c r="CD112" s="1">
        <f>IF(CC112="","",CC112/BZ$2/3)</f>
        <v/>
      </c>
      <c r="CE112" s="1">
        <f>IF(CC112="","", 100*_xlfn.STDEV.P(CC111:CC112)/AVERAGE(CC111:CC112))</f>
        <v/>
      </c>
      <c r="CF112" s="8">
        <f t="array" ref="CF112">IF(CC112="","", IFERROR(((IF(CC$5&lt;&gt;"", CC$5*BU$5, 0) + SUMPRODUCT(--(CC$6:CC112&lt;&gt;""), CC$6:CC112, (BU$6:BU112-BU$5:BU111)))/1000), ""))</f>
        <v/>
      </c>
      <c r="CG112" s="1">
        <f>CG111+20</f>
        <v/>
      </c>
      <c r="CH112" s="1">
        <f>CI111</f>
        <v/>
      </c>
      <c r="CK112" t="inlineStr">
        <is>
          <t>60mL/3s/30s</t>
        </is>
      </c>
      <c r="CO112" s="1">
        <f>IF(CI112="", "", (CH112-CI112)*1000/(CG112-CG111))</f>
        <v/>
      </c>
      <c r="CP112" s="1">
        <f>IF(CO112="","",CO112/CL$2/3)</f>
        <v/>
      </c>
      <c r="CQ112" s="1">
        <f>IF(CO112="","", 100*_xlfn.STDEV.P(CO111:CO112)/AVERAGE(CO111:CO112))</f>
        <v/>
      </c>
      <c r="CR112" s="8">
        <f t="array" ref="CR112">IF(CO112="","", IFERROR(((IF(CO$5&lt;&gt;"", CO$5*CG$5, 0) + SUMPRODUCT(--(CO$6:CO112&lt;&gt;""), CO$6:CO112, (CG$6:CG112-CG$5:CG111)))/1000), ""))</f>
        <v/>
      </c>
    </row>
    <row r="113">
      <c r="A113" s="1">
        <f>A112+20</f>
        <v/>
      </c>
      <c r="B113" s="1">
        <f>C112</f>
        <v/>
      </c>
      <c r="E113" t="inlineStr">
        <is>
          <t>60mL/3s/30s</t>
        </is>
      </c>
      <c r="I113" s="1">
        <f>IF(C113="", "", (B113-C113)*1000/(A113-A112))</f>
        <v/>
      </c>
      <c r="J113" s="1">
        <f>IF(I113="","",I113/F$2/3)</f>
        <v/>
      </c>
      <c r="K113" s="1">
        <f>IF(I113="","", 100*_xlfn.STDEV.P(I112:I113)/AVERAGE(I112:I113))</f>
        <v/>
      </c>
      <c r="L113" s="8">
        <f t="array" ref="L113">IF(I113="","", IFERROR(((IF(I$5&lt;&gt;"", I$5*A$5, 0) + SUMPRODUCT(--(I$6:I113&lt;&gt;""), I$6:I113, (A$6:A113-A$5:A112)))/1000), ""))</f>
        <v/>
      </c>
      <c r="M113" s="1">
        <f>M112+20</f>
        <v/>
      </c>
      <c r="N113" s="1">
        <f>O112</f>
        <v/>
      </c>
      <c r="Q113" t="inlineStr">
        <is>
          <t>60mL/3s/30s</t>
        </is>
      </c>
      <c r="U113" s="1">
        <f>IF(O113="", "", (N113-O113)*1000/(M113-M112))</f>
        <v/>
      </c>
      <c r="V113" s="1">
        <f>IF(U113="","",U113/R$2/3)</f>
        <v/>
      </c>
      <c r="W113" s="1">
        <f>IF(U113="","", 100*_xlfn.STDEV.P(U112:U113)/AVERAGE(U112:U113))</f>
        <v/>
      </c>
      <c r="X113" s="8">
        <f t="array" ref="X113">IF(U113="","", IFERROR(((IF(U$5&lt;&gt;"", U$5*M$5, 0) + SUMPRODUCT(--(U$6:U113&lt;&gt;""), U$6:U113, (M$6:M113-M$5:M112)))/1000), ""))</f>
        <v/>
      </c>
      <c r="Y113" s="1">
        <f>Y112+20</f>
        <v/>
      </c>
      <c r="Z113" s="1">
        <f>AA112</f>
        <v/>
      </c>
      <c r="AC113" t="inlineStr">
        <is>
          <t>60mL/3s/30s</t>
        </is>
      </c>
      <c r="AG113" s="1">
        <f>IF(AA113="", "", (Z113-AA113)*1000/(Y113-Y112))</f>
        <v/>
      </c>
      <c r="AH113" s="1">
        <f>IF(AG113="","",AG113/AD$2/3)</f>
        <v/>
      </c>
      <c r="AI113" s="1">
        <f>IF(AG113="","", 100*_xlfn.STDEV.P(AG112:AG113)/AVERAGE(AG112:AG113))</f>
        <v/>
      </c>
      <c r="AJ113" s="8">
        <f t="array" ref="AJ113">IF(AG113="","", IFERROR(((IF(AG$5&lt;&gt;"", AG$5*Y$5, 0) + SUMPRODUCT(--(AG$6:AG113&lt;&gt;""), AG$6:AG113, (Y$6:Y113-Y$5:Y112)))/1000), ""))</f>
        <v/>
      </c>
      <c r="AK113" s="1">
        <f>AK112+20</f>
        <v/>
      </c>
      <c r="AL113" s="1">
        <f>AM112</f>
        <v/>
      </c>
      <c r="AO113" t="inlineStr">
        <is>
          <t>60mL/3s/30s</t>
        </is>
      </c>
      <c r="AS113" s="1">
        <f>IF(AM113="", "", (AL113-AM113)*1000/(AK113-AK112))</f>
        <v/>
      </c>
      <c r="AT113" s="1">
        <f>IF(AS113="","",AS113/AP$2/3)</f>
        <v/>
      </c>
      <c r="AU113" s="1">
        <f>IF(AS113="","", 100*_xlfn.STDEV.P(AS112:AS113)/AVERAGE(AS112:AS113))</f>
        <v/>
      </c>
      <c r="AV113" s="8">
        <f t="array" ref="AV113">IF(AS113="","", IFERROR(((IF(AS$5&lt;&gt;"", AS$5*AK$5, 0) + SUMPRODUCT(--(AS$6:AS113&lt;&gt;""), AS$6:AS113, (AK$6:AK113-AK$5:AK112)))/1000), ""))</f>
        <v/>
      </c>
      <c r="AW113" s="1">
        <f>AW112+20</f>
        <v/>
      </c>
      <c r="AX113" s="1">
        <f>AY112</f>
        <v/>
      </c>
      <c r="BA113" t="inlineStr">
        <is>
          <t>60mL/3s/30s</t>
        </is>
      </c>
      <c r="BE113" s="1">
        <f>IF(AY113="", "", (AX113-AY113)*1000/(AW113-AW112))</f>
        <v/>
      </c>
      <c r="BF113" s="1">
        <f>IF(BE113="","",BE113/BB$2/3)</f>
        <v/>
      </c>
      <c r="BG113" s="1">
        <f>IF(BE113="","", 100*_xlfn.STDEV.P(BE112:BE113)/AVERAGE(BE112:BE113))</f>
        <v/>
      </c>
      <c r="BH113" s="8">
        <f t="array" ref="BH113">IF(BE113="","", IFERROR(((IF(BE$5&lt;&gt;"", BE$5*AW$5, 0) + SUMPRODUCT(--(BE$6:BE113&lt;&gt;""), BE$6:BE113, (AW$6:AW113-AW$5:AW112)))/1000), ""))</f>
        <v/>
      </c>
      <c r="BI113" s="1">
        <f>BI112+20</f>
        <v/>
      </c>
      <c r="BJ113" s="1">
        <f>BK112</f>
        <v/>
      </c>
      <c r="BM113" t="inlineStr">
        <is>
          <t>60mL/3s/30s</t>
        </is>
      </c>
      <c r="BQ113" s="1">
        <f>IF(BK113="", "", (BJ113-BK113)*1000/(BI113-BI112))</f>
        <v/>
      </c>
      <c r="BR113" s="1">
        <f>IF(BQ113="","",BQ113/BN$2/3)</f>
        <v/>
      </c>
      <c r="BS113" s="1">
        <f>IF(BQ113="","", 100*_xlfn.STDEV.P(BQ112:BQ113)/AVERAGE(BQ112:BQ113))</f>
        <v/>
      </c>
      <c r="BT113" s="8">
        <f t="array" ref="BT113">IF(BQ113="","", IFERROR(((IF(BQ$5&lt;&gt;"", BQ$5*BI$5, 0) + SUMPRODUCT(--(BQ$6:BQ113&lt;&gt;""), BQ$6:BQ113, (BI$6:BI113-BI$5:BI112)))/1000), ""))</f>
        <v/>
      </c>
      <c r="BU113" s="1">
        <f>BU112+20</f>
        <v/>
      </c>
      <c r="BV113" s="1">
        <f>BW112</f>
        <v/>
      </c>
      <c r="BY113" t="inlineStr">
        <is>
          <t>60mL/3s/30s</t>
        </is>
      </c>
      <c r="CC113" s="1">
        <f>IF(BW113="", "", (BV113-BW113)*1000/(BU113-BU112))</f>
        <v/>
      </c>
      <c r="CD113" s="1">
        <f>IF(CC113="","",CC113/BZ$2/3)</f>
        <v/>
      </c>
      <c r="CE113" s="1">
        <f>IF(CC113="","", 100*_xlfn.STDEV.P(CC112:CC113)/AVERAGE(CC112:CC113))</f>
        <v/>
      </c>
      <c r="CF113" s="8">
        <f t="array" ref="CF113">IF(CC113="","", IFERROR(((IF(CC$5&lt;&gt;"", CC$5*BU$5, 0) + SUMPRODUCT(--(CC$6:CC113&lt;&gt;""), CC$6:CC113, (BU$6:BU113-BU$5:BU112)))/1000), ""))</f>
        <v/>
      </c>
      <c r="CG113" s="1">
        <f>CG112+20</f>
        <v/>
      </c>
      <c r="CH113" s="1">
        <f>CI112</f>
        <v/>
      </c>
      <c r="CK113" t="inlineStr">
        <is>
          <t>60mL/3s/30s</t>
        </is>
      </c>
      <c r="CO113" s="1">
        <f>IF(CI113="", "", (CH113-CI113)*1000/(CG113-CG112))</f>
        <v/>
      </c>
      <c r="CP113" s="1">
        <f>IF(CO113="","",CO113/CL$2/3)</f>
        <v/>
      </c>
      <c r="CQ113" s="1">
        <f>IF(CO113="","", 100*_xlfn.STDEV.P(CO112:CO113)/AVERAGE(CO112:CO113))</f>
        <v/>
      </c>
      <c r="CR113" s="8">
        <f t="array" ref="CR113">IF(CO113="","", IFERROR(((IF(CO$5&lt;&gt;"", CO$5*CG$5, 0) + SUMPRODUCT(--(CO$6:CO113&lt;&gt;""), CO$6:CO113, (CG$6:CG113-CG$5:CG112)))/1000), ""))</f>
        <v/>
      </c>
    </row>
    <row r="114">
      <c r="A114" s="1">
        <f>A113+20</f>
        <v/>
      </c>
      <c r="B114" s="1">
        <f>C113</f>
        <v/>
      </c>
      <c r="E114" t="inlineStr">
        <is>
          <t>60mL/3s/30s</t>
        </is>
      </c>
      <c r="I114" s="1">
        <f>IF(C114="", "", (B114-C114)*1000/(A114-A113))</f>
        <v/>
      </c>
      <c r="J114" s="1">
        <f>IF(I114="","",I114/F$2/3)</f>
        <v/>
      </c>
      <c r="K114" s="1">
        <f>IF(I114="","", 100*_xlfn.STDEV.P(I113:I114)/AVERAGE(I113:I114))</f>
        <v/>
      </c>
      <c r="L114" s="8">
        <f t="array" ref="L114">IF(I114="","", IFERROR(((IF(I$5&lt;&gt;"", I$5*A$5, 0) + SUMPRODUCT(--(I$6:I114&lt;&gt;""), I$6:I114, (A$6:A114-A$5:A113)))/1000), ""))</f>
        <v/>
      </c>
      <c r="M114" s="1">
        <f>M113+20</f>
        <v/>
      </c>
      <c r="N114" s="1">
        <f>O113</f>
        <v/>
      </c>
      <c r="Q114" t="inlineStr">
        <is>
          <t>60mL/3s/30s</t>
        </is>
      </c>
      <c r="U114" s="1">
        <f>IF(O114="", "", (N114-O114)*1000/(M114-M113))</f>
        <v/>
      </c>
      <c r="V114" s="1">
        <f>IF(U114="","",U114/R$2/3)</f>
        <v/>
      </c>
      <c r="W114" s="1">
        <f>IF(U114="","", 100*_xlfn.STDEV.P(U113:U114)/AVERAGE(U113:U114))</f>
        <v/>
      </c>
      <c r="X114" s="8">
        <f t="array" ref="X114">IF(U114="","", IFERROR(((IF(U$5&lt;&gt;"", U$5*M$5, 0) + SUMPRODUCT(--(U$6:U114&lt;&gt;""), U$6:U114, (M$6:M114-M$5:M113)))/1000), ""))</f>
        <v/>
      </c>
      <c r="Y114" s="1">
        <f>Y113+20</f>
        <v/>
      </c>
      <c r="Z114" s="1">
        <f>AA113</f>
        <v/>
      </c>
      <c r="AC114" t="inlineStr">
        <is>
          <t>60mL/3s/30s</t>
        </is>
      </c>
      <c r="AG114" s="1">
        <f>IF(AA114="", "", (Z114-AA114)*1000/(Y114-Y113))</f>
        <v/>
      </c>
      <c r="AH114" s="1">
        <f>IF(AG114="","",AG114/AD$2/3)</f>
        <v/>
      </c>
      <c r="AI114" s="1">
        <f>IF(AG114="","", 100*_xlfn.STDEV.P(AG113:AG114)/AVERAGE(AG113:AG114))</f>
        <v/>
      </c>
      <c r="AJ114" s="8">
        <f t="array" ref="AJ114">IF(AG114="","", IFERROR(((IF(AG$5&lt;&gt;"", AG$5*Y$5, 0) + SUMPRODUCT(--(AG$6:AG114&lt;&gt;""), AG$6:AG114, (Y$6:Y114-Y$5:Y113)))/1000), ""))</f>
        <v/>
      </c>
      <c r="AK114" s="1">
        <f>AK113+20</f>
        <v/>
      </c>
      <c r="AL114" s="1">
        <f>AM113</f>
        <v/>
      </c>
      <c r="AO114" t="inlineStr">
        <is>
          <t>60mL/3s/30s</t>
        </is>
      </c>
      <c r="AS114" s="1">
        <f>IF(AM114="", "", (AL114-AM114)*1000/(AK114-AK113))</f>
        <v/>
      </c>
      <c r="AT114" s="1">
        <f>IF(AS114="","",AS114/AP$2/3)</f>
        <v/>
      </c>
      <c r="AU114" s="1">
        <f>IF(AS114="","", 100*_xlfn.STDEV.P(AS113:AS114)/AVERAGE(AS113:AS114))</f>
        <v/>
      </c>
      <c r="AV114" s="8">
        <f t="array" ref="AV114">IF(AS114="","", IFERROR(((IF(AS$5&lt;&gt;"", AS$5*AK$5, 0) + SUMPRODUCT(--(AS$6:AS114&lt;&gt;""), AS$6:AS114, (AK$6:AK114-AK$5:AK113)))/1000), ""))</f>
        <v/>
      </c>
      <c r="AW114" s="1">
        <f>AW113+20</f>
        <v/>
      </c>
      <c r="AX114" s="1">
        <f>AY113</f>
        <v/>
      </c>
      <c r="BA114" t="inlineStr">
        <is>
          <t>60mL/3s/30s</t>
        </is>
      </c>
      <c r="BE114" s="1">
        <f>IF(AY114="", "", (AX114-AY114)*1000/(AW114-AW113))</f>
        <v/>
      </c>
      <c r="BF114" s="1">
        <f>IF(BE114="","",BE114/BB$2/3)</f>
        <v/>
      </c>
      <c r="BG114" s="1">
        <f>IF(BE114="","", 100*_xlfn.STDEV.P(BE113:BE114)/AVERAGE(BE113:BE114))</f>
        <v/>
      </c>
      <c r="BH114" s="8">
        <f t="array" ref="BH114">IF(BE114="","", IFERROR(((IF(BE$5&lt;&gt;"", BE$5*AW$5, 0) + SUMPRODUCT(--(BE$6:BE114&lt;&gt;""), BE$6:BE114, (AW$6:AW114-AW$5:AW113)))/1000), ""))</f>
        <v/>
      </c>
      <c r="BI114" s="1">
        <f>BI113+20</f>
        <v/>
      </c>
      <c r="BJ114" s="1">
        <f>BK113</f>
        <v/>
      </c>
      <c r="BM114" t="inlineStr">
        <is>
          <t>60mL/3s/30s</t>
        </is>
      </c>
      <c r="BQ114" s="1">
        <f>IF(BK114="", "", (BJ114-BK114)*1000/(BI114-BI113))</f>
        <v/>
      </c>
      <c r="BR114" s="1">
        <f>IF(BQ114="","",BQ114/BN$2/3)</f>
        <v/>
      </c>
      <c r="BS114" s="1">
        <f>IF(BQ114="","", 100*_xlfn.STDEV.P(BQ113:BQ114)/AVERAGE(BQ113:BQ114))</f>
        <v/>
      </c>
      <c r="BT114" s="8">
        <f t="array" ref="BT114">IF(BQ114="","", IFERROR(((IF(BQ$5&lt;&gt;"", BQ$5*BI$5, 0) + SUMPRODUCT(--(BQ$6:BQ114&lt;&gt;""), BQ$6:BQ114, (BI$6:BI114-BI$5:BI113)))/1000), ""))</f>
        <v/>
      </c>
      <c r="BU114" s="1">
        <f>BU113+20</f>
        <v/>
      </c>
      <c r="BV114" s="1">
        <f>BW113</f>
        <v/>
      </c>
      <c r="BY114" t="inlineStr">
        <is>
          <t>60mL/3s/30s</t>
        </is>
      </c>
      <c r="CC114" s="1">
        <f>IF(BW114="", "", (BV114-BW114)*1000/(BU114-BU113))</f>
        <v/>
      </c>
      <c r="CD114" s="1">
        <f>IF(CC114="","",CC114/BZ$2/3)</f>
        <v/>
      </c>
      <c r="CE114" s="1">
        <f>IF(CC114="","", 100*_xlfn.STDEV.P(CC113:CC114)/AVERAGE(CC113:CC114))</f>
        <v/>
      </c>
      <c r="CF114" s="8">
        <f t="array" ref="CF114">IF(CC114="","", IFERROR(((IF(CC$5&lt;&gt;"", CC$5*BU$5, 0) + SUMPRODUCT(--(CC$6:CC114&lt;&gt;""), CC$6:CC114, (BU$6:BU114-BU$5:BU113)))/1000), ""))</f>
        <v/>
      </c>
      <c r="CG114" s="1">
        <f>CG113+20</f>
        <v/>
      </c>
      <c r="CH114" s="1">
        <f>CI113</f>
        <v/>
      </c>
      <c r="CK114" t="inlineStr">
        <is>
          <t>60mL/3s/30s</t>
        </is>
      </c>
      <c r="CO114" s="1">
        <f>IF(CI114="", "", (CH114-CI114)*1000/(CG114-CG113))</f>
        <v/>
      </c>
      <c r="CP114" s="1">
        <f>IF(CO114="","",CO114/CL$2/3)</f>
        <v/>
      </c>
      <c r="CQ114" s="1">
        <f>IF(CO114="","", 100*_xlfn.STDEV.P(CO113:CO114)/AVERAGE(CO113:CO114))</f>
        <v/>
      </c>
      <c r="CR114" s="8">
        <f t="array" ref="CR114">IF(CO114="","", IFERROR(((IF(CO$5&lt;&gt;"", CO$5*CG$5, 0) + SUMPRODUCT(--(CO$6:CO114&lt;&gt;""), CO$6:CO114, (CG$6:CG114-CG$5:CG113)))/1000), ""))</f>
        <v/>
      </c>
    </row>
    <row r="115">
      <c r="A115" s="1">
        <f>A114+20</f>
        <v/>
      </c>
      <c r="B115" s="1">
        <f>C114</f>
        <v/>
      </c>
      <c r="E115" t="inlineStr">
        <is>
          <t>60mL/3s/30s</t>
        </is>
      </c>
      <c r="I115" s="1">
        <f>IF(C115="", "", (B115-C115)*1000/(A115-A114))</f>
        <v/>
      </c>
      <c r="J115" s="1">
        <f>IF(I115="","",I115/F$2/3)</f>
        <v/>
      </c>
      <c r="K115" s="1">
        <f>IF(I115="","", 100*_xlfn.STDEV.P(I114:I115)/AVERAGE(I114:I115))</f>
        <v/>
      </c>
      <c r="L115" s="8">
        <f t="array" ref="L115">IF(I115="","", IFERROR(((IF(I$5&lt;&gt;"", I$5*A$5, 0) + SUMPRODUCT(--(I$6:I115&lt;&gt;""), I$6:I115, (A$6:A115-A$5:A114)))/1000), ""))</f>
        <v/>
      </c>
      <c r="M115" s="1">
        <f>M114+20</f>
        <v/>
      </c>
      <c r="N115" s="1">
        <f>O114</f>
        <v/>
      </c>
      <c r="Q115" t="inlineStr">
        <is>
          <t>60mL/3s/30s</t>
        </is>
      </c>
      <c r="U115" s="1">
        <f>IF(O115="", "", (N115-O115)*1000/(M115-M114))</f>
        <v/>
      </c>
      <c r="V115" s="1">
        <f>IF(U115="","",U115/R$2/3)</f>
        <v/>
      </c>
      <c r="W115" s="1">
        <f>IF(U115="","", 100*_xlfn.STDEV.P(U114:U115)/AVERAGE(U114:U115))</f>
        <v/>
      </c>
      <c r="X115" s="8">
        <f t="array" ref="X115">IF(U115="","", IFERROR(((IF(U$5&lt;&gt;"", U$5*M$5, 0) + SUMPRODUCT(--(U$6:U115&lt;&gt;""), U$6:U115, (M$6:M115-M$5:M114)))/1000), ""))</f>
        <v/>
      </c>
      <c r="Y115" s="1">
        <f>Y114+20</f>
        <v/>
      </c>
      <c r="Z115" s="1">
        <f>AA114</f>
        <v/>
      </c>
      <c r="AC115" t="inlineStr">
        <is>
          <t>60mL/3s/30s</t>
        </is>
      </c>
      <c r="AG115" s="1">
        <f>IF(AA115="", "", (Z115-AA115)*1000/(Y115-Y114))</f>
        <v/>
      </c>
      <c r="AH115" s="1">
        <f>IF(AG115="","",AG115/AD$2/3)</f>
        <v/>
      </c>
      <c r="AI115" s="1">
        <f>IF(AG115="","", 100*_xlfn.STDEV.P(AG114:AG115)/AVERAGE(AG114:AG115))</f>
        <v/>
      </c>
      <c r="AJ115" s="8">
        <f t="array" ref="AJ115">IF(AG115="","", IFERROR(((IF(AG$5&lt;&gt;"", AG$5*Y$5, 0) + SUMPRODUCT(--(AG$6:AG115&lt;&gt;""), AG$6:AG115, (Y$6:Y115-Y$5:Y114)))/1000), ""))</f>
        <v/>
      </c>
      <c r="AK115" s="1">
        <f>AK114+20</f>
        <v/>
      </c>
      <c r="AL115" s="1">
        <f>AM114</f>
        <v/>
      </c>
      <c r="AO115" t="inlineStr">
        <is>
          <t>60mL/3s/30s</t>
        </is>
      </c>
      <c r="AS115" s="1">
        <f>IF(AM115="", "", (AL115-AM115)*1000/(AK115-AK114))</f>
        <v/>
      </c>
      <c r="AT115" s="1">
        <f>IF(AS115="","",AS115/AP$2/3)</f>
        <v/>
      </c>
      <c r="AU115" s="1">
        <f>IF(AS115="","", 100*_xlfn.STDEV.P(AS114:AS115)/AVERAGE(AS114:AS115))</f>
        <v/>
      </c>
      <c r="AV115" s="8">
        <f t="array" ref="AV115">IF(AS115="","", IFERROR(((IF(AS$5&lt;&gt;"", AS$5*AK$5, 0) + SUMPRODUCT(--(AS$6:AS115&lt;&gt;""), AS$6:AS115, (AK$6:AK115-AK$5:AK114)))/1000), ""))</f>
        <v/>
      </c>
      <c r="AW115" s="1">
        <f>AW114+20</f>
        <v/>
      </c>
      <c r="AX115" s="1">
        <f>AY114</f>
        <v/>
      </c>
      <c r="BA115" t="inlineStr">
        <is>
          <t>60mL/3s/30s</t>
        </is>
      </c>
      <c r="BE115" s="1">
        <f>IF(AY115="", "", (AX115-AY115)*1000/(AW115-AW114))</f>
        <v/>
      </c>
      <c r="BF115" s="1">
        <f>IF(BE115="","",BE115/BB$2/3)</f>
        <v/>
      </c>
      <c r="BG115" s="1">
        <f>IF(BE115="","", 100*_xlfn.STDEV.P(BE114:BE115)/AVERAGE(BE114:BE115))</f>
        <v/>
      </c>
      <c r="BH115" s="8">
        <f t="array" ref="BH115">IF(BE115="","", IFERROR(((IF(BE$5&lt;&gt;"", BE$5*AW$5, 0) + SUMPRODUCT(--(BE$6:BE115&lt;&gt;""), BE$6:BE115, (AW$6:AW115-AW$5:AW114)))/1000), ""))</f>
        <v/>
      </c>
      <c r="BI115" s="1">
        <f>BI114+20</f>
        <v/>
      </c>
      <c r="BJ115" s="1">
        <f>BK114</f>
        <v/>
      </c>
      <c r="BM115" t="inlineStr">
        <is>
          <t>60mL/3s/30s</t>
        </is>
      </c>
      <c r="BQ115" s="1">
        <f>IF(BK115="", "", (BJ115-BK115)*1000/(BI115-BI114))</f>
        <v/>
      </c>
      <c r="BR115" s="1">
        <f>IF(BQ115="","",BQ115/BN$2/3)</f>
        <v/>
      </c>
      <c r="BS115" s="1">
        <f>IF(BQ115="","", 100*_xlfn.STDEV.P(BQ114:BQ115)/AVERAGE(BQ114:BQ115))</f>
        <v/>
      </c>
      <c r="BT115" s="8">
        <f t="array" ref="BT115">IF(BQ115="","", IFERROR(((IF(BQ$5&lt;&gt;"", BQ$5*BI$5, 0) + SUMPRODUCT(--(BQ$6:BQ115&lt;&gt;""), BQ$6:BQ115, (BI$6:BI115-BI$5:BI114)))/1000), ""))</f>
        <v/>
      </c>
      <c r="BU115" s="1">
        <f>BU114+20</f>
        <v/>
      </c>
      <c r="BV115" s="1">
        <f>BW114</f>
        <v/>
      </c>
      <c r="BY115" t="inlineStr">
        <is>
          <t>60mL/3s/30s</t>
        </is>
      </c>
      <c r="CC115" s="1">
        <f>IF(BW115="", "", (BV115-BW115)*1000/(BU115-BU114))</f>
        <v/>
      </c>
      <c r="CD115" s="1">
        <f>IF(CC115="","",CC115/BZ$2/3)</f>
        <v/>
      </c>
      <c r="CE115" s="1">
        <f>IF(CC115="","", 100*_xlfn.STDEV.P(CC114:CC115)/AVERAGE(CC114:CC115))</f>
        <v/>
      </c>
      <c r="CF115" s="8">
        <f t="array" ref="CF115">IF(CC115="","", IFERROR(((IF(CC$5&lt;&gt;"", CC$5*BU$5, 0) + SUMPRODUCT(--(CC$6:CC115&lt;&gt;""), CC$6:CC115, (BU$6:BU115-BU$5:BU114)))/1000), ""))</f>
        <v/>
      </c>
      <c r="CG115" s="1">
        <f>CG114+20</f>
        <v/>
      </c>
      <c r="CH115" s="1">
        <f>CI114</f>
        <v/>
      </c>
      <c r="CK115" t="inlineStr">
        <is>
          <t>60mL/3s/30s</t>
        </is>
      </c>
      <c r="CO115" s="1">
        <f>IF(CI115="", "", (CH115-CI115)*1000/(CG115-CG114))</f>
        <v/>
      </c>
      <c r="CP115" s="1">
        <f>IF(CO115="","",CO115/CL$2/3)</f>
        <v/>
      </c>
      <c r="CQ115" s="1">
        <f>IF(CO115="","", 100*_xlfn.STDEV.P(CO114:CO115)/AVERAGE(CO114:CO115))</f>
        <v/>
      </c>
      <c r="CR115" s="8">
        <f t="array" ref="CR115">IF(CO115="","", IFERROR(((IF(CO$5&lt;&gt;"", CO$5*CG$5, 0) + SUMPRODUCT(--(CO$6:CO115&lt;&gt;""), CO$6:CO115, (CG$6:CG115-CG$5:CG114)))/1000), ""))</f>
        <v/>
      </c>
    </row>
    <row r="116"/>
  </sheetData>
  <conditionalFormatting sqref="I5:L115">
    <cfRule type="containsErrors" priority="15" dxfId="0">
      <formula>ISERROR(I5)</formula>
    </cfRule>
  </conditionalFormatting>
  <conditionalFormatting sqref="K6:K115">
    <cfRule type="cellIs" priority="69" operator="between" dxfId="29">
      <formula>0</formula>
      <formula>15</formula>
    </cfRule>
    <cfRule type="cellIs" priority="70" operator="between" dxfId="28">
      <formula>15</formula>
      <formula>25</formula>
    </cfRule>
    <cfRule type="cellIs" priority="71" operator="between" dxfId="27">
      <formula>25</formula>
      <formula>1000</formula>
    </cfRule>
  </conditionalFormatting>
  <conditionalFormatting sqref="L2:L3 X2:X3">
    <cfRule type="containsErrors" priority="62" dxfId="0">
      <formula>ISERROR(L2)</formula>
    </cfRule>
  </conditionalFormatting>
  <conditionalFormatting sqref="U5:U115 W5:X115">
    <cfRule type="containsErrors" priority="14" dxfId="0">
      <formula>ISERROR(U5)</formula>
    </cfRule>
  </conditionalFormatting>
  <conditionalFormatting sqref="W6:W115">
    <cfRule type="cellIs" priority="66" operator="between" dxfId="29">
      <formula>0</formula>
      <formula>15</formula>
    </cfRule>
    <cfRule type="cellIs" priority="67" operator="between" dxfId="28">
      <formula>15</formula>
      <formula>25</formula>
    </cfRule>
    <cfRule type="cellIs" priority="68" operator="between" dxfId="27">
      <formula>25</formula>
      <formula>1000</formula>
    </cfRule>
  </conditionalFormatting>
  <conditionalFormatting sqref="AG5:AG115 AI5:AJ115">
    <cfRule type="containsErrors" priority="13" dxfId="0">
      <formula>ISERROR(AG5)</formula>
    </cfRule>
  </conditionalFormatting>
  <conditionalFormatting sqref="AI6:AI115">
    <cfRule type="cellIs" priority="59" operator="between" dxfId="29">
      <formula>0</formula>
      <formula>15</formula>
    </cfRule>
    <cfRule type="cellIs" priority="60" operator="between" dxfId="28">
      <formula>15</formula>
      <formula>25</formula>
    </cfRule>
    <cfRule type="cellIs" priority="61" operator="between" dxfId="27">
      <formula>25</formula>
      <formula>1000</formula>
    </cfRule>
  </conditionalFormatting>
  <conditionalFormatting sqref="AJ2:AJ3 AV2:AV3">
    <cfRule type="containsErrors" priority="54" dxfId="0">
      <formula>ISERROR(AJ2)</formula>
    </cfRule>
  </conditionalFormatting>
  <conditionalFormatting sqref="AS5:AS115 AU5:AV115">
    <cfRule type="containsErrors" priority="12" dxfId="0">
      <formula>ISERROR(AS5)</formula>
    </cfRule>
  </conditionalFormatting>
  <conditionalFormatting sqref="AU6:AU115">
    <cfRule type="cellIs" priority="56" operator="between" dxfId="29">
      <formula>0</formula>
      <formula>15</formula>
    </cfRule>
    <cfRule type="cellIs" priority="57" operator="between" dxfId="28">
      <formula>15</formula>
      <formula>25</formula>
    </cfRule>
    <cfRule type="cellIs" priority="58" operator="between" dxfId="27">
      <formula>25</formula>
      <formula>1000</formula>
    </cfRule>
  </conditionalFormatting>
  <conditionalFormatting sqref="BE5:BE115 BG5:BH115">
    <cfRule type="containsErrors" priority="11" dxfId="0">
      <formula>ISERROR(BE5)</formula>
    </cfRule>
  </conditionalFormatting>
  <conditionalFormatting sqref="BG6:BG115">
    <cfRule type="cellIs" priority="51" operator="between" dxfId="29">
      <formula>0</formula>
      <formula>15</formula>
    </cfRule>
    <cfRule type="cellIs" priority="52" operator="between" dxfId="28">
      <formula>15</formula>
      <formula>25</formula>
    </cfRule>
    <cfRule type="cellIs" priority="53" operator="between" dxfId="27">
      <formula>25</formula>
      <formula>1000</formula>
    </cfRule>
  </conditionalFormatting>
  <conditionalFormatting sqref="BH2:BH3 BT2:BT3">
    <cfRule type="containsErrors" priority="46" dxfId="0">
      <formula>ISERROR(BH2)</formula>
    </cfRule>
  </conditionalFormatting>
  <conditionalFormatting sqref="BQ5:BQ115 BS5:BT115">
    <cfRule type="containsErrors" priority="10" dxfId="0">
      <formula>ISERROR(BQ5)</formula>
    </cfRule>
  </conditionalFormatting>
  <conditionalFormatting sqref="BS6:BS115">
    <cfRule type="cellIs" priority="48" operator="between" dxfId="29">
      <formula>0</formula>
      <formula>15</formula>
    </cfRule>
    <cfRule type="cellIs" priority="49" operator="between" dxfId="28">
      <formula>15</formula>
      <formula>25</formula>
    </cfRule>
    <cfRule type="cellIs" priority="50" operator="between" dxfId="27">
      <formula>25</formula>
      <formula>1000</formula>
    </cfRule>
  </conditionalFormatting>
  <conditionalFormatting sqref="CC5:CC115 CE5:CF115">
    <cfRule type="containsErrors" priority="9" dxfId="0">
      <formula>ISERROR(CC5)</formula>
    </cfRule>
  </conditionalFormatting>
  <conditionalFormatting sqref="CE6:CE115">
    <cfRule type="cellIs" priority="43" operator="between" dxfId="29">
      <formula>0</formula>
      <formula>15</formula>
    </cfRule>
    <cfRule type="cellIs" priority="44" operator="between" dxfId="28">
      <formula>15</formula>
      <formula>25</formula>
    </cfRule>
    <cfRule type="cellIs" priority="45" operator="between" dxfId="27">
      <formula>25</formula>
      <formula>1000</formula>
    </cfRule>
  </conditionalFormatting>
  <conditionalFormatting sqref="CF2:CF3 CR2:CR3">
    <cfRule type="containsErrors" priority="38" dxfId="0">
      <formula>ISERROR(CF2)</formula>
    </cfRule>
  </conditionalFormatting>
  <conditionalFormatting sqref="CO5:CO115 CQ5:CR115">
    <cfRule type="containsErrors" priority="8" dxfId="0">
      <formula>ISERROR(CO5)</formula>
    </cfRule>
  </conditionalFormatting>
  <conditionalFormatting sqref="CQ6:CQ115">
    <cfRule type="cellIs" priority="40" operator="between" dxfId="29">
      <formula>0</formula>
      <formula>15</formula>
    </cfRule>
    <cfRule type="cellIs" priority="41" operator="between" dxfId="28">
      <formula>15</formula>
      <formula>25</formula>
    </cfRule>
    <cfRule type="cellIs" priority="42" operator="between" dxfId="27">
      <formula>25</formula>
      <formula>1000</formula>
    </cfRule>
  </conditionalFormatting>
  <conditionalFormatting sqref="V5:V115">
    <cfRule type="containsErrors" priority="7" dxfId="0">
      <formula>ISERROR(V5)</formula>
    </cfRule>
  </conditionalFormatting>
  <conditionalFormatting sqref="AH5:AH115">
    <cfRule type="containsErrors" priority="6" dxfId="0">
      <formula>ISERROR(AH5)</formula>
    </cfRule>
  </conditionalFormatting>
  <conditionalFormatting sqref="AT5:AT115">
    <cfRule type="containsErrors" priority="5" dxfId="0">
      <formula>ISERROR(AT5)</formula>
    </cfRule>
  </conditionalFormatting>
  <conditionalFormatting sqref="BF5:BF115">
    <cfRule type="containsErrors" priority="4" dxfId="0">
      <formula>ISERROR(BF5)</formula>
    </cfRule>
  </conditionalFormatting>
  <conditionalFormatting sqref="BR5:BR115">
    <cfRule type="containsErrors" priority="3" dxfId="0">
      <formula>ISERROR(BR5)</formula>
    </cfRule>
  </conditionalFormatting>
  <conditionalFormatting sqref="CD5:CD115">
    <cfRule type="containsErrors" priority="2" dxfId="0">
      <formula>ISERROR(CD5)</formula>
    </cfRule>
  </conditionalFormatting>
  <conditionalFormatting sqref="CP5:CP115">
    <cfRule type="containsErrors" priority="1" dxfId="0">
      <formula>ISERROR(CP5)</formula>
    </cfRule>
  </conditionalFormatting>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16"/>
  <sheetViews>
    <sheetView zoomScaleNormal="100" workbookViewId="0">
      <selection activeCell="B1" sqref="B1"/>
    </sheetView>
  </sheetViews>
  <sheetFormatPr baseColWidth="8" defaultRowHeight="15"/>
  <cols>
    <col width="15.28515625" customWidth="1" style="1" min="1" max="1"/>
    <col width="12.5703125" customWidth="1" style="1" min="2" max="2"/>
    <col width="11.28515625" customWidth="1" style="1" min="3" max="3"/>
    <col width="14.28515625" customWidth="1" style="1" min="4" max="4"/>
    <col width="23" bestFit="1" customWidth="1" style="1" min="5" max="5"/>
    <col width="12.85546875" bestFit="1" customWidth="1" style="1" min="6" max="6"/>
    <col width="13" customWidth="1" style="1" min="7" max="7"/>
    <col width="39.7109375" customWidth="1" style="1" min="8" max="8"/>
    <col width="14.85546875" bestFit="1" customWidth="1" style="1" min="9" max="9"/>
    <col width="18" customWidth="1" style="1" min="10" max="10"/>
    <col width="12.140625" customWidth="1" style="1" min="11" max="11"/>
    <col width="14.140625" customWidth="1" style="7" min="12" max="12"/>
    <col width="16.140625" customWidth="1" style="1" min="13" max="13"/>
    <col width="12.5703125" customWidth="1" style="1" min="14" max="14"/>
    <col width="10.85546875" customWidth="1" style="1" min="15" max="15"/>
    <col width="14.28515625" customWidth="1" style="1" min="16" max="16"/>
    <col width="23" bestFit="1" customWidth="1" style="1" min="17" max="17"/>
    <col width="12.85546875" bestFit="1" customWidth="1" style="1" min="18" max="18"/>
    <col width="13" customWidth="1" style="1" min="19" max="19"/>
    <col width="39.7109375" customWidth="1" style="1" min="20" max="20"/>
    <col width="14.85546875" bestFit="1" customWidth="1" style="1" min="21" max="21"/>
    <col width="18" customWidth="1" style="1" min="22" max="22"/>
    <col width="12.140625" customWidth="1" style="1" min="23" max="23"/>
    <col width="14.140625" customWidth="1" style="7" min="24" max="24"/>
    <col width="11.7109375" customWidth="1" style="1" min="25" max="25"/>
    <col width="12.5703125" customWidth="1" style="1" min="26" max="26"/>
    <col width="11.28515625" customWidth="1" style="1" min="27" max="27"/>
    <col width="14.28515625" customWidth="1" style="1" min="28" max="28"/>
    <col width="23" bestFit="1" customWidth="1" style="1" min="29" max="29"/>
    <col width="12.85546875" bestFit="1" customWidth="1" style="1" min="30" max="30"/>
    <col width="13" customWidth="1" style="1" min="31" max="31"/>
    <col width="39.7109375" customWidth="1" style="1" min="32" max="32"/>
    <col width="14.85546875" bestFit="1" customWidth="1" style="1" min="33" max="33"/>
    <col width="18" customWidth="1" style="1" min="34" max="34"/>
    <col width="12.140625" customWidth="1" style="1" min="35" max="35"/>
    <col width="14.140625" customWidth="1" style="7" min="36" max="36"/>
    <col width="11.7109375" customWidth="1" style="1" min="37" max="37"/>
    <col width="12.5703125" customWidth="1" style="1" min="38" max="38"/>
    <col width="10.85546875" customWidth="1" style="1" min="39" max="39"/>
    <col width="14.28515625" customWidth="1" style="1" min="40" max="40"/>
    <col width="23" bestFit="1" customWidth="1" style="1" min="41" max="41"/>
    <col width="12.85546875" bestFit="1" customWidth="1" style="1" min="42" max="42"/>
    <col width="13" customWidth="1" style="1" min="43" max="43"/>
    <col width="39.7109375" customWidth="1" style="1" min="44" max="44"/>
    <col width="14.85546875" bestFit="1" customWidth="1" style="1" min="45" max="45"/>
    <col width="18" customWidth="1" style="1" min="46" max="46"/>
    <col width="12.140625" customWidth="1" style="1" min="47" max="47"/>
    <col width="14.140625" customWidth="1" style="7" min="48" max="48"/>
    <col width="9.140625" customWidth="1" style="1" min="49" max="16384"/>
  </cols>
  <sheetData>
    <row r="1" ht="45" customFormat="1" customHeight="1" s="27">
      <c r="A1" s="3" t="inlineStr">
        <is>
          <t>Various Oil Compatibility Test</t>
        </is>
      </c>
      <c r="C1" s="4" t="inlineStr">
        <is>
          <t>Date:</t>
        </is>
      </c>
      <c r="E1" s="4" t="inlineStr">
        <is>
          <t>Sample ID:</t>
        </is>
      </c>
      <c r="G1" s="4" t="inlineStr">
        <is>
          <t>Heating Technology:</t>
        </is>
      </c>
      <c r="J1" s="4" t="inlineStr">
        <is>
          <t>Did this burn?</t>
        </is>
      </c>
      <c r="L1" s="6" t="inlineStr">
        <is>
          <t>Average TPM and Standard deviation</t>
        </is>
      </c>
      <c r="M1" s="3" t="inlineStr">
        <is>
          <t>Various Oil Compatibility Test</t>
        </is>
      </c>
      <c r="O1" s="4" t="inlineStr">
        <is>
          <t>Date:</t>
        </is>
      </c>
      <c r="Q1" s="4" t="inlineStr">
        <is>
          <t>Sample ID:</t>
        </is>
      </c>
      <c r="S1" s="4" t="inlineStr">
        <is>
          <t>Heating Technology:</t>
        </is>
      </c>
      <c r="V1" s="4" t="inlineStr">
        <is>
          <t>Did this burn?</t>
        </is>
      </c>
      <c r="X1" s="6" t="inlineStr">
        <is>
          <t>Average TPM and Standard deviation</t>
        </is>
      </c>
      <c r="Y1" s="3" t="inlineStr">
        <is>
          <t>Various Oil Compatibility Test</t>
        </is>
      </c>
      <c r="AA1" s="4" t="inlineStr">
        <is>
          <t>Date:</t>
        </is>
      </c>
      <c r="AC1" s="4" t="inlineStr">
        <is>
          <t>Sample ID:</t>
        </is>
      </c>
      <c r="AE1" s="4" t="inlineStr">
        <is>
          <t>Heating Technology:</t>
        </is>
      </c>
      <c r="AH1" s="4" t="inlineStr">
        <is>
          <t>Did this burn?</t>
        </is>
      </c>
      <c r="AJ1" s="6" t="inlineStr">
        <is>
          <t>Average TPM and Standard deviation</t>
        </is>
      </c>
      <c r="AK1" s="3" t="inlineStr">
        <is>
          <t>Various Oil Compatibility Test</t>
        </is>
      </c>
      <c r="AM1" s="4" t="inlineStr">
        <is>
          <t>Date:</t>
        </is>
      </c>
      <c r="AO1" s="4" t="inlineStr">
        <is>
          <t>Sample ID:</t>
        </is>
      </c>
      <c r="AQ1" s="4" t="inlineStr">
        <is>
          <t>Heating Technology:</t>
        </is>
      </c>
      <c r="AT1" s="4" t="inlineStr">
        <is>
          <t>Did this burn?</t>
        </is>
      </c>
      <c r="AV1" s="6" t="inlineStr">
        <is>
          <t>Average TPM and Standard deviation</t>
        </is>
      </c>
    </row>
    <row r="2" ht="45" customFormat="1" customHeight="1" s="27">
      <c r="A2" s="4" t="inlineStr">
        <is>
          <t>Media:</t>
        </is>
      </c>
      <c r="C2" s="4" t="inlineStr">
        <is>
          <t>Resistance (Ω):</t>
        </is>
      </c>
      <c r="E2" s="4" t="inlineStr">
        <is>
          <t>Power:</t>
        </is>
      </c>
      <c r="F2" s="27">
        <f t="array" ref="F2">IFERROR(_xlfn.SWITCH(H1,
"CCELL3.0",F3^2/(D2+0.78),
"EVOMAX",F3^2/(D2),
"EVO",F3^2/(D2),
"SE",F3^2/D2,
"T51",F3^2/(0.25+D2),
"Competitor",F3^2/D2,
F3^2/D2), "")</f>
        <v/>
      </c>
      <c r="G2" s="4" t="inlineStr">
        <is>
          <t>Puffing Regime:</t>
        </is>
      </c>
      <c r="H2" s="27" t="inlineStr">
        <is>
          <t>60mL/3s/30s</t>
        </is>
      </c>
      <c r="I2" s="4" t="inlineStr">
        <is>
          <t>Usage Efficiency
                  ↓</t>
        </is>
      </c>
      <c r="J2" s="4" t="inlineStr">
        <is>
          <t>Did this clog?</t>
        </is>
      </c>
      <c r="L2" s="20">
        <f>IF(I5="","",AVERAGEIFS(I5:I115,I5:I115,"&lt;&gt;0",I5:I115,"&lt;&gt;"))</f>
        <v/>
      </c>
      <c r="M2" s="4" t="inlineStr">
        <is>
          <t>Media:</t>
        </is>
      </c>
      <c r="O2" s="4" t="inlineStr">
        <is>
          <t>Resistance (Ω):</t>
        </is>
      </c>
      <c r="Q2" s="4" t="inlineStr">
        <is>
          <t>Power:</t>
        </is>
      </c>
      <c r="R2" s="27">
        <f t="array" ref="R2">IFERROR(_xlfn.SWITCH(T1,
"CCELL3.0",R3^2/(P2+0.78),
"EVOMAX",R3^2/(P2),
"EVO",R3^2/(P2),
"SE",R3^2/P2,
"T51",R3^2/(0.25+P2),
"Competitor",R3^2/P2,
R3^2/P2), "")</f>
        <v/>
      </c>
      <c r="S2" s="4" t="inlineStr">
        <is>
          <t>Puffing Regime:</t>
        </is>
      </c>
      <c r="T2" s="27" t="inlineStr">
        <is>
          <t>60mL/3s/30s</t>
        </is>
      </c>
      <c r="U2" s="4" t="inlineStr">
        <is>
          <t>Usage Efficiency
                  ↓</t>
        </is>
      </c>
      <c r="V2" s="4" t="inlineStr">
        <is>
          <t>Did this clog?</t>
        </is>
      </c>
      <c r="X2" s="20">
        <f>IF(U5="","",AVERAGEIFS(U5:U115,U5:U115,"&lt;&gt;0",U5:U115,"&lt;&gt;"))</f>
        <v/>
      </c>
      <c r="Y2" s="4" t="inlineStr">
        <is>
          <t>Media:</t>
        </is>
      </c>
      <c r="AA2" s="4" t="inlineStr">
        <is>
          <t>Resistance (Ω):</t>
        </is>
      </c>
      <c r="AC2" s="4" t="inlineStr">
        <is>
          <t>Power:</t>
        </is>
      </c>
      <c r="AD2" s="27">
        <f t="array" ref="AD2">IFERROR(_xlfn.SWITCH(AF1,
"CCELL3.0",AD3^2/(AB2+0.78),
"EVOMAX",AD3^2/(AB2),
"EVO",AD3^2/(AB2),
"SE",AD3^2/AB2,
"T51",AD3^2/(0.25+AB2),
"Competitor",AD3^2/AB2,
AD3^2/AB2), "")</f>
        <v/>
      </c>
      <c r="AE2" s="4" t="inlineStr">
        <is>
          <t>Puffing Regime:</t>
        </is>
      </c>
      <c r="AF2" s="27" t="inlineStr">
        <is>
          <t>60mL/3s/30s</t>
        </is>
      </c>
      <c r="AG2" s="4" t="inlineStr">
        <is>
          <t>Usage Efficiency
                  ↓</t>
        </is>
      </c>
      <c r="AH2" s="4" t="inlineStr">
        <is>
          <t>Did this clog?</t>
        </is>
      </c>
      <c r="AJ2" s="20">
        <f>IF(AG5="","",AVERAGEIFS(AG5:AG115,AG5:AG115,"&lt;&gt;0",AG5:AG115,"&lt;&gt;"))</f>
        <v/>
      </c>
      <c r="AK2" s="4" t="inlineStr">
        <is>
          <t>Media:</t>
        </is>
      </c>
      <c r="AM2" s="4" t="inlineStr">
        <is>
          <t>Resistance (Ω):</t>
        </is>
      </c>
      <c r="AO2" s="4" t="inlineStr">
        <is>
          <t>Power:</t>
        </is>
      </c>
      <c r="AP2" s="27">
        <f t="array" ref="AP2">IFERROR(_xlfn.SWITCH(AR1,
"CCELL3.0",AP3^2/(AN2+0.78),
"EVOMAX",AP3^2/(AN2),
"EVO",AP3^2/(AN2),
"SE",AP3^2/AN2,
"T51",AP3^2/(0.25+AN2),
"Competitor",AP3^2/AN2,
AP3^2/AN2), "")</f>
        <v/>
      </c>
      <c r="AQ2" s="4" t="inlineStr">
        <is>
          <t>Puffing Regime:</t>
        </is>
      </c>
      <c r="AR2" s="27" t="inlineStr">
        <is>
          <t>60mL/3s/30s</t>
        </is>
      </c>
      <c r="AS2" s="4" t="inlineStr">
        <is>
          <t>Usage Efficiency
                  ↓</t>
        </is>
      </c>
      <c r="AT2" s="4" t="inlineStr">
        <is>
          <t>Did this clog?</t>
        </is>
      </c>
      <c r="AV2" s="20">
        <f>IF(AS5="","",AVERAGEIFS(AS5:AS115,AS5:AS115,"&lt;&gt;0",AS5:AS115,"&lt;&gt;"))</f>
        <v/>
      </c>
    </row>
    <row r="3" ht="30" customFormat="1" customHeight="1" s="27">
      <c r="A3" s="4" t="inlineStr">
        <is>
          <t>Viscosity:</t>
        </is>
      </c>
      <c r="C3" s="4" t="inlineStr">
        <is>
          <t>Tester:</t>
        </is>
      </c>
      <c r="E3" s="4" t="inlineStr">
        <is>
          <t>Voltage:</t>
        </is>
      </c>
      <c r="G3" s="4" t="inlineStr">
        <is>
          <t>Initial Oil Mass:</t>
        </is>
      </c>
      <c r="I3" s="21">
        <f t="array" ref="I3">IFERROR(((IF(I5&lt;&gt;"", I5*A5, 0) + SUMPRODUCT(--(I6:I115&lt;&gt;""), I6:I115, 100*(A6:A115-A5:A114)))/1000)/H3, "")</f>
        <v/>
      </c>
      <c r="J3" s="4" t="inlineStr">
        <is>
          <t>Did this leak?</t>
        </is>
      </c>
      <c r="L3" s="20">
        <f t="array" ref="L3">IF(I5="","",_xlfn.STDEV.P(IF(ISNUMBER(I5:I115), IF(I5:I115&lt;&gt;0,I5:I115))))</f>
        <v/>
      </c>
      <c r="M3" s="4" t="inlineStr">
        <is>
          <t>Viscosity:</t>
        </is>
      </c>
      <c r="O3" s="4" t="inlineStr">
        <is>
          <t>Tester:</t>
        </is>
      </c>
      <c r="Q3" s="4" t="inlineStr">
        <is>
          <t>Voltage:</t>
        </is>
      </c>
      <c r="S3" s="4" t="inlineStr">
        <is>
          <t>Initial Oil Mass:</t>
        </is>
      </c>
      <c r="U3" s="21">
        <f t="array" ref="U3">IFERROR(((IF(U5&lt;&gt;"", U5*M5, 0) + SUMPRODUCT(--(U6:U115&lt;&gt;""), U6:U115, 100*(M6:M115-M5:M114)))/1000)/T3, "")</f>
        <v/>
      </c>
      <c r="V3" s="4" t="inlineStr">
        <is>
          <t>Did this leak?</t>
        </is>
      </c>
      <c r="X3" s="20">
        <f t="array" ref="X3">IF(U5="","",_xlfn.STDEV.P(IF(ISNUMBER(U5:U115), IF(U5:U115&lt;&gt;0,U5:U115))))</f>
        <v/>
      </c>
      <c r="Y3" s="4" t="inlineStr">
        <is>
          <t>Viscosity:</t>
        </is>
      </c>
      <c r="AA3" s="4" t="inlineStr">
        <is>
          <t>Tester:</t>
        </is>
      </c>
      <c r="AC3" s="4" t="inlineStr">
        <is>
          <t>Voltage:</t>
        </is>
      </c>
      <c r="AE3" s="4" t="inlineStr">
        <is>
          <t>Initial Oil Mass:</t>
        </is>
      </c>
      <c r="AG3" s="21">
        <f t="array" ref="AG3">IFERROR(((IF(AG5&lt;&gt;"", AG5*Y5, 0) + SUMPRODUCT(--(AG6:AG115&lt;&gt;""), AG6:AG115, 100*(Y6:Y115-Y5:Y114)))/1000)/AF3, "")</f>
        <v/>
      </c>
      <c r="AH3" s="4" t="inlineStr">
        <is>
          <t>Did this leak?</t>
        </is>
      </c>
      <c r="AJ3" s="20">
        <f t="array" ref="AJ3">IF(AG5="","",_xlfn.STDEV.P(IF(ISNUMBER(AG5:AG115), IF(AG5:AG115&lt;&gt;0,AG5:AG115))))</f>
        <v/>
      </c>
      <c r="AK3" s="4" t="inlineStr">
        <is>
          <t>Viscosity:</t>
        </is>
      </c>
      <c r="AM3" s="4" t="inlineStr">
        <is>
          <t>Tester:</t>
        </is>
      </c>
      <c r="AO3" s="4" t="inlineStr">
        <is>
          <t>Voltage:</t>
        </is>
      </c>
      <c r="AQ3" s="4" t="inlineStr">
        <is>
          <t>Initial Oil Mass:</t>
        </is>
      </c>
      <c r="AS3" s="21">
        <f t="array" ref="AS3">IFERROR(((IF(AS5&lt;&gt;"", AS5*AK5, 0) + SUMPRODUCT(--(AS6:AS115&lt;&gt;""), AS6:AS115, 100*(AK6:AK115-AK5:AK114)))/1000)/AR3, "")</f>
        <v/>
      </c>
      <c r="AT3" s="4" t="inlineStr">
        <is>
          <t>Did this leak?</t>
        </is>
      </c>
      <c r="AV3" s="20">
        <f t="array" ref="AV3">IF(AS5="","",_xlfn.STDEV.P(IF(ISNUMBER(AS5:AS115), IF(AS5:AS115&lt;&gt;0,AS5:AS115))))</f>
        <v/>
      </c>
    </row>
    <row r="4" ht="45" customFormat="1" customHeight="1" s="27">
      <c r="A4" s="27" t="inlineStr">
        <is>
          <t>puffs</t>
        </is>
      </c>
      <c r="B4" s="27" t="inlineStr">
        <is>
          <t>Before weight (g)</t>
        </is>
      </c>
      <c r="C4" s="27" t="inlineStr">
        <is>
          <t>After weight (g)</t>
        </is>
      </c>
      <c r="D4" s="27" t="inlineStr">
        <is>
          <t>Draw Pressure (kpa)</t>
        </is>
      </c>
      <c r="E4" s="27" t="inlineStr">
        <is>
          <t>Puffing Regime</t>
        </is>
      </c>
      <c r="F4" s="27" t="inlineStr">
        <is>
          <t>Smell</t>
        </is>
      </c>
      <c r="G4" s="27" t="inlineStr">
        <is>
          <t>Clog</t>
        </is>
      </c>
      <c r="H4" s="27" t="inlineStr">
        <is>
          <t>Notes</t>
        </is>
      </c>
      <c r="I4" s="27" t="inlineStr">
        <is>
          <t>TPM (mg/puff)</t>
        </is>
      </c>
      <c r="J4" s="27" t="inlineStr">
        <is>
          <t>TPM Power Density (mg/(W*s))</t>
        </is>
      </c>
      <c r="K4" s="27" t="inlineStr">
        <is>
          <t>Variation in TPM (%)</t>
        </is>
      </c>
      <c r="L4" s="20" t="inlineStr">
        <is>
          <t>Oil Consumed (Cumulative, g)</t>
        </is>
      </c>
      <c r="M4" s="27" t="inlineStr">
        <is>
          <t>puffs</t>
        </is>
      </c>
      <c r="N4" s="27" t="inlineStr">
        <is>
          <t>Before weight (g)</t>
        </is>
      </c>
      <c r="O4" s="27" t="inlineStr">
        <is>
          <t>After weight (g)</t>
        </is>
      </c>
      <c r="P4" s="27" t="inlineStr">
        <is>
          <t>Draw Pressure (kpa)</t>
        </is>
      </c>
      <c r="Q4" s="27" t="inlineStr">
        <is>
          <t>Puffing Regime</t>
        </is>
      </c>
      <c r="R4" s="27" t="inlineStr">
        <is>
          <t>Smell</t>
        </is>
      </c>
      <c r="S4" s="27" t="inlineStr">
        <is>
          <t>Clog</t>
        </is>
      </c>
      <c r="T4" s="27" t="inlineStr">
        <is>
          <t>Notes</t>
        </is>
      </c>
      <c r="U4" s="27" t="inlineStr">
        <is>
          <t>TPM (mg/puff)</t>
        </is>
      </c>
      <c r="V4" s="27" t="inlineStr">
        <is>
          <t>TPM Power Density (mg/(W*s))</t>
        </is>
      </c>
      <c r="W4" s="27" t="inlineStr">
        <is>
          <t>Variation in TPM (%)</t>
        </is>
      </c>
      <c r="X4" s="20" t="inlineStr">
        <is>
          <t>Oil Consumed (Cumulative, g)</t>
        </is>
      </c>
      <c r="Y4" s="27" t="inlineStr">
        <is>
          <t>puffs</t>
        </is>
      </c>
      <c r="Z4" s="27" t="inlineStr">
        <is>
          <t>Before weight (g)</t>
        </is>
      </c>
      <c r="AA4" s="27" t="inlineStr">
        <is>
          <t>After weight (g)</t>
        </is>
      </c>
      <c r="AB4" s="27" t="inlineStr">
        <is>
          <t>Draw Pressure (kpa)</t>
        </is>
      </c>
      <c r="AC4" s="27" t="inlineStr">
        <is>
          <t>Puffing Regime</t>
        </is>
      </c>
      <c r="AD4" s="27" t="inlineStr">
        <is>
          <t>Smell</t>
        </is>
      </c>
      <c r="AE4" s="27" t="inlineStr">
        <is>
          <t>Clog</t>
        </is>
      </c>
      <c r="AF4" s="27" t="inlineStr">
        <is>
          <t>Notes</t>
        </is>
      </c>
      <c r="AG4" s="27" t="inlineStr">
        <is>
          <t>TPM (mg/puff)</t>
        </is>
      </c>
      <c r="AH4" s="27" t="inlineStr">
        <is>
          <t>TPM Power Density (mg/(W*s))</t>
        </is>
      </c>
      <c r="AI4" s="27" t="inlineStr">
        <is>
          <t>Variation in TPM (%)</t>
        </is>
      </c>
      <c r="AJ4" s="20" t="inlineStr">
        <is>
          <t>Oil Consumed (Cumulative, g)</t>
        </is>
      </c>
      <c r="AK4" s="27" t="inlineStr">
        <is>
          <t>puffs</t>
        </is>
      </c>
      <c r="AL4" s="27" t="inlineStr">
        <is>
          <t>Before weight (g)</t>
        </is>
      </c>
      <c r="AM4" s="27" t="inlineStr">
        <is>
          <t>After weight (g)</t>
        </is>
      </c>
      <c r="AN4" s="27" t="inlineStr">
        <is>
          <t>Draw Pressure (kpa)</t>
        </is>
      </c>
      <c r="AO4" s="27" t="inlineStr">
        <is>
          <t>Puffing Regime</t>
        </is>
      </c>
      <c r="AP4" s="27" t="inlineStr">
        <is>
          <t>Smell</t>
        </is>
      </c>
      <c r="AQ4" s="27" t="inlineStr">
        <is>
          <t>Clog</t>
        </is>
      </c>
      <c r="AR4" s="27" t="inlineStr">
        <is>
          <t>Notes</t>
        </is>
      </c>
      <c r="AS4" s="27" t="inlineStr">
        <is>
          <t>TPM (mg/puff)</t>
        </is>
      </c>
      <c r="AT4" s="27" t="inlineStr">
        <is>
          <t>TPM Power Density (mg/(W*s))</t>
        </is>
      </c>
      <c r="AU4" s="27" t="inlineStr">
        <is>
          <t>Variation in TPM (%)</t>
        </is>
      </c>
      <c r="AV4" s="20" t="inlineStr">
        <is>
          <t>Oil Consumed (Cumulative, g)</t>
        </is>
      </c>
    </row>
    <row r="5">
      <c r="A5" s="1" t="n">
        <v>10</v>
      </c>
      <c r="B5" s="1" t="n">
        <v>0</v>
      </c>
      <c r="E5" t="inlineStr">
        <is>
          <t>60mL/3s/30s</t>
        </is>
      </c>
      <c r="I5" s="1">
        <f>IF(C5="", "", (B5-C5)*1000/A5)</f>
        <v/>
      </c>
      <c r="J5" s="1">
        <f>IF(I5="","",I5/F$2/3)</f>
        <v/>
      </c>
      <c r="L5" s="8">
        <f>IF(I5="","", IFERROR(((IF(I$5&lt;&gt;"", I$5*A$5, 0))/1000), ""))</f>
        <v/>
      </c>
      <c r="M5" s="1" t="n">
        <v>10</v>
      </c>
      <c r="Q5" t="inlineStr">
        <is>
          <t>60mL/3s/30s</t>
        </is>
      </c>
      <c r="U5" s="1">
        <f>IF(O5="", "", (N5-O5)*1000/M5)</f>
        <v/>
      </c>
      <c r="V5" s="1">
        <f>IF(U5="","",U5/R$2/3)</f>
        <v/>
      </c>
      <c r="X5" s="8">
        <f>IF(U5="","", IFERROR(((IF(U$5&lt;&gt;"", U$5*M$5, 0))/1000), ""))</f>
        <v/>
      </c>
      <c r="Y5" s="1" t="n">
        <v>10</v>
      </c>
      <c r="Z5" s="1" t="n">
        <v>0</v>
      </c>
      <c r="AC5" t="inlineStr">
        <is>
          <t>60mL/3s/30s</t>
        </is>
      </c>
      <c r="AG5" s="1">
        <f>IF(AA5="", "", (Z5-AA5)*1000/Y5)</f>
        <v/>
      </c>
      <c r="AH5" s="1">
        <f>IF(AG5="","",AG5/AD$2/3)</f>
        <v/>
      </c>
      <c r="AJ5" s="8">
        <f>IF(AG5="","", IFERROR(((IF(AG$5&lt;&gt;"", AG$5*Y$5, 0))/1000), ""))</f>
        <v/>
      </c>
      <c r="AK5" s="1" t="n">
        <v>10</v>
      </c>
      <c r="AO5" t="inlineStr">
        <is>
          <t>60mL/3s/30s</t>
        </is>
      </c>
      <c r="AS5" s="1">
        <f>IF(AM5="", "", (AL5-AM5)*1000/AK5)</f>
        <v/>
      </c>
      <c r="AT5" s="1">
        <f>IF(AS5="","",AS5/AP$2/3)</f>
        <v/>
      </c>
      <c r="AV5" s="8">
        <f>IF(AS5="","", IFERROR(((IF(AS$5&lt;&gt;"", AS$5*AK$5, 0))/1000), ""))</f>
        <v/>
      </c>
    </row>
    <row r="6">
      <c r="A6" s="1">
        <f>A5+10</f>
        <v/>
      </c>
      <c r="B6" s="1">
        <f>C5</f>
        <v/>
      </c>
      <c r="E6" t="inlineStr">
        <is>
          <t>60mL/3s/30s</t>
        </is>
      </c>
      <c r="I6" s="1">
        <f>IF(C6="", "", (B6-C6)*1000/(A6-A5))</f>
        <v/>
      </c>
      <c r="J6" s="1">
        <f>IF(I6="","",I6/F$2/3)</f>
        <v/>
      </c>
      <c r="K6" s="1">
        <f>IF(I6="","", 100*_xlfn.STDEV.P(I5:I6)/AVERAGE(I5:I6))</f>
        <v/>
      </c>
      <c r="L6" s="8">
        <f t="array" ref="L6">IF(I6="","", IFERROR(((IF(I$5&lt;&gt;"", I$5*A$5, 0) + SUMPRODUCT(--(I$6:I6&lt;&gt;""), I$6:I6, (A$6:A6-A$5:A5)))/1000), ""))</f>
        <v/>
      </c>
      <c r="M6" s="1">
        <f>M5+10</f>
        <v/>
      </c>
      <c r="N6" s="1">
        <f>O5</f>
        <v/>
      </c>
      <c r="Q6" t="inlineStr">
        <is>
          <t>60mL/3s/30s</t>
        </is>
      </c>
      <c r="U6" s="1">
        <f>IF(O6="", "", (N6-O6)*1000/(M6-M5))</f>
        <v/>
      </c>
      <c r="V6" s="1">
        <f>IF(U6="","",U6/R$2/3)</f>
        <v/>
      </c>
      <c r="W6" s="1">
        <f>IF(U6="","", 100*_xlfn.STDEV.P(U5:U6)/AVERAGE(U5:U6))</f>
        <v/>
      </c>
      <c r="X6" s="8">
        <f t="array" ref="X6">IF(U6="","", IFERROR(((IF(U$5&lt;&gt;"", U$5*M$5, 0) + SUMPRODUCT(--(U$6:U6&lt;&gt;""), U$6:U6, (M$6:M6-M$5:M5)))/1000), ""))</f>
        <v/>
      </c>
      <c r="Y6" s="1">
        <f>Y5+10</f>
        <v/>
      </c>
      <c r="Z6" s="1">
        <f>AA5</f>
        <v/>
      </c>
      <c r="AC6" t="inlineStr">
        <is>
          <t>60mL/3s/30s</t>
        </is>
      </c>
      <c r="AG6" s="1">
        <f>IF(AA6="", "", (Z6-AA6)*1000/(Y6-Y5))</f>
        <v/>
      </c>
      <c r="AH6" s="1">
        <f>IF(AG6="","",AG6/AD$2/3)</f>
        <v/>
      </c>
      <c r="AI6" s="1">
        <f>IF(AG6="","", 100*_xlfn.STDEV.P(AG5:AG6)/AVERAGE(AG5:AG6))</f>
        <v/>
      </c>
      <c r="AJ6" s="8">
        <f t="array" ref="AJ6">IF(AG6="","", IFERROR(((IF(AG$5&lt;&gt;"", AG$5*Y$5, 0) + SUMPRODUCT(--(AG$6:AG6&lt;&gt;""), AG$6:AG6, (Y$6:Y6-Y$5:Y5)))/1000), ""))</f>
        <v/>
      </c>
      <c r="AK6" s="1">
        <f>AK5+10</f>
        <v/>
      </c>
      <c r="AL6" s="1">
        <f>AM5</f>
        <v/>
      </c>
      <c r="AO6" t="inlineStr">
        <is>
          <t>60mL/3s/30s</t>
        </is>
      </c>
      <c r="AS6" s="1">
        <f>IF(AM6="", "", (AL6-AM6)*1000/(AK6-AK5))</f>
        <v/>
      </c>
      <c r="AT6" s="1">
        <f>IF(AS6="","",AS6/AP$2/3)</f>
        <v/>
      </c>
      <c r="AU6" s="1">
        <f>IF(AS6="","", 100*_xlfn.STDEV.P(AS5:AS6)/AVERAGE(AS5:AS6))</f>
        <v/>
      </c>
      <c r="AV6" s="8">
        <f t="array" ref="AV6">IF(AS6="","", IFERROR(((IF(AS$5&lt;&gt;"", AS$5*AK$5, 0) + SUMPRODUCT(--(AS$6:AS6&lt;&gt;""), AS$6:AS6, (AK$6:AK6-AK$5:AK5)))/1000), ""))</f>
        <v/>
      </c>
    </row>
    <row r="7">
      <c r="A7" s="1">
        <f>A6+10</f>
        <v/>
      </c>
      <c r="B7" s="1">
        <f>C6</f>
        <v/>
      </c>
      <c r="E7" t="inlineStr">
        <is>
          <t>60mL/3s/30s</t>
        </is>
      </c>
      <c r="I7" s="1">
        <f>IF(C7="", "", (B7-C7)*1000/(A7-A6))</f>
        <v/>
      </c>
      <c r="J7" s="1">
        <f>IF(I7="","",I7/F$2/3)</f>
        <v/>
      </c>
      <c r="K7" s="1">
        <f>IF(I7="","", 100*_xlfn.STDEV.P(I6:I7)/AVERAGE(I6:I7))</f>
        <v/>
      </c>
      <c r="L7" s="8">
        <f t="array" ref="L7">IF(I7="","", IFERROR(((IF(I$5&lt;&gt;"", I$5*A$5, 0) + SUMPRODUCT(--(I$6:I7&lt;&gt;""), I$6:I7, (A$6:A7-A$5:A6)))/1000), ""))</f>
        <v/>
      </c>
      <c r="M7" s="1">
        <f>M6+10</f>
        <v/>
      </c>
      <c r="N7" s="1">
        <f>O6</f>
        <v/>
      </c>
      <c r="Q7" t="inlineStr">
        <is>
          <t>60mL/3s/30s</t>
        </is>
      </c>
      <c r="U7" s="1">
        <f>IF(O7="", "", (N7-O7)*1000/(M7-M6))</f>
        <v/>
      </c>
      <c r="V7" s="1">
        <f>IF(U7="","",U7/R$2/3)</f>
        <v/>
      </c>
      <c r="W7" s="1">
        <f>IF(U7="","", 100*_xlfn.STDEV.P(U6:U7)/AVERAGE(U6:U7))</f>
        <v/>
      </c>
      <c r="X7" s="8">
        <f t="array" ref="X7">IF(U7="","", IFERROR(((IF(U$5&lt;&gt;"", U$5*M$5, 0) + SUMPRODUCT(--(U$6:U7&lt;&gt;""), U$6:U7, (M$6:M7-M$5:M6)))/1000), ""))</f>
        <v/>
      </c>
      <c r="Y7" s="1">
        <f>Y6+10</f>
        <v/>
      </c>
      <c r="Z7" s="1">
        <f>AA6</f>
        <v/>
      </c>
      <c r="AC7" t="inlineStr">
        <is>
          <t>60mL/3s/30s</t>
        </is>
      </c>
      <c r="AG7" s="1">
        <f>IF(AA7="", "", (Z7-AA7)*1000/(Y7-Y6))</f>
        <v/>
      </c>
      <c r="AH7" s="1">
        <f>IF(AG7="","",AG7/AD$2/3)</f>
        <v/>
      </c>
      <c r="AI7" s="1">
        <f>IF(AG7="","", 100*_xlfn.STDEV.P(AG6:AG7)/AVERAGE(AG6:AG7))</f>
        <v/>
      </c>
      <c r="AJ7" s="8">
        <f t="array" ref="AJ7">IF(AG7="","", IFERROR(((IF(AG$5&lt;&gt;"", AG$5*Y$5, 0) + SUMPRODUCT(--(AG$6:AG7&lt;&gt;""), AG$6:AG7, (Y$6:Y7-Y$5:Y6)))/1000), ""))</f>
        <v/>
      </c>
      <c r="AK7" s="1">
        <f>AK6+10</f>
        <v/>
      </c>
      <c r="AL7" s="1">
        <f>AM6</f>
        <v/>
      </c>
      <c r="AO7" t="inlineStr">
        <is>
          <t>60mL/3s/30s</t>
        </is>
      </c>
      <c r="AS7" s="1">
        <f>IF(AM7="", "", (AL7-AM7)*1000/(AK7-AK6))</f>
        <v/>
      </c>
      <c r="AT7" s="1">
        <f>IF(AS7="","",AS7/AP$2/3)</f>
        <v/>
      </c>
      <c r="AU7" s="1">
        <f>IF(AS7="","", 100*_xlfn.STDEV.P(AS6:AS7)/AVERAGE(AS6:AS7))</f>
        <v/>
      </c>
      <c r="AV7" s="8">
        <f t="array" ref="AV7">IF(AS7="","", IFERROR(((IF(AS$5&lt;&gt;"", AS$5*AK$5, 0) + SUMPRODUCT(--(AS$6:AS7&lt;&gt;""), AS$6:AS7, (AK$6:AK7-AK$5:AK6)))/1000), ""))</f>
        <v/>
      </c>
    </row>
    <row r="8">
      <c r="A8" s="1">
        <f>A7+10</f>
        <v/>
      </c>
      <c r="B8" s="1">
        <f>C7</f>
        <v/>
      </c>
      <c r="E8" t="inlineStr">
        <is>
          <t>60mL/3s/30s</t>
        </is>
      </c>
      <c r="I8" s="1">
        <f>IF(C8="", "", (B8-C8)*1000/(A8-A7))</f>
        <v/>
      </c>
      <c r="J8" s="1">
        <f>IF(I8="","",I8/F$2/3)</f>
        <v/>
      </c>
      <c r="K8" s="1">
        <f>IF(I8="","", 100*_xlfn.STDEV.P(I7:I8)/AVERAGE(I7:I8))</f>
        <v/>
      </c>
      <c r="L8" s="8">
        <f t="array" ref="L8">IF(I8="","", IFERROR(((IF(I$5&lt;&gt;"", I$5*A$5, 0) + SUMPRODUCT(--(I$6:I8&lt;&gt;""), I$6:I8, (A$6:A8-A$5:A7)))/1000), ""))</f>
        <v/>
      </c>
      <c r="M8" s="1">
        <f>M7+10</f>
        <v/>
      </c>
      <c r="N8" s="1">
        <f>O7</f>
        <v/>
      </c>
      <c r="Q8" t="inlineStr">
        <is>
          <t>60mL/3s/30s</t>
        </is>
      </c>
      <c r="U8" s="1">
        <f>IF(O8="", "", (N8-O8)*1000/(M8-M7))</f>
        <v/>
      </c>
      <c r="V8" s="1">
        <f>IF(U8="","",U8/R$2/3)</f>
        <v/>
      </c>
      <c r="W8" s="1">
        <f>IF(U8="","", 100*_xlfn.STDEV.P(U7:U8)/AVERAGE(U7:U8))</f>
        <v/>
      </c>
      <c r="X8" s="8">
        <f t="array" ref="X8">IF(U8="","", IFERROR(((IF(U$5&lt;&gt;"", U$5*M$5, 0) + SUMPRODUCT(--(U$6:U8&lt;&gt;""), U$6:U8, (M$6:M8-M$5:M7)))/1000), ""))</f>
        <v/>
      </c>
      <c r="Y8" s="1">
        <f>Y7+10</f>
        <v/>
      </c>
      <c r="Z8" s="1">
        <f>AA7</f>
        <v/>
      </c>
      <c r="AC8" t="inlineStr">
        <is>
          <t>60mL/3s/30s</t>
        </is>
      </c>
      <c r="AG8" s="1">
        <f>IF(AA8="", "", (Z8-AA8)*1000/(Y8-Y7))</f>
        <v/>
      </c>
      <c r="AH8" s="1">
        <f>IF(AG8="","",AG8/AD$2/3)</f>
        <v/>
      </c>
      <c r="AI8" s="1">
        <f>IF(AG8="","", 100*_xlfn.STDEV.P(AG7:AG8)/AVERAGE(AG7:AG8))</f>
        <v/>
      </c>
      <c r="AJ8" s="8">
        <f t="array" ref="AJ8">IF(AG8="","", IFERROR(((IF(AG$5&lt;&gt;"", AG$5*Y$5, 0) + SUMPRODUCT(--(AG$6:AG8&lt;&gt;""), AG$6:AG8, (Y$6:Y8-Y$5:Y7)))/1000), ""))</f>
        <v/>
      </c>
      <c r="AK8" s="1">
        <f>AK7+10</f>
        <v/>
      </c>
      <c r="AL8" s="1">
        <f>AM7</f>
        <v/>
      </c>
      <c r="AO8" t="inlineStr">
        <is>
          <t>60mL/3s/30s</t>
        </is>
      </c>
      <c r="AS8" s="1">
        <f>IF(AM8="", "", (AL8-AM8)*1000/(AK8-AK7))</f>
        <v/>
      </c>
      <c r="AT8" s="1">
        <f>IF(AS8="","",AS8/AP$2/3)</f>
        <v/>
      </c>
      <c r="AU8" s="1">
        <f>IF(AS8="","", 100*_xlfn.STDEV.P(AS7:AS8)/AVERAGE(AS7:AS8))</f>
        <v/>
      </c>
      <c r="AV8" s="8">
        <f t="array" ref="AV8">IF(AS8="","", IFERROR(((IF(AS$5&lt;&gt;"", AS$5*AK$5, 0) + SUMPRODUCT(--(AS$6:AS8&lt;&gt;""), AS$6:AS8, (AK$6:AK8-AK$5:AK7)))/1000), ""))</f>
        <v/>
      </c>
    </row>
    <row r="9">
      <c r="A9" s="1">
        <f>A8+10</f>
        <v/>
      </c>
      <c r="B9" s="1">
        <f>C8</f>
        <v/>
      </c>
      <c r="E9" t="inlineStr">
        <is>
          <t>60mL/3s/30s</t>
        </is>
      </c>
      <c r="I9" s="1">
        <f>IF(C9="", "", (B9-C9)*1000/(A9-A8))</f>
        <v/>
      </c>
      <c r="J9" s="1">
        <f>IF(I9="","",I9/F$2/3)</f>
        <v/>
      </c>
      <c r="K9" s="1">
        <f>IF(I9="","", 100*_xlfn.STDEV.P(I8:I9)/AVERAGE(I8:I9))</f>
        <v/>
      </c>
      <c r="L9" s="8">
        <f t="array" ref="L9">IF(I9="","", IFERROR(((IF(I$5&lt;&gt;"", I$5*A$5, 0) + SUMPRODUCT(--(I$6:I9&lt;&gt;""), I$6:I9, (A$6:A9-A$5:A8)))/1000), ""))</f>
        <v/>
      </c>
      <c r="M9" s="1">
        <f>M8+10</f>
        <v/>
      </c>
      <c r="N9" s="1">
        <f>O8</f>
        <v/>
      </c>
      <c r="Q9" t="inlineStr">
        <is>
          <t>60mL/3s/30s</t>
        </is>
      </c>
      <c r="U9" s="1">
        <f>IF(O9="", "", (N9-O9)*1000/(M9-M8))</f>
        <v/>
      </c>
      <c r="V9" s="1">
        <f>IF(U9="","",U9/R$2/3)</f>
        <v/>
      </c>
      <c r="W9" s="1">
        <f>IF(U9="","", 100*_xlfn.STDEV.P(U8:U9)/AVERAGE(U8:U9))</f>
        <v/>
      </c>
      <c r="X9" s="8">
        <f t="array" ref="X9">IF(U9="","", IFERROR(((IF(U$5&lt;&gt;"", U$5*M$5, 0) + SUMPRODUCT(--(U$6:U9&lt;&gt;""), U$6:U9, (M$6:M9-M$5:M8)))/1000), ""))</f>
        <v/>
      </c>
      <c r="Y9" s="1">
        <f>Y8+10</f>
        <v/>
      </c>
      <c r="Z9" s="1">
        <f>AA8</f>
        <v/>
      </c>
      <c r="AC9" t="inlineStr">
        <is>
          <t>60mL/3s/30s</t>
        </is>
      </c>
      <c r="AG9" s="1">
        <f>IF(AA9="", "", (Z9-AA9)*1000/(Y9-Y8))</f>
        <v/>
      </c>
      <c r="AH9" s="1">
        <f>IF(AG9="","",AG9/AD$2/3)</f>
        <v/>
      </c>
      <c r="AI9" s="1">
        <f>IF(AG9="","", 100*_xlfn.STDEV.P(AG8:AG9)/AVERAGE(AG8:AG9))</f>
        <v/>
      </c>
      <c r="AJ9" s="8">
        <f t="array" ref="AJ9">IF(AG9="","", IFERROR(((IF(AG$5&lt;&gt;"", AG$5*Y$5, 0) + SUMPRODUCT(--(AG$6:AG9&lt;&gt;""), AG$6:AG9, (Y$6:Y9-Y$5:Y8)))/1000), ""))</f>
        <v/>
      </c>
      <c r="AK9" s="1">
        <f>AK8+10</f>
        <v/>
      </c>
      <c r="AL9" s="1">
        <f>AM8</f>
        <v/>
      </c>
      <c r="AO9" t="inlineStr">
        <is>
          <t>60mL/3s/30s</t>
        </is>
      </c>
      <c r="AS9" s="1">
        <f>IF(AM9="", "", (AL9-AM9)*1000/(AK9-AK8))</f>
        <v/>
      </c>
      <c r="AT9" s="1">
        <f>IF(AS9="","",AS9/AP$2/3)</f>
        <v/>
      </c>
      <c r="AU9" s="1">
        <f>IF(AS9="","", 100*_xlfn.STDEV.P(AS8:AS9)/AVERAGE(AS8:AS9))</f>
        <v/>
      </c>
      <c r="AV9" s="8">
        <f t="array" ref="AV9">IF(AS9="","", IFERROR(((IF(AS$5&lt;&gt;"", AS$5*AK$5, 0) + SUMPRODUCT(--(AS$6:AS9&lt;&gt;""), AS$6:AS9, (AK$6:AK9-AK$5:AK8)))/1000), ""))</f>
        <v/>
      </c>
    </row>
    <row r="10">
      <c r="A10" s="1">
        <f>A9+10</f>
        <v/>
      </c>
      <c r="B10" s="1">
        <f>C9</f>
        <v/>
      </c>
      <c r="E10" t="inlineStr">
        <is>
          <t>60mL/3s/30s</t>
        </is>
      </c>
      <c r="I10" s="1">
        <f>IF(C10="", "", (B10-C10)*1000/(A10-A9))</f>
        <v/>
      </c>
      <c r="J10" s="1">
        <f>IF(I10="","",I10/F$2/3)</f>
        <v/>
      </c>
      <c r="K10" s="1">
        <f>IF(I10="","", 100*_xlfn.STDEV.P(I9:I10)/AVERAGE(I9:I10))</f>
        <v/>
      </c>
      <c r="L10" s="8">
        <f t="array" ref="L10">IF(I10="","", IFERROR(((IF(I$5&lt;&gt;"", I$5*A$5, 0) + SUMPRODUCT(--(I$6:I10&lt;&gt;""), I$6:I10, (A$6:A10-A$5:A9)))/1000), ""))</f>
        <v/>
      </c>
      <c r="M10" s="1">
        <f>M9+10</f>
        <v/>
      </c>
      <c r="N10" s="1">
        <f>O9</f>
        <v/>
      </c>
      <c r="Q10" t="inlineStr">
        <is>
          <t>60mL/3s/30s</t>
        </is>
      </c>
      <c r="U10" s="1">
        <f>IF(O10="", "", (N10-O10)*1000/(M10-M9))</f>
        <v/>
      </c>
      <c r="V10" s="1">
        <f>IF(U10="","",U10/R$2/3)</f>
        <v/>
      </c>
      <c r="W10" s="1">
        <f>IF(U10="","", 100*_xlfn.STDEV.P(U9:U10)/AVERAGE(U9:U10))</f>
        <v/>
      </c>
      <c r="X10" s="8">
        <f t="array" ref="X10">IF(U10="","", IFERROR(((IF(U$5&lt;&gt;"", U$5*M$5, 0) + SUMPRODUCT(--(U$6:U10&lt;&gt;""), U$6:U10, (M$6:M10-M$5:M9)))/1000), ""))</f>
        <v/>
      </c>
      <c r="Y10" s="1">
        <f>Y9+10</f>
        <v/>
      </c>
      <c r="Z10" s="1">
        <f>AA9</f>
        <v/>
      </c>
      <c r="AC10" t="inlineStr">
        <is>
          <t>60mL/3s/30s</t>
        </is>
      </c>
      <c r="AG10" s="1">
        <f>IF(AA10="", "", (Z10-AA10)*1000/(Y10-Y9))</f>
        <v/>
      </c>
      <c r="AH10" s="1">
        <f>IF(AG10="","",AG10/AD$2/3)</f>
        <v/>
      </c>
      <c r="AI10" s="1">
        <f>IF(AG10="","", 100*_xlfn.STDEV.P(AG9:AG10)/AVERAGE(AG9:AG10))</f>
        <v/>
      </c>
      <c r="AJ10" s="8">
        <f t="array" ref="AJ10">IF(AG10="","", IFERROR(((IF(AG$5&lt;&gt;"", AG$5*Y$5, 0) + SUMPRODUCT(--(AG$6:AG10&lt;&gt;""), AG$6:AG10, (Y$6:Y10-Y$5:Y9)))/1000), ""))</f>
        <v/>
      </c>
      <c r="AK10" s="1">
        <f>AK9+10</f>
        <v/>
      </c>
      <c r="AL10" s="1">
        <f>AM9</f>
        <v/>
      </c>
      <c r="AO10" t="inlineStr">
        <is>
          <t>60mL/3s/30s</t>
        </is>
      </c>
      <c r="AS10" s="1">
        <f>IF(AM10="", "", (AL10-AM10)*1000/(AK10-AK9))</f>
        <v/>
      </c>
      <c r="AT10" s="1">
        <f>IF(AS10="","",AS10/AP$2/3)</f>
        <v/>
      </c>
      <c r="AU10" s="1">
        <f>IF(AS10="","", 100*_xlfn.STDEV.P(AS9:AS10)/AVERAGE(AS9:AS10))</f>
        <v/>
      </c>
      <c r="AV10" s="8">
        <f t="array" ref="AV10">IF(AS10="","", IFERROR(((IF(AS$5&lt;&gt;"", AS$5*AK$5, 0) + SUMPRODUCT(--(AS$6:AS10&lt;&gt;""), AS$6:AS10, (AK$6:AK10-AK$5:AK9)))/1000), ""))</f>
        <v/>
      </c>
    </row>
    <row r="11">
      <c r="A11" s="1">
        <f>A10+10</f>
        <v/>
      </c>
      <c r="B11" s="1">
        <f>C10</f>
        <v/>
      </c>
      <c r="E11" t="inlineStr">
        <is>
          <t>60mL/3s/30s</t>
        </is>
      </c>
      <c r="I11" s="1">
        <f>IF(C11="", "", (B11-C11)*1000/(A11-A10))</f>
        <v/>
      </c>
      <c r="J11" s="1">
        <f>IF(I11="","",I11/F$2/3)</f>
        <v/>
      </c>
      <c r="K11" s="1">
        <f>IF(I11="","", 100*_xlfn.STDEV.P(I10:I11)/AVERAGE(I10:I11))</f>
        <v/>
      </c>
      <c r="L11" s="8">
        <f t="array" ref="L11">IF(I11="","", IFERROR(((IF(I$5&lt;&gt;"", I$5*A$5, 0) + SUMPRODUCT(--(I$6:I11&lt;&gt;""), I$6:I11, (A$6:A11-A$5:A10)))/1000), ""))</f>
        <v/>
      </c>
      <c r="M11" s="1">
        <f>M10+10</f>
        <v/>
      </c>
      <c r="N11" s="1">
        <f>O10</f>
        <v/>
      </c>
      <c r="Q11" t="inlineStr">
        <is>
          <t>60mL/3s/30s</t>
        </is>
      </c>
      <c r="U11" s="1">
        <f>IF(O11="", "", (N11-O11)*1000/(M11-M10))</f>
        <v/>
      </c>
      <c r="V11" s="1">
        <f>IF(U11="","",U11/R$2/3)</f>
        <v/>
      </c>
      <c r="W11" s="1">
        <f>IF(U11="","", 100*_xlfn.STDEV.P(U10:U11)/AVERAGE(U10:U11))</f>
        <v/>
      </c>
      <c r="X11" s="8">
        <f t="array" ref="X11">IF(U11="","", IFERROR(((IF(U$5&lt;&gt;"", U$5*M$5, 0) + SUMPRODUCT(--(U$6:U11&lt;&gt;""), U$6:U11, (M$6:M11-M$5:M10)))/1000), ""))</f>
        <v/>
      </c>
      <c r="Y11" s="1">
        <f>Y10+10</f>
        <v/>
      </c>
      <c r="Z11" s="1">
        <f>AA10</f>
        <v/>
      </c>
      <c r="AC11" t="inlineStr">
        <is>
          <t>60mL/3s/30s</t>
        </is>
      </c>
      <c r="AG11" s="1">
        <f>IF(AA11="", "", (Z11-AA11)*1000/(Y11-Y10))</f>
        <v/>
      </c>
      <c r="AH11" s="1">
        <f>IF(AG11="","",AG11/AD$2/3)</f>
        <v/>
      </c>
      <c r="AI11" s="1">
        <f>IF(AG11="","", 100*_xlfn.STDEV.P(AG10:AG11)/AVERAGE(AG10:AG11))</f>
        <v/>
      </c>
      <c r="AJ11" s="8">
        <f t="array" ref="AJ11">IF(AG11="","", IFERROR(((IF(AG$5&lt;&gt;"", AG$5*Y$5, 0) + SUMPRODUCT(--(AG$6:AG11&lt;&gt;""), AG$6:AG11, (Y$6:Y11-Y$5:Y10)))/1000), ""))</f>
        <v/>
      </c>
      <c r="AK11" s="1">
        <f>AK10+10</f>
        <v/>
      </c>
      <c r="AL11" s="1">
        <f>AM10</f>
        <v/>
      </c>
      <c r="AO11" t="inlineStr">
        <is>
          <t>60mL/3s/30s</t>
        </is>
      </c>
      <c r="AS11" s="1">
        <f>IF(AM11="", "", (AL11-AM11)*1000/(AK11-AK10))</f>
        <v/>
      </c>
      <c r="AT11" s="1">
        <f>IF(AS11="","",AS11/AP$2/3)</f>
        <v/>
      </c>
      <c r="AU11" s="1">
        <f>IF(AS11="","", 100*_xlfn.STDEV.P(AS10:AS11)/AVERAGE(AS10:AS11))</f>
        <v/>
      </c>
      <c r="AV11" s="8">
        <f t="array" ref="AV11">IF(AS11="","", IFERROR(((IF(AS$5&lt;&gt;"", AS$5*AK$5, 0) + SUMPRODUCT(--(AS$6:AS11&lt;&gt;""), AS$6:AS11, (AK$6:AK11-AK$5:AK10)))/1000), ""))</f>
        <v/>
      </c>
    </row>
    <row r="12">
      <c r="A12" s="1">
        <f>A11+10</f>
        <v/>
      </c>
      <c r="B12" s="1">
        <f>C11</f>
        <v/>
      </c>
      <c r="E12" t="inlineStr">
        <is>
          <t>60mL/3s/30s</t>
        </is>
      </c>
      <c r="I12" s="1">
        <f>IF(C12="", "", (B12-C12)*1000/(A12-A11))</f>
        <v/>
      </c>
      <c r="J12" s="1">
        <f>IF(I12="","",I12/F$2/3)</f>
        <v/>
      </c>
      <c r="K12" s="1">
        <f>IF(I12="","", 100*_xlfn.STDEV.P(I11:I12)/AVERAGE(I11:I12))</f>
        <v/>
      </c>
      <c r="L12" s="8">
        <f t="array" ref="L12">IF(I12="","", IFERROR(((IF(I$5&lt;&gt;"", I$5*A$5, 0) + SUMPRODUCT(--(I$6:I12&lt;&gt;""), I$6:I12, (A$6:A12-A$5:A11)))/1000), ""))</f>
        <v/>
      </c>
      <c r="M12" s="1">
        <f>M11+10</f>
        <v/>
      </c>
      <c r="N12" s="1">
        <f>O11</f>
        <v/>
      </c>
      <c r="Q12" t="inlineStr">
        <is>
          <t>60mL/3s/30s</t>
        </is>
      </c>
      <c r="U12" s="1">
        <f>IF(O12="", "", (N12-O12)*1000/(M12-M11))</f>
        <v/>
      </c>
      <c r="V12" s="1">
        <f>IF(U12="","",U12/R$2/3)</f>
        <v/>
      </c>
      <c r="W12" s="1">
        <f>IF(U12="","", 100*_xlfn.STDEV.P(U11:U12)/AVERAGE(U11:U12))</f>
        <v/>
      </c>
      <c r="X12" s="8">
        <f t="array" ref="X12">IF(U12="","", IFERROR(((IF(U$5&lt;&gt;"", U$5*M$5, 0) + SUMPRODUCT(--(U$6:U12&lt;&gt;""), U$6:U12, (M$6:M12-M$5:M11)))/1000), ""))</f>
        <v/>
      </c>
      <c r="Y12" s="1">
        <f>Y11+10</f>
        <v/>
      </c>
      <c r="Z12" s="1">
        <f>AA11</f>
        <v/>
      </c>
      <c r="AC12" t="inlineStr">
        <is>
          <t>60mL/3s/30s</t>
        </is>
      </c>
      <c r="AG12" s="1">
        <f>IF(AA12="", "", (Z12-AA12)*1000/(Y12-Y11))</f>
        <v/>
      </c>
      <c r="AH12" s="1">
        <f>IF(AG12="","",AG12/AD$2/3)</f>
        <v/>
      </c>
      <c r="AI12" s="1">
        <f>IF(AG12="","", 100*_xlfn.STDEV.P(AG11:AG12)/AVERAGE(AG11:AG12))</f>
        <v/>
      </c>
      <c r="AJ12" s="8">
        <f t="array" ref="AJ12">IF(AG12="","", IFERROR(((IF(AG$5&lt;&gt;"", AG$5*Y$5, 0) + SUMPRODUCT(--(AG$6:AG12&lt;&gt;""), AG$6:AG12, (Y$6:Y12-Y$5:Y11)))/1000), ""))</f>
        <v/>
      </c>
      <c r="AK12" s="1">
        <f>AK11+10</f>
        <v/>
      </c>
      <c r="AL12" s="1">
        <f>AM11</f>
        <v/>
      </c>
      <c r="AO12" t="inlineStr">
        <is>
          <t>60mL/3s/30s</t>
        </is>
      </c>
      <c r="AS12" s="1">
        <f>IF(AM12="", "", (AL12-AM12)*1000/(AK12-AK11))</f>
        <v/>
      </c>
      <c r="AT12" s="1">
        <f>IF(AS12="","",AS12/AP$2/3)</f>
        <v/>
      </c>
      <c r="AU12" s="1">
        <f>IF(AS12="","", 100*_xlfn.STDEV.P(AS11:AS12)/AVERAGE(AS11:AS12))</f>
        <v/>
      </c>
      <c r="AV12" s="8">
        <f t="array" ref="AV12">IF(AS12="","", IFERROR(((IF(AS$5&lt;&gt;"", AS$5*AK$5, 0) + SUMPRODUCT(--(AS$6:AS12&lt;&gt;""), AS$6:AS12, (AK$6:AK12-AK$5:AK11)))/1000), ""))</f>
        <v/>
      </c>
    </row>
    <row r="13">
      <c r="A13" s="1">
        <f>A12+10</f>
        <v/>
      </c>
      <c r="B13" s="1">
        <f>C12</f>
        <v/>
      </c>
      <c r="E13" t="inlineStr">
        <is>
          <t>60mL/3s/30s</t>
        </is>
      </c>
      <c r="I13" s="1">
        <f>IF(C13="", "", (B13-C13)*1000/(A13-A12))</f>
        <v/>
      </c>
      <c r="J13" s="1">
        <f>IF(I13="","",I13/F$2/3)</f>
        <v/>
      </c>
      <c r="K13" s="1">
        <f>IF(I13="","", 100*_xlfn.STDEV.P(I12:I13)/AVERAGE(I12:I13))</f>
        <v/>
      </c>
      <c r="L13" s="8">
        <f t="array" ref="L13">IF(I13="","", IFERROR(((IF(I$5&lt;&gt;"", I$5*A$5, 0) + SUMPRODUCT(--(I$6:I13&lt;&gt;""), I$6:I13, (A$6:A13-A$5:A12)))/1000), ""))</f>
        <v/>
      </c>
      <c r="M13" s="1">
        <f>M12+10</f>
        <v/>
      </c>
      <c r="N13" s="1">
        <f>O12</f>
        <v/>
      </c>
      <c r="Q13" t="inlineStr">
        <is>
          <t>60mL/3s/30s</t>
        </is>
      </c>
      <c r="U13" s="1">
        <f>IF(O13="", "", (N13-O13)*1000/(M13-M12))</f>
        <v/>
      </c>
      <c r="V13" s="1">
        <f>IF(U13="","",U13/R$2/3)</f>
        <v/>
      </c>
      <c r="W13" s="1">
        <f>IF(U13="","", 100*_xlfn.STDEV.P(U12:U13)/AVERAGE(U12:U13))</f>
        <v/>
      </c>
      <c r="X13" s="8">
        <f t="array" ref="X13">IF(U13="","", IFERROR(((IF(U$5&lt;&gt;"", U$5*M$5, 0) + SUMPRODUCT(--(U$6:U13&lt;&gt;""), U$6:U13, (M$6:M13-M$5:M12)))/1000), ""))</f>
        <v/>
      </c>
      <c r="Y13" s="1">
        <f>Y12+10</f>
        <v/>
      </c>
      <c r="Z13" s="1">
        <f>AA12</f>
        <v/>
      </c>
      <c r="AC13" t="inlineStr">
        <is>
          <t>60mL/3s/30s</t>
        </is>
      </c>
      <c r="AG13" s="1">
        <f>IF(AA13="", "", (Z13-AA13)*1000/(Y13-Y12))</f>
        <v/>
      </c>
      <c r="AH13" s="1">
        <f>IF(AG13="","",AG13/AD$2/3)</f>
        <v/>
      </c>
      <c r="AI13" s="1">
        <f>IF(AG13="","", 100*_xlfn.STDEV.P(AG12:AG13)/AVERAGE(AG12:AG13))</f>
        <v/>
      </c>
      <c r="AJ13" s="8">
        <f t="array" ref="AJ13">IF(AG13="","", IFERROR(((IF(AG$5&lt;&gt;"", AG$5*Y$5, 0) + SUMPRODUCT(--(AG$6:AG13&lt;&gt;""), AG$6:AG13, (Y$6:Y13-Y$5:Y12)))/1000), ""))</f>
        <v/>
      </c>
      <c r="AK13" s="1">
        <f>AK12+10</f>
        <v/>
      </c>
      <c r="AL13" s="1">
        <f>AM12</f>
        <v/>
      </c>
      <c r="AO13" t="inlineStr">
        <is>
          <t>60mL/3s/30s</t>
        </is>
      </c>
      <c r="AS13" s="1">
        <f>IF(AM13="", "", (AL13-AM13)*1000/(AK13-AK12))</f>
        <v/>
      </c>
      <c r="AT13" s="1">
        <f>IF(AS13="","",AS13/AP$2/3)</f>
        <v/>
      </c>
      <c r="AU13" s="1">
        <f>IF(AS13="","", 100*_xlfn.STDEV.P(AS12:AS13)/AVERAGE(AS12:AS13))</f>
        <v/>
      </c>
      <c r="AV13" s="8">
        <f t="array" ref="AV13">IF(AS13="","", IFERROR(((IF(AS$5&lt;&gt;"", AS$5*AK$5, 0) + SUMPRODUCT(--(AS$6:AS13&lt;&gt;""), AS$6:AS13, (AK$6:AK13-AK$5:AK12)))/1000), ""))</f>
        <v/>
      </c>
    </row>
    <row r="14">
      <c r="A14" s="1">
        <f>A13+10</f>
        <v/>
      </c>
      <c r="B14" s="1">
        <f>C13</f>
        <v/>
      </c>
      <c r="E14" t="inlineStr">
        <is>
          <t>60mL/3s/30s</t>
        </is>
      </c>
      <c r="I14" s="1">
        <f>IF(C14="", "", (B14-C14)*1000/(A14-A13))</f>
        <v/>
      </c>
      <c r="J14" s="1">
        <f>IF(I14="","",I14/F$2/3)</f>
        <v/>
      </c>
      <c r="K14" s="1">
        <f>IF(I14="","", 100*_xlfn.STDEV.P(I13:I14)/AVERAGE(I13:I14))</f>
        <v/>
      </c>
      <c r="L14" s="8">
        <f t="array" ref="L14">IF(I14="","", IFERROR(((IF(I$5&lt;&gt;"", I$5*A$5, 0) + SUMPRODUCT(--(I$6:I14&lt;&gt;""), I$6:I14, (A$6:A14-A$5:A13)))/1000), ""))</f>
        <v/>
      </c>
      <c r="M14" s="1">
        <f>M13+10</f>
        <v/>
      </c>
      <c r="N14" s="1">
        <f>O13</f>
        <v/>
      </c>
      <c r="Q14" t="inlineStr">
        <is>
          <t>60mL/3s/30s</t>
        </is>
      </c>
      <c r="U14" s="1">
        <f>IF(O14="", "", (N14-O14)*1000/(M14-M13))</f>
        <v/>
      </c>
      <c r="V14" s="1">
        <f>IF(U14="","",U14/R$2/3)</f>
        <v/>
      </c>
      <c r="W14" s="1">
        <f>IF(U14="","", 100*_xlfn.STDEV.P(U13:U14)/AVERAGE(U13:U14))</f>
        <v/>
      </c>
      <c r="X14" s="8">
        <f t="array" ref="X14">IF(U14="","", IFERROR(((IF(U$5&lt;&gt;"", U$5*M$5, 0) + SUMPRODUCT(--(U$6:U14&lt;&gt;""), U$6:U14, (M$6:M14-M$5:M13)))/1000), ""))</f>
        <v/>
      </c>
      <c r="Y14" s="1">
        <f>Y13+10</f>
        <v/>
      </c>
      <c r="Z14" s="1">
        <f>AA13</f>
        <v/>
      </c>
      <c r="AC14" t="inlineStr">
        <is>
          <t>60mL/3s/30s</t>
        </is>
      </c>
      <c r="AG14" s="1">
        <f>IF(AA14="", "", (Z14-AA14)*1000/(Y14-Y13))</f>
        <v/>
      </c>
      <c r="AH14" s="1">
        <f>IF(AG14="","",AG14/AD$2/3)</f>
        <v/>
      </c>
      <c r="AI14" s="1">
        <f>IF(AG14="","", 100*_xlfn.STDEV.P(AG13:AG14)/AVERAGE(AG13:AG14))</f>
        <v/>
      </c>
      <c r="AJ14" s="8">
        <f t="array" ref="AJ14">IF(AG14="","", IFERROR(((IF(AG$5&lt;&gt;"", AG$5*Y$5, 0) + SUMPRODUCT(--(AG$6:AG14&lt;&gt;""), AG$6:AG14, (Y$6:Y14-Y$5:Y13)))/1000), ""))</f>
        <v/>
      </c>
      <c r="AK14" s="1">
        <f>AK13+10</f>
        <v/>
      </c>
      <c r="AL14" s="1">
        <f>AM13</f>
        <v/>
      </c>
      <c r="AO14" t="inlineStr">
        <is>
          <t>60mL/3s/30s</t>
        </is>
      </c>
      <c r="AS14" s="1">
        <f>IF(AM14="", "", (AL14-AM14)*1000/(AK14-AK13))</f>
        <v/>
      </c>
      <c r="AT14" s="1">
        <f>IF(AS14="","",AS14/AP$2/3)</f>
        <v/>
      </c>
      <c r="AU14" s="1">
        <f>IF(AS14="","", 100*_xlfn.STDEV.P(AS13:AS14)/AVERAGE(AS13:AS14))</f>
        <v/>
      </c>
      <c r="AV14" s="8">
        <f t="array" ref="AV14">IF(AS14="","", IFERROR(((IF(AS$5&lt;&gt;"", AS$5*AK$5, 0) + SUMPRODUCT(--(AS$6:AS14&lt;&gt;""), AS$6:AS14, (AK$6:AK14-AK$5:AK13)))/1000), ""))</f>
        <v/>
      </c>
    </row>
    <row r="15">
      <c r="A15" s="1">
        <f>A14+10</f>
        <v/>
      </c>
      <c r="B15" s="1">
        <f>C14</f>
        <v/>
      </c>
      <c r="E15" t="inlineStr">
        <is>
          <t>60mL/3s/30s</t>
        </is>
      </c>
      <c r="I15" s="1">
        <f>IF(C15="", "", (B15-C15)*1000/(A15-A14))</f>
        <v/>
      </c>
      <c r="J15" s="1">
        <f>IF(I15="","",I15/F$2/3)</f>
        <v/>
      </c>
      <c r="K15" s="1">
        <f>IF(I15="","", 100*_xlfn.STDEV.P(I14:I15)/AVERAGE(I14:I15))</f>
        <v/>
      </c>
      <c r="L15" s="8">
        <f t="array" ref="L15">IF(I15="","", IFERROR(((IF(I$5&lt;&gt;"", I$5*A$5, 0) + SUMPRODUCT(--(I$6:I15&lt;&gt;""), I$6:I15, (A$6:A15-A$5:A14)))/1000), ""))</f>
        <v/>
      </c>
      <c r="M15" s="1">
        <f>M14+10</f>
        <v/>
      </c>
      <c r="N15" s="1">
        <f>O14</f>
        <v/>
      </c>
      <c r="Q15" t="inlineStr">
        <is>
          <t>60mL/3s/30s</t>
        </is>
      </c>
      <c r="U15" s="1">
        <f>IF(O15="", "", (N15-O15)*1000/(M15-M14))</f>
        <v/>
      </c>
      <c r="V15" s="1">
        <f>IF(U15="","",U15/R$2/3)</f>
        <v/>
      </c>
      <c r="W15" s="1">
        <f>IF(U15="","", 100*_xlfn.STDEV.P(U14:U15)/AVERAGE(U14:U15))</f>
        <v/>
      </c>
      <c r="X15" s="8">
        <f t="array" ref="X15">IF(U15="","", IFERROR(((IF(U$5&lt;&gt;"", U$5*M$5, 0) + SUMPRODUCT(--(U$6:U15&lt;&gt;""), U$6:U15, (M$6:M15-M$5:M14)))/1000), ""))</f>
        <v/>
      </c>
      <c r="Y15" s="1">
        <f>Y14+10</f>
        <v/>
      </c>
      <c r="Z15" s="1">
        <f>AA14</f>
        <v/>
      </c>
      <c r="AC15" t="inlineStr">
        <is>
          <t>60mL/3s/30s</t>
        </is>
      </c>
      <c r="AG15" s="1">
        <f>IF(AA15="", "", (Z15-AA15)*1000/(Y15-Y14))</f>
        <v/>
      </c>
      <c r="AH15" s="1">
        <f>IF(AG15="","",AG15/AD$2/3)</f>
        <v/>
      </c>
      <c r="AI15" s="1">
        <f>IF(AG15="","", 100*_xlfn.STDEV.P(AG14:AG15)/AVERAGE(AG14:AG15))</f>
        <v/>
      </c>
      <c r="AJ15" s="8">
        <f t="array" ref="AJ15">IF(AG15="","", IFERROR(((IF(AG$5&lt;&gt;"", AG$5*Y$5, 0) + SUMPRODUCT(--(AG$6:AG15&lt;&gt;""), AG$6:AG15, (Y$6:Y15-Y$5:Y14)))/1000), ""))</f>
        <v/>
      </c>
      <c r="AK15" s="1">
        <f>AK14+10</f>
        <v/>
      </c>
      <c r="AL15" s="1">
        <f>AM14</f>
        <v/>
      </c>
      <c r="AO15" t="inlineStr">
        <is>
          <t>60mL/3s/30s</t>
        </is>
      </c>
      <c r="AS15" s="1">
        <f>IF(AM15="", "", (AL15-AM15)*1000/(AK15-AK14))</f>
        <v/>
      </c>
      <c r="AT15" s="1">
        <f>IF(AS15="","",AS15/AP$2/3)</f>
        <v/>
      </c>
      <c r="AU15" s="1">
        <f>IF(AS15="","", 100*_xlfn.STDEV.P(AS14:AS15)/AVERAGE(AS14:AS15))</f>
        <v/>
      </c>
      <c r="AV15" s="8">
        <f t="array" ref="AV15">IF(AS15="","", IFERROR(((IF(AS$5&lt;&gt;"", AS$5*AK$5, 0) + SUMPRODUCT(--(AS$6:AS15&lt;&gt;""), AS$6:AS15, (AK$6:AK15-AK$5:AK14)))/1000), ""))</f>
        <v/>
      </c>
    </row>
    <row r="16">
      <c r="A16" s="1">
        <f>A15+10</f>
        <v/>
      </c>
      <c r="B16" s="1">
        <f>C15</f>
        <v/>
      </c>
      <c r="E16" t="inlineStr">
        <is>
          <t>60mL/3s/30s</t>
        </is>
      </c>
      <c r="I16" s="1">
        <f>IF(C16="", "", (B16-C16)*1000/(A16-A15))</f>
        <v/>
      </c>
      <c r="J16" s="1">
        <f>IF(I16="","",I16/F$2/3)</f>
        <v/>
      </c>
      <c r="K16" s="1">
        <f>IF(I16="","", 100*_xlfn.STDEV.P(I15:I16)/AVERAGE(I15:I16))</f>
        <v/>
      </c>
      <c r="L16" s="8">
        <f t="array" ref="L16">IF(I16="","", IFERROR(((IF(I$5&lt;&gt;"", I$5*A$5, 0) + SUMPRODUCT(--(I$6:I16&lt;&gt;""), I$6:I16, (A$6:A16-A$5:A15)))/1000), ""))</f>
        <v/>
      </c>
      <c r="M16" s="1">
        <f>M15+10</f>
        <v/>
      </c>
      <c r="N16" s="1">
        <f>O15</f>
        <v/>
      </c>
      <c r="Q16" t="inlineStr">
        <is>
          <t>60mL/3s/30s</t>
        </is>
      </c>
      <c r="U16" s="1">
        <f>IF(O16="", "", (N16-O16)*1000/(M16-M15))</f>
        <v/>
      </c>
      <c r="V16" s="1">
        <f>IF(U16="","",U16/R$2/3)</f>
        <v/>
      </c>
      <c r="W16" s="1">
        <f>IF(U16="","", 100*_xlfn.STDEV.P(U15:U16)/AVERAGE(U15:U16))</f>
        <v/>
      </c>
      <c r="X16" s="8">
        <f t="array" ref="X16">IF(U16="","", IFERROR(((IF(U$5&lt;&gt;"", U$5*M$5, 0) + SUMPRODUCT(--(U$6:U16&lt;&gt;""), U$6:U16, (M$6:M16-M$5:M15)))/1000), ""))</f>
        <v/>
      </c>
      <c r="Y16" s="1">
        <f>Y15+10</f>
        <v/>
      </c>
      <c r="Z16" s="1">
        <f>AA15</f>
        <v/>
      </c>
      <c r="AC16" t="inlineStr">
        <is>
          <t>60mL/3s/30s</t>
        </is>
      </c>
      <c r="AG16" s="1">
        <f>IF(AA16="", "", (Z16-AA16)*1000/(Y16-Y15))</f>
        <v/>
      </c>
      <c r="AH16" s="1">
        <f>IF(AG16="","",AG16/AD$2/3)</f>
        <v/>
      </c>
      <c r="AI16" s="1">
        <f>IF(AG16="","", 100*_xlfn.STDEV.P(AG15:AG16)/AVERAGE(AG15:AG16))</f>
        <v/>
      </c>
      <c r="AJ16" s="8">
        <f t="array" ref="AJ16">IF(AG16="","", IFERROR(((IF(AG$5&lt;&gt;"", AG$5*Y$5, 0) + SUMPRODUCT(--(AG$6:AG16&lt;&gt;""), AG$6:AG16, (Y$6:Y16-Y$5:Y15)))/1000), ""))</f>
        <v/>
      </c>
      <c r="AK16" s="1">
        <f>AK15+10</f>
        <v/>
      </c>
      <c r="AL16" s="1">
        <f>AM15</f>
        <v/>
      </c>
      <c r="AO16" t="inlineStr">
        <is>
          <t>60mL/3s/30s</t>
        </is>
      </c>
      <c r="AS16" s="1">
        <f>IF(AM16="", "", (AL16-AM16)*1000/(AK16-AK15))</f>
        <v/>
      </c>
      <c r="AT16" s="1">
        <f>IF(AS16="","",AS16/AP$2/3)</f>
        <v/>
      </c>
      <c r="AU16" s="1">
        <f>IF(AS16="","", 100*_xlfn.STDEV.P(AS15:AS16)/AVERAGE(AS15:AS16))</f>
        <v/>
      </c>
      <c r="AV16" s="8">
        <f t="array" ref="AV16">IF(AS16="","", IFERROR(((IF(AS$5&lt;&gt;"", AS$5*AK$5, 0) + SUMPRODUCT(--(AS$6:AS16&lt;&gt;""), AS$6:AS16, (AK$6:AK16-AK$5:AK15)))/1000), ""))</f>
        <v/>
      </c>
    </row>
    <row r="17">
      <c r="A17" s="1">
        <f>A16+10</f>
        <v/>
      </c>
      <c r="B17" s="1">
        <f>C16</f>
        <v/>
      </c>
      <c r="E17" t="inlineStr">
        <is>
          <t>60mL/3s/30s</t>
        </is>
      </c>
      <c r="I17" s="1">
        <f>IF(C17="", "", (B17-C17)*1000/(A17-A16))</f>
        <v/>
      </c>
      <c r="J17" s="1">
        <f>IF(I17="","",I17/F$2/3)</f>
        <v/>
      </c>
      <c r="K17" s="1">
        <f>IF(I17="","", 100*_xlfn.STDEV.P(I16:I17)/AVERAGE(I16:I17))</f>
        <v/>
      </c>
      <c r="L17" s="8">
        <f t="array" ref="L17">IF(I17="","", IFERROR(((IF(I$5&lt;&gt;"", I$5*A$5, 0) + SUMPRODUCT(--(I$6:I17&lt;&gt;""), I$6:I17, (A$6:A17-A$5:A16)))/1000), ""))</f>
        <v/>
      </c>
      <c r="M17" s="1">
        <f>M16+10</f>
        <v/>
      </c>
      <c r="N17" s="1">
        <f>O16</f>
        <v/>
      </c>
      <c r="Q17" t="inlineStr">
        <is>
          <t>60mL/3s/30s</t>
        </is>
      </c>
      <c r="U17" s="1">
        <f>IF(O17="", "", (N17-O17)*1000/(M17-M16))</f>
        <v/>
      </c>
      <c r="V17" s="1">
        <f>IF(U17="","",U17/R$2/3)</f>
        <v/>
      </c>
      <c r="W17" s="1">
        <f>IF(U17="","", 100*_xlfn.STDEV.P(U16:U17)/AVERAGE(U16:U17))</f>
        <v/>
      </c>
      <c r="X17" s="8">
        <f t="array" ref="X17">IF(U17="","", IFERROR(((IF(U$5&lt;&gt;"", U$5*M$5, 0) + SUMPRODUCT(--(U$6:U17&lt;&gt;""), U$6:U17, (M$6:M17-M$5:M16)))/1000), ""))</f>
        <v/>
      </c>
      <c r="Y17" s="1">
        <f>Y16+10</f>
        <v/>
      </c>
      <c r="Z17" s="1">
        <f>AA16</f>
        <v/>
      </c>
      <c r="AC17" t="inlineStr">
        <is>
          <t>60mL/3s/30s</t>
        </is>
      </c>
      <c r="AG17" s="1">
        <f>IF(AA17="", "", (Z17-AA17)*1000/(Y17-Y16))</f>
        <v/>
      </c>
      <c r="AH17" s="1">
        <f>IF(AG17="","",AG17/AD$2/3)</f>
        <v/>
      </c>
      <c r="AI17" s="1">
        <f>IF(AG17="","", 100*_xlfn.STDEV.P(AG16:AG17)/AVERAGE(AG16:AG17))</f>
        <v/>
      </c>
      <c r="AJ17" s="8">
        <f t="array" ref="AJ17">IF(AG17="","", IFERROR(((IF(AG$5&lt;&gt;"", AG$5*Y$5, 0) + SUMPRODUCT(--(AG$6:AG17&lt;&gt;""), AG$6:AG17, (Y$6:Y17-Y$5:Y16)))/1000), ""))</f>
        <v/>
      </c>
      <c r="AK17" s="1">
        <f>AK16+10</f>
        <v/>
      </c>
      <c r="AL17" s="1">
        <f>AM16</f>
        <v/>
      </c>
      <c r="AO17" t="inlineStr">
        <is>
          <t>60mL/3s/30s</t>
        </is>
      </c>
      <c r="AS17" s="1">
        <f>IF(AM17="", "", (AL17-AM17)*1000/(AK17-AK16))</f>
        <v/>
      </c>
      <c r="AT17" s="1">
        <f>IF(AS17="","",AS17/AP$2/3)</f>
        <v/>
      </c>
      <c r="AU17" s="1">
        <f>IF(AS17="","", 100*_xlfn.STDEV.P(AS16:AS17)/AVERAGE(AS16:AS17))</f>
        <v/>
      </c>
      <c r="AV17" s="8">
        <f t="array" ref="AV17">IF(AS17="","", IFERROR(((IF(AS$5&lt;&gt;"", AS$5*AK$5, 0) + SUMPRODUCT(--(AS$6:AS17&lt;&gt;""), AS$6:AS17, (AK$6:AK17-AK$5:AK16)))/1000), ""))</f>
        <v/>
      </c>
    </row>
    <row r="18">
      <c r="A18" s="1">
        <f>A17+10</f>
        <v/>
      </c>
      <c r="B18" s="1">
        <f>C17</f>
        <v/>
      </c>
      <c r="E18" t="inlineStr">
        <is>
          <t>60mL/3s/30s</t>
        </is>
      </c>
      <c r="I18" s="1">
        <f>IF(C18="", "", (B18-C18)*1000/(A18-A17))</f>
        <v/>
      </c>
      <c r="J18" s="1">
        <f>IF(I18="","",I18/F$2/3)</f>
        <v/>
      </c>
      <c r="K18" s="1">
        <f>IF(I18="","", 100*_xlfn.STDEV.P(I17:I18)/AVERAGE(I17:I18))</f>
        <v/>
      </c>
      <c r="L18" s="8">
        <f t="array" ref="L18">IF(I18="","", IFERROR(((IF(I$5&lt;&gt;"", I$5*A$5, 0) + SUMPRODUCT(--(I$6:I18&lt;&gt;""), I$6:I18, (A$6:A18-A$5:A17)))/1000), ""))</f>
        <v/>
      </c>
      <c r="M18" s="1">
        <f>M17+10</f>
        <v/>
      </c>
      <c r="N18" s="1">
        <f>O17</f>
        <v/>
      </c>
      <c r="Q18" t="inlineStr">
        <is>
          <t>60mL/3s/30s</t>
        </is>
      </c>
      <c r="U18" s="1">
        <f>IF(O18="", "", (N18-O18)*1000/(M18-M17))</f>
        <v/>
      </c>
      <c r="V18" s="1">
        <f>IF(U18="","",U18/R$2/3)</f>
        <v/>
      </c>
      <c r="W18" s="1">
        <f>IF(U18="","", 100*_xlfn.STDEV.P(U17:U18)/AVERAGE(U17:U18))</f>
        <v/>
      </c>
      <c r="X18" s="8">
        <f t="array" ref="X18">IF(U18="","", IFERROR(((IF(U$5&lt;&gt;"", U$5*M$5, 0) + SUMPRODUCT(--(U$6:U18&lt;&gt;""), U$6:U18, (M$6:M18-M$5:M17)))/1000), ""))</f>
        <v/>
      </c>
      <c r="Y18" s="1">
        <f>Y17+10</f>
        <v/>
      </c>
      <c r="Z18" s="1">
        <f>AA17</f>
        <v/>
      </c>
      <c r="AC18" t="inlineStr">
        <is>
          <t>60mL/3s/30s</t>
        </is>
      </c>
      <c r="AG18" s="1">
        <f>IF(AA18="", "", (Z18-AA18)*1000/(Y18-Y17))</f>
        <v/>
      </c>
      <c r="AH18" s="1">
        <f>IF(AG18="","",AG18/AD$2/3)</f>
        <v/>
      </c>
      <c r="AI18" s="1">
        <f>IF(AG18="","", 100*_xlfn.STDEV.P(AG17:AG18)/AVERAGE(AG17:AG18))</f>
        <v/>
      </c>
      <c r="AJ18" s="8">
        <f t="array" ref="AJ18">IF(AG18="","", IFERROR(((IF(AG$5&lt;&gt;"", AG$5*Y$5, 0) + SUMPRODUCT(--(AG$6:AG18&lt;&gt;""), AG$6:AG18, (Y$6:Y18-Y$5:Y17)))/1000), ""))</f>
        <v/>
      </c>
      <c r="AK18" s="1">
        <f>AK17+10</f>
        <v/>
      </c>
      <c r="AL18" s="1">
        <f>AM17</f>
        <v/>
      </c>
      <c r="AO18" t="inlineStr">
        <is>
          <t>60mL/3s/30s</t>
        </is>
      </c>
      <c r="AS18" s="1">
        <f>IF(AM18="", "", (AL18-AM18)*1000/(AK18-AK17))</f>
        <v/>
      </c>
      <c r="AT18" s="1">
        <f>IF(AS18="","",AS18/AP$2/3)</f>
        <v/>
      </c>
      <c r="AU18" s="1">
        <f>IF(AS18="","", 100*_xlfn.STDEV.P(AS17:AS18)/AVERAGE(AS17:AS18))</f>
        <v/>
      </c>
      <c r="AV18" s="8">
        <f t="array" ref="AV18">IF(AS18="","", IFERROR(((IF(AS$5&lt;&gt;"", AS$5*AK$5, 0) + SUMPRODUCT(--(AS$6:AS18&lt;&gt;""), AS$6:AS18, (AK$6:AK18-AK$5:AK17)))/1000), ""))</f>
        <v/>
      </c>
    </row>
    <row r="19">
      <c r="A19" s="1">
        <f>A18+10</f>
        <v/>
      </c>
      <c r="B19" s="1">
        <f>C18</f>
        <v/>
      </c>
      <c r="E19" t="inlineStr">
        <is>
          <t>60mL/3s/30s</t>
        </is>
      </c>
      <c r="I19" s="1">
        <f>IF(C19="", "", (B19-C19)*1000/(A19-A18))</f>
        <v/>
      </c>
      <c r="J19" s="1">
        <f>IF(I19="","",I19/F$2/3)</f>
        <v/>
      </c>
      <c r="K19" s="1">
        <f>IF(I19="","", 100*_xlfn.STDEV.P(I18:I19)/AVERAGE(I18:I19))</f>
        <v/>
      </c>
      <c r="L19" s="8">
        <f t="array" ref="L19">IF(I19="","", IFERROR(((IF(I$5&lt;&gt;"", I$5*A$5, 0) + SUMPRODUCT(--(I$6:I19&lt;&gt;""), I$6:I19, (A$6:A19-A$5:A18)))/1000), ""))</f>
        <v/>
      </c>
      <c r="M19" s="1">
        <f>M18+10</f>
        <v/>
      </c>
      <c r="N19" s="1">
        <f>O18</f>
        <v/>
      </c>
      <c r="Q19" t="inlineStr">
        <is>
          <t>60mL/3s/30s</t>
        </is>
      </c>
      <c r="U19" s="1">
        <f>IF(O19="", "", (N19-O19)*1000/(M19-M18))</f>
        <v/>
      </c>
      <c r="V19" s="1">
        <f>IF(U19="","",U19/R$2/3)</f>
        <v/>
      </c>
      <c r="W19" s="1">
        <f>IF(U19="","", 100*_xlfn.STDEV.P(U18:U19)/AVERAGE(U18:U19))</f>
        <v/>
      </c>
      <c r="X19" s="8">
        <f t="array" ref="X19">IF(U19="","", IFERROR(((IF(U$5&lt;&gt;"", U$5*M$5, 0) + SUMPRODUCT(--(U$6:U19&lt;&gt;""), U$6:U19, (M$6:M19-M$5:M18)))/1000), ""))</f>
        <v/>
      </c>
      <c r="Y19" s="1">
        <f>Y18+10</f>
        <v/>
      </c>
      <c r="Z19" s="1">
        <f>AA18</f>
        <v/>
      </c>
      <c r="AC19" t="inlineStr">
        <is>
          <t>60mL/3s/30s</t>
        </is>
      </c>
      <c r="AG19" s="1">
        <f>IF(AA19="", "", (Z19-AA19)*1000/(Y19-Y18))</f>
        <v/>
      </c>
      <c r="AH19" s="1">
        <f>IF(AG19="","",AG19/AD$2/3)</f>
        <v/>
      </c>
      <c r="AI19" s="1">
        <f>IF(AG19="","", 100*_xlfn.STDEV.P(AG18:AG19)/AVERAGE(AG18:AG19))</f>
        <v/>
      </c>
      <c r="AJ19" s="8">
        <f t="array" ref="AJ19">IF(AG19="","", IFERROR(((IF(AG$5&lt;&gt;"", AG$5*Y$5, 0) + SUMPRODUCT(--(AG$6:AG19&lt;&gt;""), AG$6:AG19, (Y$6:Y19-Y$5:Y18)))/1000), ""))</f>
        <v/>
      </c>
      <c r="AK19" s="1">
        <f>AK18+10</f>
        <v/>
      </c>
      <c r="AL19" s="1">
        <f>AM18</f>
        <v/>
      </c>
      <c r="AO19" t="inlineStr">
        <is>
          <t>60mL/3s/30s</t>
        </is>
      </c>
      <c r="AS19" s="1">
        <f>IF(AM19="", "", (AL19-AM19)*1000/(AK19-AK18))</f>
        <v/>
      </c>
      <c r="AT19" s="1">
        <f>IF(AS19="","",AS19/AP$2/3)</f>
        <v/>
      </c>
      <c r="AU19" s="1">
        <f>IF(AS19="","", 100*_xlfn.STDEV.P(AS18:AS19)/AVERAGE(AS18:AS19))</f>
        <v/>
      </c>
      <c r="AV19" s="8">
        <f t="array" ref="AV19">IF(AS19="","", IFERROR(((IF(AS$5&lt;&gt;"", AS$5*AK$5, 0) + SUMPRODUCT(--(AS$6:AS19&lt;&gt;""), AS$6:AS19, (AK$6:AK19-AK$5:AK18)))/1000), ""))</f>
        <v/>
      </c>
    </row>
    <row r="20">
      <c r="A20" s="1">
        <f>A19+10</f>
        <v/>
      </c>
      <c r="B20" s="1">
        <f>C19</f>
        <v/>
      </c>
      <c r="E20" t="inlineStr">
        <is>
          <t>60mL/3s/30s</t>
        </is>
      </c>
      <c r="I20" s="1">
        <f>IF(C20="", "", (B20-C20)*1000/(A20-A19))</f>
        <v/>
      </c>
      <c r="J20" s="1">
        <f>IF(I20="","",I20/F$2/3)</f>
        <v/>
      </c>
      <c r="K20" s="1">
        <f>IF(I20="","", 100*_xlfn.STDEV.P(I19:I20)/AVERAGE(I19:I20))</f>
        <v/>
      </c>
      <c r="L20" s="8">
        <f t="array" ref="L20">IF(I20="","", IFERROR(((IF(I$5&lt;&gt;"", I$5*A$5, 0) + SUMPRODUCT(--(I$6:I20&lt;&gt;""), I$6:I20, (A$6:A20-A$5:A19)))/1000), ""))</f>
        <v/>
      </c>
      <c r="M20" s="1">
        <f>M19+10</f>
        <v/>
      </c>
      <c r="N20" s="1">
        <f>O19</f>
        <v/>
      </c>
      <c r="Q20" t="inlineStr">
        <is>
          <t>60mL/3s/30s</t>
        </is>
      </c>
      <c r="U20" s="1">
        <f>IF(O20="", "", (N20-O20)*1000/(M20-M19))</f>
        <v/>
      </c>
      <c r="V20" s="1">
        <f>IF(U20="","",U20/R$2/3)</f>
        <v/>
      </c>
      <c r="W20" s="1">
        <f>IF(U20="","", 100*_xlfn.STDEV.P(U19:U20)/AVERAGE(U19:U20))</f>
        <v/>
      </c>
      <c r="X20" s="8">
        <f t="array" ref="X20">IF(U20="","", IFERROR(((IF(U$5&lt;&gt;"", U$5*M$5, 0) + SUMPRODUCT(--(U$6:U20&lt;&gt;""), U$6:U20, (M$6:M20-M$5:M19)))/1000), ""))</f>
        <v/>
      </c>
      <c r="Y20" s="1">
        <f>Y19+10</f>
        <v/>
      </c>
      <c r="Z20" s="1">
        <f>AA19</f>
        <v/>
      </c>
      <c r="AC20" t="inlineStr">
        <is>
          <t>60mL/3s/30s</t>
        </is>
      </c>
      <c r="AG20" s="1">
        <f>IF(AA20="", "", (Z20-AA20)*1000/(Y20-Y19))</f>
        <v/>
      </c>
      <c r="AH20" s="1">
        <f>IF(AG20="","",AG20/AD$2/3)</f>
        <v/>
      </c>
      <c r="AI20" s="1">
        <f>IF(AG20="","", 100*_xlfn.STDEV.P(AG19:AG20)/AVERAGE(AG19:AG20))</f>
        <v/>
      </c>
      <c r="AJ20" s="8">
        <f t="array" ref="AJ20">IF(AG20="","", IFERROR(((IF(AG$5&lt;&gt;"", AG$5*Y$5, 0) + SUMPRODUCT(--(AG$6:AG20&lt;&gt;""), AG$6:AG20, (Y$6:Y20-Y$5:Y19)))/1000), ""))</f>
        <v/>
      </c>
      <c r="AK20" s="1">
        <f>AK19+10</f>
        <v/>
      </c>
      <c r="AL20" s="1">
        <f>AM19</f>
        <v/>
      </c>
      <c r="AO20" t="inlineStr">
        <is>
          <t>60mL/3s/30s</t>
        </is>
      </c>
      <c r="AS20" s="1">
        <f>IF(AM20="", "", (AL20-AM20)*1000/(AK20-AK19))</f>
        <v/>
      </c>
      <c r="AT20" s="1">
        <f>IF(AS20="","",AS20/AP$2/3)</f>
        <v/>
      </c>
      <c r="AU20" s="1">
        <f>IF(AS20="","", 100*_xlfn.STDEV.P(AS19:AS20)/AVERAGE(AS19:AS20))</f>
        <v/>
      </c>
      <c r="AV20" s="8">
        <f t="array" ref="AV20">IF(AS20="","", IFERROR(((IF(AS$5&lt;&gt;"", AS$5*AK$5, 0) + SUMPRODUCT(--(AS$6:AS20&lt;&gt;""), AS$6:AS20, (AK$6:AK20-AK$5:AK19)))/1000), ""))</f>
        <v/>
      </c>
    </row>
    <row r="21">
      <c r="A21" s="1">
        <f>A20+10</f>
        <v/>
      </c>
      <c r="B21" s="1">
        <f>C20</f>
        <v/>
      </c>
      <c r="E21" t="inlineStr">
        <is>
          <t>60mL/3s/30s</t>
        </is>
      </c>
      <c r="I21" s="1">
        <f>IF(C21="", "", (B21-C21)*1000/(A21-A20))</f>
        <v/>
      </c>
      <c r="J21" s="1">
        <f>IF(I21="","",I21/F$2/3)</f>
        <v/>
      </c>
      <c r="K21" s="1">
        <f>IF(I21="","", 100*_xlfn.STDEV.P(I20:I21)/AVERAGE(I20:I21))</f>
        <v/>
      </c>
      <c r="L21" s="8">
        <f t="array" ref="L21">IF(I21="","", IFERROR(((IF(I$5&lt;&gt;"", I$5*A$5, 0) + SUMPRODUCT(--(I$6:I21&lt;&gt;""), I$6:I21, (A$6:A21-A$5:A20)))/1000), ""))</f>
        <v/>
      </c>
      <c r="M21" s="1">
        <f>M20+10</f>
        <v/>
      </c>
      <c r="N21" s="1">
        <f>O20</f>
        <v/>
      </c>
      <c r="Q21" t="inlineStr">
        <is>
          <t>60mL/3s/30s</t>
        </is>
      </c>
      <c r="U21" s="1">
        <f>IF(O21="", "", (N21-O21)*1000/(M21-M20))</f>
        <v/>
      </c>
      <c r="V21" s="1">
        <f>IF(U21="","",U21/R$2/3)</f>
        <v/>
      </c>
      <c r="W21" s="1">
        <f>IF(U21="","", 100*_xlfn.STDEV.P(U20:U21)/AVERAGE(U20:U21))</f>
        <v/>
      </c>
      <c r="X21" s="8">
        <f t="array" ref="X21">IF(U21="","", IFERROR(((IF(U$5&lt;&gt;"", U$5*M$5, 0) + SUMPRODUCT(--(U$6:U21&lt;&gt;""), U$6:U21, (M$6:M21-M$5:M20)))/1000), ""))</f>
        <v/>
      </c>
      <c r="Y21" s="1">
        <f>Y20+10</f>
        <v/>
      </c>
      <c r="Z21" s="1">
        <f>AA20</f>
        <v/>
      </c>
      <c r="AC21" t="inlineStr">
        <is>
          <t>60mL/3s/30s</t>
        </is>
      </c>
      <c r="AG21" s="1">
        <f>IF(AA21="", "", (Z21-AA21)*1000/(Y21-Y20))</f>
        <v/>
      </c>
      <c r="AH21" s="1">
        <f>IF(AG21="","",AG21/AD$2/3)</f>
        <v/>
      </c>
      <c r="AI21" s="1">
        <f>IF(AG21="","", 100*_xlfn.STDEV.P(AG20:AG21)/AVERAGE(AG20:AG21))</f>
        <v/>
      </c>
      <c r="AJ21" s="8">
        <f t="array" ref="AJ21">IF(AG21="","", IFERROR(((IF(AG$5&lt;&gt;"", AG$5*Y$5, 0) + SUMPRODUCT(--(AG$6:AG21&lt;&gt;""), AG$6:AG21, (Y$6:Y21-Y$5:Y20)))/1000), ""))</f>
        <v/>
      </c>
      <c r="AK21" s="1">
        <f>AK20+10</f>
        <v/>
      </c>
      <c r="AL21" s="1">
        <f>AM20</f>
        <v/>
      </c>
      <c r="AO21" t="inlineStr">
        <is>
          <t>60mL/3s/30s</t>
        </is>
      </c>
      <c r="AS21" s="1">
        <f>IF(AM21="", "", (AL21-AM21)*1000/(AK21-AK20))</f>
        <v/>
      </c>
      <c r="AT21" s="1">
        <f>IF(AS21="","",AS21/AP$2/3)</f>
        <v/>
      </c>
      <c r="AU21" s="1">
        <f>IF(AS21="","", 100*_xlfn.STDEV.P(AS20:AS21)/AVERAGE(AS20:AS21))</f>
        <v/>
      </c>
      <c r="AV21" s="8">
        <f t="array" ref="AV21">IF(AS21="","", IFERROR(((IF(AS$5&lt;&gt;"", AS$5*AK$5, 0) + SUMPRODUCT(--(AS$6:AS21&lt;&gt;""), AS$6:AS21, (AK$6:AK21-AK$5:AK20)))/1000), ""))</f>
        <v/>
      </c>
    </row>
    <row r="22">
      <c r="A22" s="1">
        <f>A21+10</f>
        <v/>
      </c>
      <c r="B22" s="1">
        <f>C21</f>
        <v/>
      </c>
      <c r="E22" t="inlineStr">
        <is>
          <t>60mL/3s/30s</t>
        </is>
      </c>
      <c r="I22" s="1">
        <f>IF(C22="", "", (B22-C22)*1000/(A22-A21))</f>
        <v/>
      </c>
      <c r="J22" s="1">
        <f>IF(I22="","",I22/F$2/3)</f>
        <v/>
      </c>
      <c r="K22" s="1">
        <f>IF(I22="","", 100*_xlfn.STDEV.P(I21:I22)/AVERAGE(I21:I22))</f>
        <v/>
      </c>
      <c r="L22" s="8">
        <f t="array" ref="L22">IF(I22="","", IFERROR(((IF(I$5&lt;&gt;"", I$5*A$5, 0) + SUMPRODUCT(--(I$6:I22&lt;&gt;""), I$6:I22, (A$6:A22-A$5:A21)))/1000), ""))</f>
        <v/>
      </c>
      <c r="M22" s="1">
        <f>M21+10</f>
        <v/>
      </c>
      <c r="N22" s="1">
        <f>O21</f>
        <v/>
      </c>
      <c r="Q22" t="inlineStr">
        <is>
          <t>60mL/3s/30s</t>
        </is>
      </c>
      <c r="U22" s="1">
        <f>IF(O22="", "", (N22-O22)*1000/(M22-M21))</f>
        <v/>
      </c>
      <c r="V22" s="1">
        <f>IF(U22="","",U22/R$2/3)</f>
        <v/>
      </c>
      <c r="W22" s="1">
        <f>IF(U22="","", 100*_xlfn.STDEV.P(U21:U22)/AVERAGE(U21:U22))</f>
        <v/>
      </c>
      <c r="X22" s="8">
        <f t="array" ref="X22">IF(U22="","", IFERROR(((IF(U$5&lt;&gt;"", U$5*M$5, 0) + SUMPRODUCT(--(U$6:U22&lt;&gt;""), U$6:U22, (M$6:M22-M$5:M21)))/1000), ""))</f>
        <v/>
      </c>
      <c r="Y22" s="1">
        <f>Y21+10</f>
        <v/>
      </c>
      <c r="Z22" s="1">
        <f>AA21</f>
        <v/>
      </c>
      <c r="AC22" t="inlineStr">
        <is>
          <t>60mL/3s/30s</t>
        </is>
      </c>
      <c r="AG22" s="1">
        <f>IF(AA22="", "", (Z22-AA22)*1000/(Y22-Y21))</f>
        <v/>
      </c>
      <c r="AH22" s="1">
        <f>IF(AG22="","",AG22/AD$2/3)</f>
        <v/>
      </c>
      <c r="AI22" s="1">
        <f>IF(AG22="","", 100*_xlfn.STDEV.P(AG21:AG22)/AVERAGE(AG21:AG22))</f>
        <v/>
      </c>
      <c r="AJ22" s="8">
        <f t="array" ref="AJ22">IF(AG22="","", IFERROR(((IF(AG$5&lt;&gt;"", AG$5*Y$5, 0) + SUMPRODUCT(--(AG$6:AG22&lt;&gt;""), AG$6:AG22, (Y$6:Y22-Y$5:Y21)))/1000), ""))</f>
        <v/>
      </c>
      <c r="AK22" s="1">
        <f>AK21+10</f>
        <v/>
      </c>
      <c r="AL22" s="1">
        <f>AM21</f>
        <v/>
      </c>
      <c r="AO22" t="inlineStr">
        <is>
          <t>60mL/3s/30s</t>
        </is>
      </c>
      <c r="AS22" s="1">
        <f>IF(AM22="", "", (AL22-AM22)*1000/(AK22-AK21))</f>
        <v/>
      </c>
      <c r="AT22" s="1">
        <f>IF(AS22="","",AS22/AP$2/3)</f>
        <v/>
      </c>
      <c r="AU22" s="1">
        <f>IF(AS22="","", 100*_xlfn.STDEV.P(AS21:AS22)/AVERAGE(AS21:AS22))</f>
        <v/>
      </c>
      <c r="AV22" s="8">
        <f t="array" ref="AV22">IF(AS22="","", IFERROR(((IF(AS$5&lt;&gt;"", AS$5*AK$5, 0) + SUMPRODUCT(--(AS$6:AS22&lt;&gt;""), AS$6:AS22, (AK$6:AK22-AK$5:AK21)))/1000), ""))</f>
        <v/>
      </c>
    </row>
    <row r="23">
      <c r="A23" s="1">
        <f>A22+10</f>
        <v/>
      </c>
      <c r="B23" s="1">
        <f>C22</f>
        <v/>
      </c>
      <c r="E23" t="inlineStr">
        <is>
          <t>60mL/3s/30s</t>
        </is>
      </c>
      <c r="I23" s="1">
        <f>IF(C23="", "", (B23-C23)*1000/(A23-A22))</f>
        <v/>
      </c>
      <c r="J23" s="1">
        <f>IF(I23="","",I23/F$2/3)</f>
        <v/>
      </c>
      <c r="K23" s="1">
        <f>IF(I23="","", 100*_xlfn.STDEV.P(I22:I23)/AVERAGE(I22:I23))</f>
        <v/>
      </c>
      <c r="L23" s="8">
        <f t="array" ref="L23">IF(I23="","", IFERROR(((IF(I$5&lt;&gt;"", I$5*A$5, 0) + SUMPRODUCT(--(I$6:I23&lt;&gt;""), I$6:I23, (A$6:A23-A$5:A22)))/1000), ""))</f>
        <v/>
      </c>
      <c r="M23" s="1">
        <f>M22+10</f>
        <v/>
      </c>
      <c r="N23" s="1">
        <f>O22</f>
        <v/>
      </c>
      <c r="Q23" t="inlineStr">
        <is>
          <t>60mL/3s/30s</t>
        </is>
      </c>
      <c r="U23" s="1">
        <f>IF(O23="", "", (N23-O23)*1000/(M23-M22))</f>
        <v/>
      </c>
      <c r="V23" s="1">
        <f>IF(U23="","",U23/R$2/3)</f>
        <v/>
      </c>
      <c r="W23" s="1">
        <f>IF(U23="","", 100*_xlfn.STDEV.P(U22:U23)/AVERAGE(U22:U23))</f>
        <v/>
      </c>
      <c r="X23" s="8">
        <f t="array" ref="X23">IF(U23="","", IFERROR(((IF(U$5&lt;&gt;"", U$5*M$5, 0) + SUMPRODUCT(--(U$6:U23&lt;&gt;""), U$6:U23, (M$6:M23-M$5:M22)))/1000), ""))</f>
        <v/>
      </c>
      <c r="Y23" s="1">
        <f>Y22+10</f>
        <v/>
      </c>
      <c r="Z23" s="1">
        <f>AA22</f>
        <v/>
      </c>
      <c r="AC23" t="inlineStr">
        <is>
          <t>60mL/3s/30s</t>
        </is>
      </c>
      <c r="AG23" s="1">
        <f>IF(AA23="", "", (Z23-AA23)*1000/(Y23-Y22))</f>
        <v/>
      </c>
      <c r="AH23" s="1">
        <f>IF(AG23="","",AG23/AD$2/3)</f>
        <v/>
      </c>
      <c r="AI23" s="1">
        <f>IF(AG23="","", 100*_xlfn.STDEV.P(AG22:AG23)/AVERAGE(AG22:AG23))</f>
        <v/>
      </c>
      <c r="AJ23" s="8">
        <f t="array" ref="AJ23">IF(AG23="","", IFERROR(((IF(AG$5&lt;&gt;"", AG$5*Y$5, 0) + SUMPRODUCT(--(AG$6:AG23&lt;&gt;""), AG$6:AG23, (Y$6:Y23-Y$5:Y22)))/1000), ""))</f>
        <v/>
      </c>
      <c r="AK23" s="1">
        <f>AK22+10</f>
        <v/>
      </c>
      <c r="AL23" s="1">
        <f>AM22</f>
        <v/>
      </c>
      <c r="AO23" t="inlineStr">
        <is>
          <t>60mL/3s/30s</t>
        </is>
      </c>
      <c r="AS23" s="1">
        <f>IF(AM23="", "", (AL23-AM23)*1000/(AK23-AK22))</f>
        <v/>
      </c>
      <c r="AT23" s="1">
        <f>IF(AS23="","",AS23/AP$2/3)</f>
        <v/>
      </c>
      <c r="AU23" s="1">
        <f>IF(AS23="","", 100*_xlfn.STDEV.P(AS22:AS23)/AVERAGE(AS22:AS23))</f>
        <v/>
      </c>
      <c r="AV23" s="8">
        <f t="array" ref="AV23">IF(AS23="","", IFERROR(((IF(AS$5&lt;&gt;"", AS$5*AK$5, 0) + SUMPRODUCT(--(AS$6:AS23&lt;&gt;""), AS$6:AS23, (AK$6:AK23-AK$5:AK22)))/1000), ""))</f>
        <v/>
      </c>
    </row>
    <row r="24">
      <c r="A24" s="1">
        <f>A23+10</f>
        <v/>
      </c>
      <c r="B24" s="1">
        <f>C23</f>
        <v/>
      </c>
      <c r="E24" t="inlineStr">
        <is>
          <t>60mL/3s/30s</t>
        </is>
      </c>
      <c r="I24" s="1">
        <f>IF(C24="", "", (B24-C24)*1000/(A24-A23))</f>
        <v/>
      </c>
      <c r="J24" s="1">
        <f>IF(I24="","",I24/F$2/3)</f>
        <v/>
      </c>
      <c r="K24" s="1">
        <f>IF(I24="","", 100*_xlfn.STDEV.P(I23:I24)/AVERAGE(I23:I24))</f>
        <v/>
      </c>
      <c r="L24" s="8">
        <f t="array" ref="L24">IF(I24="","", IFERROR(((IF(I$5&lt;&gt;"", I$5*A$5, 0) + SUMPRODUCT(--(I$6:I24&lt;&gt;""), I$6:I24, (A$6:A24-A$5:A23)))/1000), ""))</f>
        <v/>
      </c>
      <c r="M24" s="1">
        <f>M23+10</f>
        <v/>
      </c>
      <c r="N24" s="1">
        <f>O23</f>
        <v/>
      </c>
      <c r="Q24" t="inlineStr">
        <is>
          <t>60mL/3s/30s</t>
        </is>
      </c>
      <c r="U24" s="1">
        <f>IF(O24="", "", (N24-O24)*1000/(M24-M23))</f>
        <v/>
      </c>
      <c r="V24" s="1">
        <f>IF(U24="","",U24/R$2/3)</f>
        <v/>
      </c>
      <c r="W24" s="1">
        <f>IF(U24="","", 100*_xlfn.STDEV.P(U23:U24)/AVERAGE(U23:U24))</f>
        <v/>
      </c>
      <c r="X24" s="8">
        <f t="array" ref="X24">IF(U24="","", IFERROR(((IF(U$5&lt;&gt;"", U$5*M$5, 0) + SUMPRODUCT(--(U$6:U24&lt;&gt;""), U$6:U24, (M$6:M24-M$5:M23)))/1000), ""))</f>
        <v/>
      </c>
      <c r="Y24" s="1">
        <f>Y23+10</f>
        <v/>
      </c>
      <c r="Z24" s="1">
        <f>AA23</f>
        <v/>
      </c>
      <c r="AC24" t="inlineStr">
        <is>
          <t>60mL/3s/30s</t>
        </is>
      </c>
      <c r="AG24" s="1">
        <f>IF(AA24="", "", (Z24-AA24)*1000/(Y24-Y23))</f>
        <v/>
      </c>
      <c r="AH24" s="1">
        <f>IF(AG24="","",AG24/AD$2/3)</f>
        <v/>
      </c>
      <c r="AI24" s="1">
        <f>IF(AG24="","", 100*_xlfn.STDEV.P(AG23:AG24)/AVERAGE(AG23:AG24))</f>
        <v/>
      </c>
      <c r="AJ24" s="8">
        <f t="array" ref="AJ24">IF(AG24="","", IFERROR(((IF(AG$5&lt;&gt;"", AG$5*Y$5, 0) + SUMPRODUCT(--(AG$6:AG24&lt;&gt;""), AG$6:AG24, (Y$6:Y24-Y$5:Y23)))/1000), ""))</f>
        <v/>
      </c>
      <c r="AK24" s="1">
        <f>AK23+10</f>
        <v/>
      </c>
      <c r="AL24" s="1">
        <f>AM23</f>
        <v/>
      </c>
      <c r="AO24" t="inlineStr">
        <is>
          <t>60mL/3s/30s</t>
        </is>
      </c>
      <c r="AS24" s="1">
        <f>IF(AM24="", "", (AL24-AM24)*1000/(AK24-AK23))</f>
        <v/>
      </c>
      <c r="AT24" s="1">
        <f>IF(AS24="","",AS24/AP$2/3)</f>
        <v/>
      </c>
      <c r="AU24" s="1">
        <f>IF(AS24="","", 100*_xlfn.STDEV.P(AS23:AS24)/AVERAGE(AS23:AS24))</f>
        <v/>
      </c>
      <c r="AV24" s="8">
        <f t="array" ref="AV24">IF(AS24="","", IFERROR(((IF(AS$5&lt;&gt;"", AS$5*AK$5, 0) + SUMPRODUCT(--(AS$6:AS24&lt;&gt;""), AS$6:AS24, (AK$6:AK24-AK$5:AK23)))/1000), ""))</f>
        <v/>
      </c>
    </row>
    <row r="25">
      <c r="A25" s="1">
        <f>A24+10</f>
        <v/>
      </c>
      <c r="B25" s="1">
        <f>C24</f>
        <v/>
      </c>
      <c r="E25" t="inlineStr">
        <is>
          <t>60mL/3s/30s</t>
        </is>
      </c>
      <c r="I25" s="1">
        <f>IF(C25="", "", (B25-C25)*1000/(A25-A24))</f>
        <v/>
      </c>
      <c r="J25" s="1">
        <f>IF(I25="","",I25/F$2/3)</f>
        <v/>
      </c>
      <c r="K25" s="1">
        <f>IF(I25="","", 100*_xlfn.STDEV.P(I24:I25)/AVERAGE(I24:I25))</f>
        <v/>
      </c>
      <c r="L25" s="8">
        <f t="array" ref="L25">IF(I25="","", IFERROR(((IF(I$5&lt;&gt;"", I$5*A$5, 0) + SUMPRODUCT(--(I$6:I25&lt;&gt;""), I$6:I25, (A$6:A25-A$5:A24)))/1000), ""))</f>
        <v/>
      </c>
      <c r="M25" s="1">
        <f>M24+10</f>
        <v/>
      </c>
      <c r="N25" s="1">
        <f>O24</f>
        <v/>
      </c>
      <c r="Q25" t="inlineStr">
        <is>
          <t>60mL/3s/30s</t>
        </is>
      </c>
      <c r="U25" s="1">
        <f>IF(O25="", "", (N25-O25)*1000/(M25-M24))</f>
        <v/>
      </c>
      <c r="V25" s="1">
        <f>IF(U25="","",U25/R$2/3)</f>
        <v/>
      </c>
      <c r="W25" s="1">
        <f>IF(U25="","", 100*_xlfn.STDEV.P(U24:U25)/AVERAGE(U24:U25))</f>
        <v/>
      </c>
      <c r="X25" s="8">
        <f t="array" ref="X25">IF(U25="","", IFERROR(((IF(U$5&lt;&gt;"", U$5*M$5, 0) + SUMPRODUCT(--(U$6:U25&lt;&gt;""), U$6:U25, (M$6:M25-M$5:M24)))/1000), ""))</f>
        <v/>
      </c>
      <c r="Y25" s="1">
        <f>Y24+10</f>
        <v/>
      </c>
      <c r="Z25" s="1">
        <f>AA24</f>
        <v/>
      </c>
      <c r="AC25" t="inlineStr">
        <is>
          <t>60mL/3s/30s</t>
        </is>
      </c>
      <c r="AG25" s="1">
        <f>IF(AA25="", "", (Z25-AA25)*1000/(Y25-Y24))</f>
        <v/>
      </c>
      <c r="AH25" s="1">
        <f>IF(AG25="","",AG25/AD$2/3)</f>
        <v/>
      </c>
      <c r="AI25" s="1">
        <f>IF(AG25="","", 100*_xlfn.STDEV.P(AG24:AG25)/AVERAGE(AG24:AG25))</f>
        <v/>
      </c>
      <c r="AJ25" s="8">
        <f t="array" ref="AJ25">IF(AG25="","", IFERROR(((IF(AG$5&lt;&gt;"", AG$5*Y$5, 0) + SUMPRODUCT(--(AG$6:AG25&lt;&gt;""), AG$6:AG25, (Y$6:Y25-Y$5:Y24)))/1000), ""))</f>
        <v/>
      </c>
      <c r="AK25" s="1">
        <f>AK24+10</f>
        <v/>
      </c>
      <c r="AL25" s="1">
        <f>AM24</f>
        <v/>
      </c>
      <c r="AO25" t="inlineStr">
        <is>
          <t>60mL/3s/30s</t>
        </is>
      </c>
      <c r="AS25" s="1">
        <f>IF(AM25="", "", (AL25-AM25)*1000/(AK25-AK24))</f>
        <v/>
      </c>
      <c r="AT25" s="1">
        <f>IF(AS25="","",AS25/AP$2/3)</f>
        <v/>
      </c>
      <c r="AU25" s="1">
        <f>IF(AS25="","", 100*_xlfn.STDEV.P(AS24:AS25)/AVERAGE(AS24:AS25))</f>
        <v/>
      </c>
      <c r="AV25" s="8">
        <f t="array" ref="AV25">IF(AS25="","", IFERROR(((IF(AS$5&lt;&gt;"", AS$5*AK$5, 0) + SUMPRODUCT(--(AS$6:AS25&lt;&gt;""), AS$6:AS25, (AK$6:AK25-AK$5:AK24)))/1000), ""))</f>
        <v/>
      </c>
    </row>
    <row r="26">
      <c r="A26" s="1">
        <f>A25+10</f>
        <v/>
      </c>
      <c r="B26" s="1">
        <f>C25</f>
        <v/>
      </c>
      <c r="E26" t="inlineStr">
        <is>
          <t>60mL/3s/30s</t>
        </is>
      </c>
      <c r="I26" s="1">
        <f>IF(C26="", "", (B26-C26)*1000/(A26-A25))</f>
        <v/>
      </c>
      <c r="J26" s="1">
        <f>IF(I26="","",I26/F$2/3)</f>
        <v/>
      </c>
      <c r="K26" s="1">
        <f>IF(I26="","", 100*_xlfn.STDEV.P(I25:I26)/AVERAGE(I25:I26))</f>
        <v/>
      </c>
      <c r="L26" s="8">
        <f t="array" ref="L26">IF(I26="","", IFERROR(((IF(I$5&lt;&gt;"", I$5*A$5, 0) + SUMPRODUCT(--(I$6:I26&lt;&gt;""), I$6:I26, (A$6:A26-A$5:A25)))/1000), ""))</f>
        <v/>
      </c>
      <c r="M26" s="1">
        <f>M25+10</f>
        <v/>
      </c>
      <c r="N26" s="1">
        <f>O25</f>
        <v/>
      </c>
      <c r="Q26" t="inlineStr">
        <is>
          <t>60mL/3s/30s</t>
        </is>
      </c>
      <c r="U26" s="1">
        <f>IF(O26="", "", (N26-O26)*1000/(M26-M25))</f>
        <v/>
      </c>
      <c r="V26" s="1">
        <f>IF(U26="","",U26/R$2/3)</f>
        <v/>
      </c>
      <c r="W26" s="1">
        <f>IF(U26="","", 100*_xlfn.STDEV.P(U25:U26)/AVERAGE(U25:U26))</f>
        <v/>
      </c>
      <c r="X26" s="8">
        <f t="array" ref="X26">IF(U26="","", IFERROR(((IF(U$5&lt;&gt;"", U$5*M$5, 0) + SUMPRODUCT(--(U$6:U26&lt;&gt;""), U$6:U26, (M$6:M26-M$5:M25)))/1000), ""))</f>
        <v/>
      </c>
      <c r="Y26" s="1">
        <f>Y25+10</f>
        <v/>
      </c>
      <c r="Z26" s="1">
        <f>AA25</f>
        <v/>
      </c>
      <c r="AC26" t="inlineStr">
        <is>
          <t>60mL/3s/30s</t>
        </is>
      </c>
      <c r="AG26" s="1">
        <f>IF(AA26="", "", (Z26-AA26)*1000/(Y26-Y25))</f>
        <v/>
      </c>
      <c r="AH26" s="1">
        <f>IF(AG26="","",AG26/AD$2/3)</f>
        <v/>
      </c>
      <c r="AI26" s="1">
        <f>IF(AG26="","", 100*_xlfn.STDEV.P(AG25:AG26)/AVERAGE(AG25:AG26))</f>
        <v/>
      </c>
      <c r="AJ26" s="8">
        <f t="array" ref="AJ26">IF(AG26="","", IFERROR(((IF(AG$5&lt;&gt;"", AG$5*Y$5, 0) + SUMPRODUCT(--(AG$6:AG26&lt;&gt;""), AG$6:AG26, (Y$6:Y26-Y$5:Y25)))/1000), ""))</f>
        <v/>
      </c>
      <c r="AK26" s="1">
        <f>AK25+10</f>
        <v/>
      </c>
      <c r="AL26" s="1">
        <f>AM25</f>
        <v/>
      </c>
      <c r="AO26" t="inlineStr">
        <is>
          <t>60mL/3s/30s</t>
        </is>
      </c>
      <c r="AS26" s="1">
        <f>IF(AM26="", "", (AL26-AM26)*1000/(AK26-AK25))</f>
        <v/>
      </c>
      <c r="AT26" s="1">
        <f>IF(AS26="","",AS26/AP$2/3)</f>
        <v/>
      </c>
      <c r="AU26" s="1">
        <f>IF(AS26="","", 100*_xlfn.STDEV.P(AS25:AS26)/AVERAGE(AS25:AS26))</f>
        <v/>
      </c>
      <c r="AV26" s="8">
        <f t="array" ref="AV26">IF(AS26="","", IFERROR(((IF(AS$5&lt;&gt;"", AS$5*AK$5, 0) + SUMPRODUCT(--(AS$6:AS26&lt;&gt;""), AS$6:AS26, (AK$6:AK26-AK$5:AK25)))/1000), ""))</f>
        <v/>
      </c>
    </row>
    <row r="27">
      <c r="A27" s="1">
        <f>A26+10</f>
        <v/>
      </c>
      <c r="B27" s="1">
        <f>C26</f>
        <v/>
      </c>
      <c r="E27" t="inlineStr">
        <is>
          <t>60mL/3s/30s</t>
        </is>
      </c>
      <c r="I27" s="1">
        <f>IF(C27="", "", (B27-C27)*1000/(A27-A26))</f>
        <v/>
      </c>
      <c r="J27" s="1">
        <f>IF(I27="","",I27/F$2/3)</f>
        <v/>
      </c>
      <c r="K27" s="1">
        <f>IF(I27="","", 100*_xlfn.STDEV.P(I26:I27)/AVERAGE(I26:I27))</f>
        <v/>
      </c>
      <c r="L27" s="8">
        <f t="array" ref="L27">IF(I27="","", IFERROR(((IF(I$5&lt;&gt;"", I$5*A$5, 0) + SUMPRODUCT(--(I$6:I27&lt;&gt;""), I$6:I27, (A$6:A27-A$5:A26)))/1000), ""))</f>
        <v/>
      </c>
      <c r="M27" s="1">
        <f>M26+10</f>
        <v/>
      </c>
      <c r="N27" s="1">
        <f>O26</f>
        <v/>
      </c>
      <c r="Q27" t="inlineStr">
        <is>
          <t>60mL/3s/30s</t>
        </is>
      </c>
      <c r="U27" s="1">
        <f>IF(O27="", "", (N27-O27)*1000/(M27-M26))</f>
        <v/>
      </c>
      <c r="V27" s="1">
        <f>IF(U27="","",U27/R$2/3)</f>
        <v/>
      </c>
      <c r="W27" s="1">
        <f>IF(U27="","", 100*_xlfn.STDEV.P(U26:U27)/AVERAGE(U26:U27))</f>
        <v/>
      </c>
      <c r="X27" s="8">
        <f t="array" ref="X27">IF(U27="","", IFERROR(((IF(U$5&lt;&gt;"", U$5*M$5, 0) + SUMPRODUCT(--(U$6:U27&lt;&gt;""), U$6:U27, (M$6:M27-M$5:M26)))/1000), ""))</f>
        <v/>
      </c>
      <c r="Y27" s="1">
        <f>Y26+10</f>
        <v/>
      </c>
      <c r="Z27" s="1">
        <f>AA26</f>
        <v/>
      </c>
      <c r="AC27" t="inlineStr">
        <is>
          <t>60mL/3s/30s</t>
        </is>
      </c>
      <c r="AG27" s="1">
        <f>IF(AA27="", "", (Z27-AA27)*1000/(Y27-Y26))</f>
        <v/>
      </c>
      <c r="AH27" s="1">
        <f>IF(AG27="","",AG27/AD$2/3)</f>
        <v/>
      </c>
      <c r="AI27" s="1">
        <f>IF(AG27="","", 100*_xlfn.STDEV.P(AG26:AG27)/AVERAGE(AG26:AG27))</f>
        <v/>
      </c>
      <c r="AJ27" s="8">
        <f t="array" ref="AJ27">IF(AG27="","", IFERROR(((IF(AG$5&lt;&gt;"", AG$5*Y$5, 0) + SUMPRODUCT(--(AG$6:AG27&lt;&gt;""), AG$6:AG27, (Y$6:Y27-Y$5:Y26)))/1000), ""))</f>
        <v/>
      </c>
      <c r="AK27" s="1">
        <f>AK26+10</f>
        <v/>
      </c>
      <c r="AL27" s="1">
        <f>AM26</f>
        <v/>
      </c>
      <c r="AO27" t="inlineStr">
        <is>
          <t>60mL/3s/30s</t>
        </is>
      </c>
      <c r="AS27" s="1">
        <f>IF(AM27="", "", (AL27-AM27)*1000/(AK27-AK26))</f>
        <v/>
      </c>
      <c r="AT27" s="1">
        <f>IF(AS27="","",AS27/AP$2/3)</f>
        <v/>
      </c>
      <c r="AU27" s="1">
        <f>IF(AS27="","", 100*_xlfn.STDEV.P(AS26:AS27)/AVERAGE(AS26:AS27))</f>
        <v/>
      </c>
      <c r="AV27" s="8">
        <f t="array" ref="AV27">IF(AS27="","", IFERROR(((IF(AS$5&lt;&gt;"", AS$5*AK$5, 0) + SUMPRODUCT(--(AS$6:AS27&lt;&gt;""), AS$6:AS27, (AK$6:AK27-AK$5:AK26)))/1000), ""))</f>
        <v/>
      </c>
    </row>
    <row r="28">
      <c r="A28" s="1">
        <f>A27+10</f>
        <v/>
      </c>
      <c r="B28" s="1">
        <f>C27</f>
        <v/>
      </c>
      <c r="E28" t="inlineStr">
        <is>
          <t>60mL/3s/30s</t>
        </is>
      </c>
      <c r="I28" s="1">
        <f>IF(C28="", "", (B28-C28)*1000/(A28-A27))</f>
        <v/>
      </c>
      <c r="J28" s="1">
        <f>IF(I28="","",I28/F$2/3)</f>
        <v/>
      </c>
      <c r="K28" s="1">
        <f>IF(I28="","", 100*_xlfn.STDEV.P(I27:I28)/AVERAGE(I27:I28))</f>
        <v/>
      </c>
      <c r="L28" s="8">
        <f t="array" ref="L28">IF(I28="","", IFERROR(((IF(I$5&lt;&gt;"", I$5*A$5, 0) + SUMPRODUCT(--(I$6:I28&lt;&gt;""), I$6:I28, (A$6:A28-A$5:A27)))/1000), ""))</f>
        <v/>
      </c>
      <c r="M28" s="1">
        <f>M27+10</f>
        <v/>
      </c>
      <c r="N28" s="1">
        <f>O27</f>
        <v/>
      </c>
      <c r="Q28" t="inlineStr">
        <is>
          <t>60mL/3s/30s</t>
        </is>
      </c>
      <c r="U28" s="1">
        <f>IF(O28="", "", (N28-O28)*1000/(M28-M27))</f>
        <v/>
      </c>
      <c r="V28" s="1">
        <f>IF(U28="","",U28/R$2/3)</f>
        <v/>
      </c>
      <c r="W28" s="1">
        <f>IF(U28="","", 100*_xlfn.STDEV.P(U27:U28)/AVERAGE(U27:U28))</f>
        <v/>
      </c>
      <c r="X28" s="8">
        <f t="array" ref="X28">IF(U28="","", IFERROR(((IF(U$5&lt;&gt;"", U$5*M$5, 0) + SUMPRODUCT(--(U$6:U28&lt;&gt;""), U$6:U28, (M$6:M28-M$5:M27)))/1000), ""))</f>
        <v/>
      </c>
      <c r="Y28" s="1">
        <f>Y27+10</f>
        <v/>
      </c>
      <c r="Z28" s="1">
        <f>AA27</f>
        <v/>
      </c>
      <c r="AC28" t="inlineStr">
        <is>
          <t>60mL/3s/30s</t>
        </is>
      </c>
      <c r="AG28" s="1">
        <f>IF(AA28="", "", (Z28-AA28)*1000/(Y28-Y27))</f>
        <v/>
      </c>
      <c r="AH28" s="1">
        <f>IF(AG28="","",AG28/AD$2/3)</f>
        <v/>
      </c>
      <c r="AI28" s="1">
        <f>IF(AG28="","", 100*_xlfn.STDEV.P(AG27:AG28)/AVERAGE(AG27:AG28))</f>
        <v/>
      </c>
      <c r="AJ28" s="8">
        <f t="array" ref="AJ28">IF(AG28="","", IFERROR(((IF(AG$5&lt;&gt;"", AG$5*Y$5, 0) + SUMPRODUCT(--(AG$6:AG28&lt;&gt;""), AG$6:AG28, (Y$6:Y28-Y$5:Y27)))/1000), ""))</f>
        <v/>
      </c>
      <c r="AK28" s="1">
        <f>AK27+10</f>
        <v/>
      </c>
      <c r="AL28" s="1">
        <f>AM27</f>
        <v/>
      </c>
      <c r="AO28" t="inlineStr">
        <is>
          <t>60mL/3s/30s</t>
        </is>
      </c>
      <c r="AS28" s="1">
        <f>IF(AM28="", "", (AL28-AM28)*1000/(AK28-AK27))</f>
        <v/>
      </c>
      <c r="AT28" s="1">
        <f>IF(AS28="","",AS28/AP$2/3)</f>
        <v/>
      </c>
      <c r="AU28" s="1">
        <f>IF(AS28="","", 100*_xlfn.STDEV.P(AS27:AS28)/AVERAGE(AS27:AS28))</f>
        <v/>
      </c>
      <c r="AV28" s="8">
        <f t="array" ref="AV28">IF(AS28="","", IFERROR(((IF(AS$5&lt;&gt;"", AS$5*AK$5, 0) + SUMPRODUCT(--(AS$6:AS28&lt;&gt;""), AS$6:AS28, (AK$6:AK28-AK$5:AK27)))/1000), ""))</f>
        <v/>
      </c>
    </row>
    <row r="29">
      <c r="A29" s="1">
        <f>A28+10</f>
        <v/>
      </c>
      <c r="B29" s="1">
        <f>C28</f>
        <v/>
      </c>
      <c r="E29" t="inlineStr">
        <is>
          <t>60mL/3s/30s</t>
        </is>
      </c>
      <c r="F29" s="9" t="n"/>
      <c r="G29" s="9" t="n"/>
      <c r="H29" s="9" t="n"/>
      <c r="I29" s="1">
        <f>IF(C29="", "", (B29-C29)*1000/(A29-A28))</f>
        <v/>
      </c>
      <c r="J29" s="1">
        <f>IF(I29="","",I29/F$2/3)</f>
        <v/>
      </c>
      <c r="K29" s="1">
        <f>IF(I29="","", 100*_xlfn.STDEV.P(I28:I29)/AVERAGE(I28:I29))</f>
        <v/>
      </c>
      <c r="L29" s="8">
        <f t="array" ref="L29">IF(I29="","", IFERROR(((IF(I$5&lt;&gt;"", I$5*A$5, 0) + SUMPRODUCT(--(I$6:I29&lt;&gt;""), I$6:I29, (A$6:A29-A$5:A28)))/1000), ""))</f>
        <v/>
      </c>
      <c r="M29" s="1">
        <f>M28+10</f>
        <v/>
      </c>
      <c r="N29" s="1">
        <f>O28</f>
        <v/>
      </c>
      <c r="Q29" t="inlineStr">
        <is>
          <t>60mL/3s/30s</t>
        </is>
      </c>
      <c r="R29" s="9" t="n"/>
      <c r="S29" s="9" t="n"/>
      <c r="T29" s="9" t="n"/>
      <c r="U29" s="1">
        <f>IF(O29="", "", (N29-O29)*1000/(M29-M28))</f>
        <v/>
      </c>
      <c r="V29" s="1">
        <f>IF(U29="","",U29/R$2/3)</f>
        <v/>
      </c>
      <c r="W29" s="1">
        <f>IF(U29="","", 100*_xlfn.STDEV.P(U28:U29)/AVERAGE(U28:U29))</f>
        <v/>
      </c>
      <c r="X29" s="8">
        <f t="array" ref="X29">IF(U29="","", IFERROR(((IF(U$5&lt;&gt;"", U$5*M$5, 0) + SUMPRODUCT(--(U$6:U29&lt;&gt;""), U$6:U29, (M$6:M29-M$5:M28)))/1000), ""))</f>
        <v/>
      </c>
      <c r="Y29" s="1">
        <f>Y28+10</f>
        <v/>
      </c>
      <c r="Z29" s="1">
        <f>AA28</f>
        <v/>
      </c>
      <c r="AC29" t="inlineStr">
        <is>
          <t>60mL/3s/30s</t>
        </is>
      </c>
      <c r="AD29" s="9" t="n"/>
      <c r="AE29" s="9" t="n"/>
      <c r="AF29" s="9" t="n"/>
      <c r="AG29" s="1">
        <f>IF(AA29="", "", (Z29-AA29)*1000/(Y29-Y28))</f>
        <v/>
      </c>
      <c r="AH29" s="1">
        <f>IF(AG29="","",AG29/AD$2/3)</f>
        <v/>
      </c>
      <c r="AI29" s="1">
        <f>IF(AG29="","", 100*_xlfn.STDEV.P(AG28:AG29)/AVERAGE(AG28:AG29))</f>
        <v/>
      </c>
      <c r="AJ29" s="8">
        <f t="array" ref="AJ29">IF(AG29="","", IFERROR(((IF(AG$5&lt;&gt;"", AG$5*Y$5, 0) + SUMPRODUCT(--(AG$6:AG29&lt;&gt;""), AG$6:AG29, (Y$6:Y29-Y$5:Y28)))/1000), ""))</f>
        <v/>
      </c>
      <c r="AK29" s="1">
        <f>AK28+10</f>
        <v/>
      </c>
      <c r="AL29" s="1">
        <f>AM28</f>
        <v/>
      </c>
      <c r="AO29" t="inlineStr">
        <is>
          <t>60mL/3s/30s</t>
        </is>
      </c>
      <c r="AP29" s="9" t="n"/>
      <c r="AQ29" s="9" t="n"/>
      <c r="AR29" s="9" t="n"/>
      <c r="AS29" s="1">
        <f>IF(AM29="", "", (AL29-AM29)*1000/(AK29-AK28))</f>
        <v/>
      </c>
      <c r="AT29" s="1">
        <f>IF(AS29="","",AS29/AP$2/3)</f>
        <v/>
      </c>
      <c r="AU29" s="1">
        <f>IF(AS29="","", 100*_xlfn.STDEV.P(AS28:AS29)/AVERAGE(AS28:AS29))</f>
        <v/>
      </c>
      <c r="AV29" s="8">
        <f t="array" ref="AV29">IF(AS29="","", IFERROR(((IF(AS$5&lt;&gt;"", AS$5*AK$5, 0) + SUMPRODUCT(--(AS$6:AS29&lt;&gt;""), AS$6:AS29, (AK$6:AK29-AK$5:AK28)))/1000), ""))</f>
        <v/>
      </c>
    </row>
    <row r="30">
      <c r="A30" s="1">
        <f>A29+10</f>
        <v/>
      </c>
      <c r="B30" s="1">
        <f>C29</f>
        <v/>
      </c>
      <c r="E30" t="inlineStr">
        <is>
          <t>60mL/3s/30s</t>
        </is>
      </c>
      <c r="I30" s="1">
        <f>IF(C30="", "", (B30-C30)*1000/(A30-A29))</f>
        <v/>
      </c>
      <c r="J30" s="1">
        <f>IF(I30="","",I30/F$2/3)</f>
        <v/>
      </c>
      <c r="K30" s="1">
        <f>IF(I30="","", 100*_xlfn.STDEV.P(I29:I30)/AVERAGE(I29:I30))</f>
        <v/>
      </c>
      <c r="L30" s="8">
        <f t="array" ref="L30">IF(I30="","", IFERROR(((IF(I$5&lt;&gt;"", I$5*A$5, 0) + SUMPRODUCT(--(I$6:I30&lt;&gt;""), I$6:I30, (A$6:A30-A$5:A29)))/1000), ""))</f>
        <v/>
      </c>
      <c r="M30" s="1">
        <f>M29+10</f>
        <v/>
      </c>
      <c r="N30" s="1">
        <f>O29</f>
        <v/>
      </c>
      <c r="Q30" t="inlineStr">
        <is>
          <t>60mL/3s/30s</t>
        </is>
      </c>
      <c r="U30" s="1">
        <f>IF(O30="", "", (N30-O30)*1000/(M30-M29))</f>
        <v/>
      </c>
      <c r="V30" s="1">
        <f>IF(U30="","",U30/R$2/3)</f>
        <v/>
      </c>
      <c r="W30" s="1">
        <f>IF(U30="","", 100*_xlfn.STDEV.P(U29:U30)/AVERAGE(U29:U30))</f>
        <v/>
      </c>
      <c r="X30" s="8">
        <f t="array" ref="X30">IF(U30="","", IFERROR(((IF(U$5&lt;&gt;"", U$5*M$5, 0) + SUMPRODUCT(--(U$6:U30&lt;&gt;""), U$6:U30, (M$6:M30-M$5:M29)))/1000), ""))</f>
        <v/>
      </c>
      <c r="Y30" s="1">
        <f>Y29+10</f>
        <v/>
      </c>
      <c r="Z30" s="1">
        <f>AA29</f>
        <v/>
      </c>
      <c r="AC30" t="inlineStr">
        <is>
          <t>60mL/3s/30s</t>
        </is>
      </c>
      <c r="AG30" s="1">
        <f>IF(AA30="", "", (Z30-AA30)*1000/(Y30-Y29))</f>
        <v/>
      </c>
      <c r="AH30" s="1">
        <f>IF(AG30="","",AG30/AD$2/3)</f>
        <v/>
      </c>
      <c r="AI30" s="1">
        <f>IF(AG30="","", 100*_xlfn.STDEV.P(AG29:AG30)/AVERAGE(AG29:AG30))</f>
        <v/>
      </c>
      <c r="AJ30" s="8">
        <f t="array" ref="AJ30">IF(AG30="","", IFERROR(((IF(AG$5&lt;&gt;"", AG$5*Y$5, 0) + SUMPRODUCT(--(AG$6:AG30&lt;&gt;""), AG$6:AG30, (Y$6:Y30-Y$5:Y29)))/1000), ""))</f>
        <v/>
      </c>
      <c r="AK30" s="1">
        <f>AK29+10</f>
        <v/>
      </c>
      <c r="AL30" s="1">
        <f>AM29</f>
        <v/>
      </c>
      <c r="AO30" t="inlineStr">
        <is>
          <t>60mL/3s/30s</t>
        </is>
      </c>
      <c r="AS30" s="1">
        <f>IF(AM30="", "", (AL30-AM30)*1000/(AK30-AK29))</f>
        <v/>
      </c>
      <c r="AT30" s="1">
        <f>IF(AS30="","",AS30/AP$2/3)</f>
        <v/>
      </c>
      <c r="AU30" s="1">
        <f>IF(AS30="","", 100*_xlfn.STDEV.P(AS29:AS30)/AVERAGE(AS29:AS30))</f>
        <v/>
      </c>
      <c r="AV30" s="8">
        <f t="array" ref="AV30">IF(AS30="","", IFERROR(((IF(AS$5&lt;&gt;"", AS$5*AK$5, 0) + SUMPRODUCT(--(AS$6:AS30&lt;&gt;""), AS$6:AS30, (AK$6:AK30-AK$5:AK29)))/1000), ""))</f>
        <v/>
      </c>
    </row>
    <row r="31">
      <c r="A31" s="1">
        <f>A30+10</f>
        <v/>
      </c>
      <c r="B31" s="1">
        <f>C30</f>
        <v/>
      </c>
      <c r="E31" t="inlineStr">
        <is>
          <t>60mL/3s/30s</t>
        </is>
      </c>
      <c r="I31" s="1">
        <f>IF(C31="", "", (B31-C31)*1000/(A31-A30))</f>
        <v/>
      </c>
      <c r="J31" s="1">
        <f>IF(I31="","",I31/F$2/3)</f>
        <v/>
      </c>
      <c r="K31" s="1">
        <f>IF(I31="","", 100*_xlfn.STDEV.P(I30:I31)/AVERAGE(I30:I31))</f>
        <v/>
      </c>
      <c r="L31" s="8">
        <f t="array" ref="L31">IF(I31="","", IFERROR(((IF(I$5&lt;&gt;"", I$5*A$5, 0) + SUMPRODUCT(--(I$6:I31&lt;&gt;""), I$6:I31, (A$6:A31-A$5:A30)))/1000), ""))</f>
        <v/>
      </c>
      <c r="M31" s="1">
        <f>M30+10</f>
        <v/>
      </c>
      <c r="N31" s="1">
        <f>O30</f>
        <v/>
      </c>
      <c r="Q31" t="inlineStr">
        <is>
          <t>60mL/3s/30s</t>
        </is>
      </c>
      <c r="U31" s="1">
        <f>IF(O31="", "", (N31-O31)*1000/(M31-M30))</f>
        <v/>
      </c>
      <c r="V31" s="1">
        <f>IF(U31="","",U31/R$2/3)</f>
        <v/>
      </c>
      <c r="W31" s="1">
        <f>IF(U31="","", 100*_xlfn.STDEV.P(U30:U31)/AVERAGE(U30:U31))</f>
        <v/>
      </c>
      <c r="X31" s="8">
        <f t="array" ref="X31">IF(U31="","", IFERROR(((IF(U$5&lt;&gt;"", U$5*M$5, 0) + SUMPRODUCT(--(U$6:U31&lt;&gt;""), U$6:U31, (M$6:M31-M$5:M30)))/1000), ""))</f>
        <v/>
      </c>
      <c r="Y31" s="1">
        <f>Y30+10</f>
        <v/>
      </c>
      <c r="Z31" s="1">
        <f>AA30</f>
        <v/>
      </c>
      <c r="AC31" t="inlineStr">
        <is>
          <t>60mL/3s/30s</t>
        </is>
      </c>
      <c r="AG31" s="1">
        <f>IF(AA31="", "", (Z31-AA31)*1000/(Y31-Y30))</f>
        <v/>
      </c>
      <c r="AH31" s="1">
        <f>IF(AG31="","",AG31/AD$2/3)</f>
        <v/>
      </c>
      <c r="AI31" s="1">
        <f>IF(AG31="","", 100*_xlfn.STDEV.P(AG30:AG31)/AVERAGE(AG30:AG31))</f>
        <v/>
      </c>
      <c r="AJ31" s="8">
        <f t="array" ref="AJ31">IF(AG31="","", IFERROR(((IF(AG$5&lt;&gt;"", AG$5*Y$5, 0) + SUMPRODUCT(--(AG$6:AG31&lt;&gt;""), AG$6:AG31, (Y$6:Y31-Y$5:Y30)))/1000), ""))</f>
        <v/>
      </c>
      <c r="AK31" s="1">
        <f>AK30+10</f>
        <v/>
      </c>
      <c r="AL31" s="1">
        <f>AM30</f>
        <v/>
      </c>
      <c r="AO31" t="inlineStr">
        <is>
          <t>60mL/3s/30s</t>
        </is>
      </c>
      <c r="AS31" s="1">
        <f>IF(AM31="", "", (AL31-AM31)*1000/(AK31-AK30))</f>
        <v/>
      </c>
      <c r="AT31" s="1">
        <f>IF(AS31="","",AS31/AP$2/3)</f>
        <v/>
      </c>
      <c r="AU31" s="1">
        <f>IF(AS31="","", 100*_xlfn.STDEV.P(AS30:AS31)/AVERAGE(AS30:AS31))</f>
        <v/>
      </c>
      <c r="AV31" s="8">
        <f t="array" ref="AV31">IF(AS31="","", IFERROR(((IF(AS$5&lt;&gt;"", AS$5*AK$5, 0) + SUMPRODUCT(--(AS$6:AS31&lt;&gt;""), AS$6:AS31, (AK$6:AK31-AK$5:AK30)))/1000), ""))</f>
        <v/>
      </c>
    </row>
    <row r="32">
      <c r="A32" s="1">
        <f>A31+10</f>
        <v/>
      </c>
      <c r="B32" s="1">
        <f>C31</f>
        <v/>
      </c>
      <c r="E32" t="inlineStr">
        <is>
          <t>60mL/3s/30s</t>
        </is>
      </c>
      <c r="I32" s="1">
        <f>IF(C32="", "", (B32-C32)*1000/(A32-A31))</f>
        <v/>
      </c>
      <c r="J32" s="1">
        <f>IF(I32="","",I32/F$2/3)</f>
        <v/>
      </c>
      <c r="K32" s="1">
        <f>IF(I32="","", 100*_xlfn.STDEV.P(I31:I32)/AVERAGE(I31:I32))</f>
        <v/>
      </c>
      <c r="L32" s="8">
        <f t="array" ref="L32">IF(I32="","", IFERROR(((IF(I$5&lt;&gt;"", I$5*A$5, 0) + SUMPRODUCT(--(I$6:I32&lt;&gt;""), I$6:I32, (A$6:A32-A$5:A31)))/1000), ""))</f>
        <v/>
      </c>
      <c r="M32" s="1">
        <f>M31+10</f>
        <v/>
      </c>
      <c r="N32" s="1">
        <f>O31</f>
        <v/>
      </c>
      <c r="Q32" t="inlineStr">
        <is>
          <t>60mL/3s/30s</t>
        </is>
      </c>
      <c r="U32" s="1">
        <f>IF(O32="", "", (N32-O32)*1000/(M32-M31))</f>
        <v/>
      </c>
      <c r="V32" s="1">
        <f>IF(U32="","",U32/R$2/3)</f>
        <v/>
      </c>
      <c r="W32" s="1">
        <f>IF(U32="","", 100*_xlfn.STDEV.P(U31:U32)/AVERAGE(U31:U32))</f>
        <v/>
      </c>
      <c r="X32" s="8">
        <f t="array" ref="X32">IF(U32="","", IFERROR(((IF(U$5&lt;&gt;"", U$5*M$5, 0) + SUMPRODUCT(--(U$6:U32&lt;&gt;""), U$6:U32, (M$6:M32-M$5:M31)))/1000), ""))</f>
        <v/>
      </c>
      <c r="Y32" s="1">
        <f>Y31+10</f>
        <v/>
      </c>
      <c r="Z32" s="1">
        <f>AA31</f>
        <v/>
      </c>
      <c r="AC32" t="inlineStr">
        <is>
          <t>60mL/3s/30s</t>
        </is>
      </c>
      <c r="AG32" s="1">
        <f>IF(AA32="", "", (Z32-AA32)*1000/(Y32-Y31))</f>
        <v/>
      </c>
      <c r="AH32" s="1">
        <f>IF(AG32="","",AG32/AD$2/3)</f>
        <v/>
      </c>
      <c r="AI32" s="1">
        <f>IF(AG32="","", 100*_xlfn.STDEV.P(AG31:AG32)/AVERAGE(AG31:AG32))</f>
        <v/>
      </c>
      <c r="AJ32" s="8">
        <f t="array" ref="AJ32">IF(AG32="","", IFERROR(((IF(AG$5&lt;&gt;"", AG$5*Y$5, 0) + SUMPRODUCT(--(AG$6:AG32&lt;&gt;""), AG$6:AG32, (Y$6:Y32-Y$5:Y31)))/1000), ""))</f>
        <v/>
      </c>
      <c r="AK32" s="1">
        <f>AK31+10</f>
        <v/>
      </c>
      <c r="AL32" s="1">
        <f>AM31</f>
        <v/>
      </c>
      <c r="AO32" t="inlineStr">
        <is>
          <t>60mL/3s/30s</t>
        </is>
      </c>
      <c r="AS32" s="1">
        <f>IF(AM32="", "", (AL32-AM32)*1000/(AK32-AK31))</f>
        <v/>
      </c>
      <c r="AT32" s="1">
        <f>IF(AS32="","",AS32/AP$2/3)</f>
        <v/>
      </c>
      <c r="AU32" s="1">
        <f>IF(AS32="","", 100*_xlfn.STDEV.P(AS31:AS32)/AVERAGE(AS31:AS32))</f>
        <v/>
      </c>
      <c r="AV32" s="8">
        <f t="array" ref="AV32">IF(AS32="","", IFERROR(((IF(AS$5&lt;&gt;"", AS$5*AK$5, 0) + SUMPRODUCT(--(AS$6:AS32&lt;&gt;""), AS$6:AS32, (AK$6:AK32-AK$5:AK31)))/1000), ""))</f>
        <v/>
      </c>
    </row>
    <row r="33">
      <c r="A33" s="1">
        <f>A32+10</f>
        <v/>
      </c>
      <c r="B33" s="1">
        <f>C32</f>
        <v/>
      </c>
      <c r="E33" t="inlineStr">
        <is>
          <t>60mL/3s/30s</t>
        </is>
      </c>
      <c r="I33" s="1">
        <f>IF(C33="", "", (B33-C33)*1000/(A33-A32))</f>
        <v/>
      </c>
      <c r="J33" s="1">
        <f>IF(I33="","",I33/F$2/3)</f>
        <v/>
      </c>
      <c r="K33" s="1">
        <f>IF(I33="","", 100*_xlfn.STDEV.P(I32:I33)/AVERAGE(I32:I33))</f>
        <v/>
      </c>
      <c r="L33" s="8">
        <f t="array" ref="L33">IF(I33="","", IFERROR(((IF(I$5&lt;&gt;"", I$5*A$5, 0) + SUMPRODUCT(--(I$6:I33&lt;&gt;""), I$6:I33, (A$6:A33-A$5:A32)))/1000), ""))</f>
        <v/>
      </c>
      <c r="M33" s="1">
        <f>M32+10</f>
        <v/>
      </c>
      <c r="N33" s="1">
        <f>O32</f>
        <v/>
      </c>
      <c r="Q33" t="inlineStr">
        <is>
          <t>60mL/3s/30s</t>
        </is>
      </c>
      <c r="U33" s="1">
        <f>IF(O33="", "", (N33-O33)*1000/(M33-M32))</f>
        <v/>
      </c>
      <c r="V33" s="1">
        <f>IF(U33="","",U33/R$2/3)</f>
        <v/>
      </c>
      <c r="W33" s="1">
        <f>IF(U33="","", 100*_xlfn.STDEV.P(U32:U33)/AVERAGE(U32:U33))</f>
        <v/>
      </c>
      <c r="X33" s="8">
        <f t="array" ref="X33">IF(U33="","", IFERROR(((IF(U$5&lt;&gt;"", U$5*M$5, 0) + SUMPRODUCT(--(U$6:U33&lt;&gt;""), U$6:U33, (M$6:M33-M$5:M32)))/1000), ""))</f>
        <v/>
      </c>
      <c r="Y33" s="1">
        <f>Y32+10</f>
        <v/>
      </c>
      <c r="Z33" s="1">
        <f>AA32</f>
        <v/>
      </c>
      <c r="AC33" t="inlineStr">
        <is>
          <t>60mL/3s/30s</t>
        </is>
      </c>
      <c r="AG33" s="1">
        <f>IF(AA33="", "", (Z33-AA33)*1000/(Y33-Y32))</f>
        <v/>
      </c>
      <c r="AH33" s="1">
        <f>IF(AG33="","",AG33/AD$2/3)</f>
        <v/>
      </c>
      <c r="AI33" s="1">
        <f>IF(AG33="","", 100*_xlfn.STDEV.P(AG32:AG33)/AVERAGE(AG32:AG33))</f>
        <v/>
      </c>
      <c r="AJ33" s="8">
        <f t="array" ref="AJ33">IF(AG33="","", IFERROR(((IF(AG$5&lt;&gt;"", AG$5*Y$5, 0) + SUMPRODUCT(--(AG$6:AG33&lt;&gt;""), AG$6:AG33, (Y$6:Y33-Y$5:Y32)))/1000), ""))</f>
        <v/>
      </c>
      <c r="AK33" s="1">
        <f>AK32+10</f>
        <v/>
      </c>
      <c r="AL33" s="1">
        <f>AM32</f>
        <v/>
      </c>
      <c r="AO33" t="inlineStr">
        <is>
          <t>60mL/3s/30s</t>
        </is>
      </c>
      <c r="AS33" s="1">
        <f>IF(AM33="", "", (AL33-AM33)*1000/(AK33-AK32))</f>
        <v/>
      </c>
      <c r="AT33" s="1">
        <f>IF(AS33="","",AS33/AP$2/3)</f>
        <v/>
      </c>
      <c r="AU33" s="1">
        <f>IF(AS33="","", 100*_xlfn.STDEV.P(AS32:AS33)/AVERAGE(AS32:AS33))</f>
        <v/>
      </c>
      <c r="AV33" s="8">
        <f t="array" ref="AV33">IF(AS33="","", IFERROR(((IF(AS$5&lt;&gt;"", AS$5*AK$5, 0) + SUMPRODUCT(--(AS$6:AS33&lt;&gt;""), AS$6:AS33, (AK$6:AK33-AK$5:AK32)))/1000), ""))</f>
        <v/>
      </c>
    </row>
    <row r="34">
      <c r="A34" s="1">
        <f>A33+10</f>
        <v/>
      </c>
      <c r="B34" s="1">
        <f>C33</f>
        <v/>
      </c>
      <c r="E34" t="inlineStr">
        <is>
          <t>60mL/3s/30s</t>
        </is>
      </c>
      <c r="I34" s="1">
        <f>IF(C34="", "", (B34-C34)*1000/(A34-A33))</f>
        <v/>
      </c>
      <c r="J34" s="1">
        <f>IF(I34="","",I34/F$2/3)</f>
        <v/>
      </c>
      <c r="K34" s="1">
        <f>IF(I34="","", 100*_xlfn.STDEV.P(I33:I34)/AVERAGE(I33:I34))</f>
        <v/>
      </c>
      <c r="L34" s="8">
        <f t="array" ref="L34">IF(I34="","", IFERROR(((IF(I$5&lt;&gt;"", I$5*A$5, 0) + SUMPRODUCT(--(I$6:I34&lt;&gt;""), I$6:I34, (A$6:A34-A$5:A33)))/1000), ""))</f>
        <v/>
      </c>
      <c r="M34" s="1">
        <f>M33+10</f>
        <v/>
      </c>
      <c r="N34" s="1">
        <f>O33</f>
        <v/>
      </c>
      <c r="Q34" t="inlineStr">
        <is>
          <t>60mL/3s/30s</t>
        </is>
      </c>
      <c r="U34" s="1">
        <f>IF(O34="", "", (N34-O34)*1000/(M34-M33))</f>
        <v/>
      </c>
      <c r="V34" s="1">
        <f>IF(U34="","",U34/R$2/3)</f>
        <v/>
      </c>
      <c r="W34" s="1">
        <f>IF(U34="","", 100*_xlfn.STDEV.P(U33:U34)/AVERAGE(U33:U34))</f>
        <v/>
      </c>
      <c r="X34" s="8">
        <f t="array" ref="X34">IF(U34="","", IFERROR(((IF(U$5&lt;&gt;"", U$5*M$5, 0) + SUMPRODUCT(--(U$6:U34&lt;&gt;""), U$6:U34, (M$6:M34-M$5:M33)))/1000), ""))</f>
        <v/>
      </c>
      <c r="Y34" s="1">
        <f>Y33+10</f>
        <v/>
      </c>
      <c r="Z34" s="1">
        <f>AA33</f>
        <v/>
      </c>
      <c r="AC34" t="inlineStr">
        <is>
          <t>60mL/3s/30s</t>
        </is>
      </c>
      <c r="AG34" s="1">
        <f>IF(AA34="", "", (Z34-AA34)*1000/(Y34-Y33))</f>
        <v/>
      </c>
      <c r="AH34" s="1">
        <f>IF(AG34="","",AG34/AD$2/3)</f>
        <v/>
      </c>
      <c r="AI34" s="1">
        <f>IF(AG34="","", 100*_xlfn.STDEV.P(AG33:AG34)/AVERAGE(AG33:AG34))</f>
        <v/>
      </c>
      <c r="AJ34" s="8">
        <f t="array" ref="AJ34">IF(AG34="","", IFERROR(((IF(AG$5&lt;&gt;"", AG$5*Y$5, 0) + SUMPRODUCT(--(AG$6:AG34&lt;&gt;""), AG$6:AG34, (Y$6:Y34-Y$5:Y33)))/1000), ""))</f>
        <v/>
      </c>
      <c r="AK34" s="1">
        <f>AK33+10</f>
        <v/>
      </c>
      <c r="AL34" s="1">
        <f>AM33</f>
        <v/>
      </c>
      <c r="AO34" t="inlineStr">
        <is>
          <t>60mL/3s/30s</t>
        </is>
      </c>
      <c r="AS34" s="1">
        <f>IF(AM34="", "", (AL34-AM34)*1000/(AK34-AK33))</f>
        <v/>
      </c>
      <c r="AT34" s="1">
        <f>IF(AS34="","",AS34/AP$2/3)</f>
        <v/>
      </c>
      <c r="AU34" s="1">
        <f>IF(AS34="","", 100*_xlfn.STDEV.P(AS33:AS34)/AVERAGE(AS33:AS34))</f>
        <v/>
      </c>
      <c r="AV34" s="8">
        <f t="array" ref="AV34">IF(AS34="","", IFERROR(((IF(AS$5&lt;&gt;"", AS$5*AK$5, 0) + SUMPRODUCT(--(AS$6:AS34&lt;&gt;""), AS$6:AS34, (AK$6:AK34-AK$5:AK33)))/1000), ""))</f>
        <v/>
      </c>
    </row>
    <row r="35">
      <c r="A35" s="1">
        <f>A34+10</f>
        <v/>
      </c>
      <c r="B35" s="1">
        <f>C34</f>
        <v/>
      </c>
      <c r="E35" t="inlineStr">
        <is>
          <t>60mL/3s/30s</t>
        </is>
      </c>
      <c r="I35" s="1">
        <f>IF(C35="", "", (B35-C35)*1000/(A35-A34))</f>
        <v/>
      </c>
      <c r="J35" s="1">
        <f>IF(I35="","",I35/F$2/3)</f>
        <v/>
      </c>
      <c r="K35" s="1">
        <f>IF(I35="","", 100*_xlfn.STDEV.P(I34:I35)/AVERAGE(I34:I35))</f>
        <v/>
      </c>
      <c r="L35" s="8">
        <f t="array" ref="L35">IF(I35="","", IFERROR(((IF(I$5&lt;&gt;"", I$5*A$5, 0) + SUMPRODUCT(--(I$6:I35&lt;&gt;""), I$6:I35, (A$6:A35-A$5:A34)))/1000), ""))</f>
        <v/>
      </c>
      <c r="M35" s="1">
        <f>M34+10</f>
        <v/>
      </c>
      <c r="N35" s="1">
        <f>O34</f>
        <v/>
      </c>
      <c r="Q35" t="inlineStr">
        <is>
          <t>60mL/3s/30s</t>
        </is>
      </c>
      <c r="U35" s="1">
        <f>IF(O35="", "", (N35-O35)*1000/(M35-M34))</f>
        <v/>
      </c>
      <c r="V35" s="1">
        <f>IF(U35="","",U35/R$2/3)</f>
        <v/>
      </c>
      <c r="W35" s="1">
        <f>IF(U35="","", 100*_xlfn.STDEV.P(U34:U35)/AVERAGE(U34:U35))</f>
        <v/>
      </c>
      <c r="X35" s="8">
        <f t="array" ref="X35">IF(U35="","", IFERROR(((IF(U$5&lt;&gt;"", U$5*M$5, 0) + SUMPRODUCT(--(U$6:U35&lt;&gt;""), U$6:U35, (M$6:M35-M$5:M34)))/1000), ""))</f>
        <v/>
      </c>
      <c r="Y35" s="1">
        <f>Y34+10</f>
        <v/>
      </c>
      <c r="Z35" s="1">
        <f>AA34</f>
        <v/>
      </c>
      <c r="AC35" t="inlineStr">
        <is>
          <t>60mL/3s/30s</t>
        </is>
      </c>
      <c r="AG35" s="1">
        <f>IF(AA35="", "", (Z35-AA35)*1000/(Y35-Y34))</f>
        <v/>
      </c>
      <c r="AH35" s="1">
        <f>IF(AG35="","",AG35/AD$2/3)</f>
        <v/>
      </c>
      <c r="AI35" s="1">
        <f>IF(AG35="","", 100*_xlfn.STDEV.P(AG34:AG35)/AVERAGE(AG34:AG35))</f>
        <v/>
      </c>
      <c r="AJ35" s="8">
        <f t="array" ref="AJ35">IF(AG35="","", IFERROR(((IF(AG$5&lt;&gt;"", AG$5*Y$5, 0) + SUMPRODUCT(--(AG$6:AG35&lt;&gt;""), AG$6:AG35, (Y$6:Y35-Y$5:Y34)))/1000), ""))</f>
        <v/>
      </c>
      <c r="AK35" s="1">
        <f>AK34+10</f>
        <v/>
      </c>
      <c r="AL35" s="1">
        <f>AM34</f>
        <v/>
      </c>
      <c r="AO35" t="inlineStr">
        <is>
          <t>60mL/3s/30s</t>
        </is>
      </c>
      <c r="AS35" s="1">
        <f>IF(AM35="", "", (AL35-AM35)*1000/(AK35-AK34))</f>
        <v/>
      </c>
      <c r="AT35" s="1">
        <f>IF(AS35="","",AS35/AP$2/3)</f>
        <v/>
      </c>
      <c r="AU35" s="1">
        <f>IF(AS35="","", 100*_xlfn.STDEV.P(AS34:AS35)/AVERAGE(AS34:AS35))</f>
        <v/>
      </c>
      <c r="AV35" s="8">
        <f t="array" ref="AV35">IF(AS35="","", IFERROR(((IF(AS$5&lt;&gt;"", AS$5*AK$5, 0) + SUMPRODUCT(--(AS$6:AS35&lt;&gt;""), AS$6:AS35, (AK$6:AK35-AK$5:AK34)))/1000), ""))</f>
        <v/>
      </c>
    </row>
    <row r="36">
      <c r="A36" s="1">
        <f>A35+10</f>
        <v/>
      </c>
      <c r="B36" s="1">
        <f>C35</f>
        <v/>
      </c>
      <c r="E36" t="inlineStr">
        <is>
          <t>60mL/3s/30s</t>
        </is>
      </c>
      <c r="I36" s="1">
        <f>IF(C36="", "", (B36-C36)*1000/(A36-A35))</f>
        <v/>
      </c>
      <c r="J36" s="1">
        <f>IF(I36="","",I36/F$2/3)</f>
        <v/>
      </c>
      <c r="K36" s="1">
        <f>IF(I36="","", 100*_xlfn.STDEV.P(I35:I36)/AVERAGE(I35:I36))</f>
        <v/>
      </c>
      <c r="L36" s="8">
        <f t="array" ref="L36">IF(I36="","", IFERROR(((IF(I$5&lt;&gt;"", I$5*A$5, 0) + SUMPRODUCT(--(I$6:I36&lt;&gt;""), I$6:I36, (A$6:A36-A$5:A35)))/1000), ""))</f>
        <v/>
      </c>
      <c r="M36" s="1">
        <f>M35+10</f>
        <v/>
      </c>
      <c r="N36" s="1">
        <f>O35</f>
        <v/>
      </c>
      <c r="Q36" t="inlineStr">
        <is>
          <t>60mL/3s/30s</t>
        </is>
      </c>
      <c r="U36" s="1">
        <f>IF(O36="", "", (N36-O36)*1000/(M36-M35))</f>
        <v/>
      </c>
      <c r="V36" s="1">
        <f>IF(U36="","",U36/R$2/3)</f>
        <v/>
      </c>
      <c r="W36" s="1">
        <f>IF(U36="","", 100*_xlfn.STDEV.P(U35:U36)/AVERAGE(U35:U36))</f>
        <v/>
      </c>
      <c r="X36" s="8">
        <f t="array" ref="X36">IF(U36="","", IFERROR(((IF(U$5&lt;&gt;"", U$5*M$5, 0) + SUMPRODUCT(--(U$6:U36&lt;&gt;""), U$6:U36, (M$6:M36-M$5:M35)))/1000), ""))</f>
        <v/>
      </c>
      <c r="Y36" s="1">
        <f>Y35+10</f>
        <v/>
      </c>
      <c r="Z36" s="1">
        <f>AA35</f>
        <v/>
      </c>
      <c r="AC36" t="inlineStr">
        <is>
          <t>60mL/3s/30s</t>
        </is>
      </c>
      <c r="AG36" s="1">
        <f>IF(AA36="", "", (Z36-AA36)*1000/(Y36-Y35))</f>
        <v/>
      </c>
      <c r="AH36" s="1">
        <f>IF(AG36="","",AG36/AD$2/3)</f>
        <v/>
      </c>
      <c r="AI36" s="1">
        <f>IF(AG36="","", 100*_xlfn.STDEV.P(AG35:AG36)/AVERAGE(AG35:AG36))</f>
        <v/>
      </c>
      <c r="AJ36" s="8">
        <f t="array" ref="AJ36">IF(AG36="","", IFERROR(((IF(AG$5&lt;&gt;"", AG$5*Y$5, 0) + SUMPRODUCT(--(AG$6:AG36&lt;&gt;""), AG$6:AG36, (Y$6:Y36-Y$5:Y35)))/1000), ""))</f>
        <v/>
      </c>
      <c r="AK36" s="1">
        <f>AK35+10</f>
        <v/>
      </c>
      <c r="AL36" s="1">
        <f>AM35</f>
        <v/>
      </c>
      <c r="AO36" t="inlineStr">
        <is>
          <t>60mL/3s/30s</t>
        </is>
      </c>
      <c r="AS36" s="1">
        <f>IF(AM36="", "", (AL36-AM36)*1000/(AK36-AK35))</f>
        <v/>
      </c>
      <c r="AT36" s="1">
        <f>IF(AS36="","",AS36/AP$2/3)</f>
        <v/>
      </c>
      <c r="AU36" s="1">
        <f>IF(AS36="","", 100*_xlfn.STDEV.P(AS35:AS36)/AVERAGE(AS35:AS36))</f>
        <v/>
      </c>
      <c r="AV36" s="8">
        <f t="array" ref="AV36">IF(AS36="","", IFERROR(((IF(AS$5&lt;&gt;"", AS$5*AK$5, 0) + SUMPRODUCT(--(AS$6:AS36&lt;&gt;""), AS$6:AS36, (AK$6:AK36-AK$5:AK35)))/1000), ""))</f>
        <v/>
      </c>
    </row>
    <row r="37">
      <c r="A37" s="1">
        <f>A36+10</f>
        <v/>
      </c>
      <c r="B37" s="1">
        <f>C36</f>
        <v/>
      </c>
      <c r="E37" t="inlineStr">
        <is>
          <t>60mL/3s/30s</t>
        </is>
      </c>
      <c r="I37" s="1">
        <f>IF(C37="", "", (B37-C37)*1000/(A37-A36))</f>
        <v/>
      </c>
      <c r="J37" s="1">
        <f>IF(I37="","",I37/F$2/3)</f>
        <v/>
      </c>
      <c r="K37" s="1">
        <f>IF(I37="","", 100*_xlfn.STDEV.P(I36:I37)/AVERAGE(I36:I37))</f>
        <v/>
      </c>
      <c r="L37" s="8">
        <f t="array" ref="L37">IF(I37="","", IFERROR(((IF(I$5&lt;&gt;"", I$5*A$5, 0) + SUMPRODUCT(--(I$6:I37&lt;&gt;""), I$6:I37, (A$6:A37-A$5:A36)))/1000), ""))</f>
        <v/>
      </c>
      <c r="M37" s="1">
        <f>M36+10</f>
        <v/>
      </c>
      <c r="N37" s="1">
        <f>O36</f>
        <v/>
      </c>
      <c r="Q37" t="inlineStr">
        <is>
          <t>60mL/3s/30s</t>
        </is>
      </c>
      <c r="U37" s="1">
        <f>IF(O37="", "", (N37-O37)*1000/(M37-M36))</f>
        <v/>
      </c>
      <c r="V37" s="1">
        <f>IF(U37="","",U37/R$2/3)</f>
        <v/>
      </c>
      <c r="W37" s="1">
        <f>IF(U37="","", 100*_xlfn.STDEV.P(U36:U37)/AVERAGE(U36:U37))</f>
        <v/>
      </c>
      <c r="X37" s="8">
        <f t="array" ref="X37">IF(U37="","", IFERROR(((IF(U$5&lt;&gt;"", U$5*M$5, 0) + SUMPRODUCT(--(U$6:U37&lt;&gt;""), U$6:U37, (M$6:M37-M$5:M36)))/1000), ""))</f>
        <v/>
      </c>
      <c r="Y37" s="1">
        <f>Y36+10</f>
        <v/>
      </c>
      <c r="Z37" s="1">
        <f>AA36</f>
        <v/>
      </c>
      <c r="AC37" t="inlineStr">
        <is>
          <t>60mL/3s/30s</t>
        </is>
      </c>
      <c r="AG37" s="1">
        <f>IF(AA37="", "", (Z37-AA37)*1000/(Y37-Y36))</f>
        <v/>
      </c>
      <c r="AH37" s="1">
        <f>IF(AG37="","",AG37/AD$2/3)</f>
        <v/>
      </c>
      <c r="AI37" s="1">
        <f>IF(AG37="","", 100*_xlfn.STDEV.P(AG36:AG37)/AVERAGE(AG36:AG37))</f>
        <v/>
      </c>
      <c r="AJ37" s="8">
        <f t="array" ref="AJ37">IF(AG37="","", IFERROR(((IF(AG$5&lt;&gt;"", AG$5*Y$5, 0) + SUMPRODUCT(--(AG$6:AG37&lt;&gt;""), AG$6:AG37, (Y$6:Y37-Y$5:Y36)))/1000), ""))</f>
        <v/>
      </c>
      <c r="AK37" s="1">
        <f>AK36+10</f>
        <v/>
      </c>
      <c r="AL37" s="1">
        <f>AM36</f>
        <v/>
      </c>
      <c r="AO37" t="inlineStr">
        <is>
          <t>60mL/3s/30s</t>
        </is>
      </c>
      <c r="AS37" s="1">
        <f>IF(AM37="", "", (AL37-AM37)*1000/(AK37-AK36))</f>
        <v/>
      </c>
      <c r="AT37" s="1">
        <f>IF(AS37="","",AS37/AP$2/3)</f>
        <v/>
      </c>
      <c r="AU37" s="1">
        <f>IF(AS37="","", 100*_xlfn.STDEV.P(AS36:AS37)/AVERAGE(AS36:AS37))</f>
        <v/>
      </c>
      <c r="AV37" s="8">
        <f t="array" ref="AV37">IF(AS37="","", IFERROR(((IF(AS$5&lt;&gt;"", AS$5*AK$5, 0) + SUMPRODUCT(--(AS$6:AS37&lt;&gt;""), AS$6:AS37, (AK$6:AK37-AK$5:AK36)))/1000), ""))</f>
        <v/>
      </c>
    </row>
    <row r="38">
      <c r="A38" s="1">
        <f>A37+10</f>
        <v/>
      </c>
      <c r="B38" s="1">
        <f>C37</f>
        <v/>
      </c>
      <c r="E38" t="inlineStr">
        <is>
          <t>60mL/3s/30s</t>
        </is>
      </c>
      <c r="I38" s="1">
        <f>IF(C38="", "", (B38-C38)*1000/(A38-A37))</f>
        <v/>
      </c>
      <c r="J38" s="1">
        <f>IF(I38="","",I38/F$2/3)</f>
        <v/>
      </c>
      <c r="K38" s="1">
        <f>IF(I38="","", 100*_xlfn.STDEV.P(I37:I38)/AVERAGE(I37:I38))</f>
        <v/>
      </c>
      <c r="L38" s="8">
        <f t="array" ref="L38">IF(I38="","", IFERROR(((IF(I$5&lt;&gt;"", I$5*A$5, 0) + SUMPRODUCT(--(I$6:I38&lt;&gt;""), I$6:I38, (A$6:A38-A$5:A37)))/1000), ""))</f>
        <v/>
      </c>
      <c r="M38" s="1">
        <f>M37+10</f>
        <v/>
      </c>
      <c r="N38" s="1">
        <f>O37</f>
        <v/>
      </c>
      <c r="Q38" t="inlineStr">
        <is>
          <t>60mL/3s/30s</t>
        </is>
      </c>
      <c r="U38" s="1">
        <f>IF(O38="", "", (N38-O38)*1000/(M38-M37))</f>
        <v/>
      </c>
      <c r="V38" s="1">
        <f>IF(U38="","",U38/R$2/3)</f>
        <v/>
      </c>
      <c r="W38" s="1">
        <f>IF(U38="","", 100*_xlfn.STDEV.P(U37:U38)/AVERAGE(U37:U38))</f>
        <v/>
      </c>
      <c r="X38" s="8">
        <f t="array" ref="X38">IF(U38="","", IFERROR(((IF(U$5&lt;&gt;"", U$5*M$5, 0) + SUMPRODUCT(--(U$6:U38&lt;&gt;""), U$6:U38, (M$6:M38-M$5:M37)))/1000), ""))</f>
        <v/>
      </c>
      <c r="Y38" s="1">
        <f>Y37+10</f>
        <v/>
      </c>
      <c r="Z38" s="1">
        <f>AA37</f>
        <v/>
      </c>
      <c r="AC38" t="inlineStr">
        <is>
          <t>60mL/3s/30s</t>
        </is>
      </c>
      <c r="AG38" s="1">
        <f>IF(AA38="", "", (Z38-AA38)*1000/(Y38-Y37))</f>
        <v/>
      </c>
      <c r="AH38" s="1">
        <f>IF(AG38="","",AG38/AD$2/3)</f>
        <v/>
      </c>
      <c r="AI38" s="1">
        <f>IF(AG38="","", 100*_xlfn.STDEV.P(AG37:AG38)/AVERAGE(AG37:AG38))</f>
        <v/>
      </c>
      <c r="AJ38" s="8">
        <f t="array" ref="AJ38">IF(AG38="","", IFERROR(((IF(AG$5&lt;&gt;"", AG$5*Y$5, 0) + SUMPRODUCT(--(AG$6:AG38&lt;&gt;""), AG$6:AG38, (Y$6:Y38-Y$5:Y37)))/1000), ""))</f>
        <v/>
      </c>
      <c r="AK38" s="1">
        <f>AK37+10</f>
        <v/>
      </c>
      <c r="AL38" s="1">
        <f>AM37</f>
        <v/>
      </c>
      <c r="AO38" t="inlineStr">
        <is>
          <t>60mL/3s/30s</t>
        </is>
      </c>
      <c r="AS38" s="1">
        <f>IF(AM38="", "", (AL38-AM38)*1000/(AK38-AK37))</f>
        <v/>
      </c>
      <c r="AT38" s="1">
        <f>IF(AS38="","",AS38/AP$2/3)</f>
        <v/>
      </c>
      <c r="AU38" s="1">
        <f>IF(AS38="","", 100*_xlfn.STDEV.P(AS37:AS38)/AVERAGE(AS37:AS38))</f>
        <v/>
      </c>
      <c r="AV38" s="8">
        <f t="array" ref="AV38">IF(AS38="","", IFERROR(((IF(AS$5&lt;&gt;"", AS$5*AK$5, 0) + SUMPRODUCT(--(AS$6:AS38&lt;&gt;""), AS$6:AS38, (AK$6:AK38-AK$5:AK37)))/1000), ""))</f>
        <v/>
      </c>
    </row>
    <row r="39">
      <c r="A39" s="1">
        <f>A38+10</f>
        <v/>
      </c>
      <c r="B39" s="1">
        <f>C38</f>
        <v/>
      </c>
      <c r="E39" t="inlineStr">
        <is>
          <t>60mL/3s/30s</t>
        </is>
      </c>
      <c r="I39" s="1">
        <f>IF(C39="", "", (B39-C39)*1000/(A39-A38))</f>
        <v/>
      </c>
      <c r="J39" s="1">
        <f>IF(I39="","",I39/F$2/3)</f>
        <v/>
      </c>
      <c r="K39" s="1">
        <f>IF(I39="","", 100*_xlfn.STDEV.P(I38:I39)/AVERAGE(I38:I39))</f>
        <v/>
      </c>
      <c r="L39" s="8">
        <f t="array" ref="L39">IF(I39="","", IFERROR(((IF(I$5&lt;&gt;"", I$5*A$5, 0) + SUMPRODUCT(--(I$6:I39&lt;&gt;""), I$6:I39, (A$6:A39-A$5:A38)))/1000), ""))</f>
        <v/>
      </c>
      <c r="M39" s="1">
        <f>M38+10</f>
        <v/>
      </c>
      <c r="N39" s="1">
        <f>O38</f>
        <v/>
      </c>
      <c r="Q39" t="inlineStr">
        <is>
          <t>60mL/3s/30s</t>
        </is>
      </c>
      <c r="U39" s="1">
        <f>IF(O39="", "", (N39-O39)*1000/(M39-M38))</f>
        <v/>
      </c>
      <c r="V39" s="1">
        <f>IF(U39="","",U39/R$2/3)</f>
        <v/>
      </c>
      <c r="W39" s="1">
        <f>IF(U39="","", 100*_xlfn.STDEV.P(U38:U39)/AVERAGE(U38:U39))</f>
        <v/>
      </c>
      <c r="X39" s="8">
        <f t="array" ref="X39">IF(U39="","", IFERROR(((IF(U$5&lt;&gt;"", U$5*M$5, 0) + SUMPRODUCT(--(U$6:U39&lt;&gt;""), U$6:U39, (M$6:M39-M$5:M38)))/1000), ""))</f>
        <v/>
      </c>
      <c r="Y39" s="1">
        <f>Y38+10</f>
        <v/>
      </c>
      <c r="Z39" s="1">
        <f>AA38</f>
        <v/>
      </c>
      <c r="AC39" t="inlineStr">
        <is>
          <t>60mL/3s/30s</t>
        </is>
      </c>
      <c r="AG39" s="1">
        <f>IF(AA39="", "", (Z39-AA39)*1000/(Y39-Y38))</f>
        <v/>
      </c>
      <c r="AH39" s="1">
        <f>IF(AG39="","",AG39/AD$2/3)</f>
        <v/>
      </c>
      <c r="AI39" s="1">
        <f>IF(AG39="","", 100*_xlfn.STDEV.P(AG38:AG39)/AVERAGE(AG38:AG39))</f>
        <v/>
      </c>
      <c r="AJ39" s="8">
        <f t="array" ref="AJ39">IF(AG39="","", IFERROR(((IF(AG$5&lt;&gt;"", AG$5*Y$5, 0) + SUMPRODUCT(--(AG$6:AG39&lt;&gt;""), AG$6:AG39, (Y$6:Y39-Y$5:Y38)))/1000), ""))</f>
        <v/>
      </c>
      <c r="AK39" s="1">
        <f>AK38+10</f>
        <v/>
      </c>
      <c r="AL39" s="1">
        <f>AM38</f>
        <v/>
      </c>
      <c r="AO39" t="inlineStr">
        <is>
          <t>60mL/3s/30s</t>
        </is>
      </c>
      <c r="AS39" s="1">
        <f>IF(AM39="", "", (AL39-AM39)*1000/(AK39-AK38))</f>
        <v/>
      </c>
      <c r="AT39" s="1">
        <f>IF(AS39="","",AS39/AP$2/3)</f>
        <v/>
      </c>
      <c r="AU39" s="1">
        <f>IF(AS39="","", 100*_xlfn.STDEV.P(AS38:AS39)/AVERAGE(AS38:AS39))</f>
        <v/>
      </c>
      <c r="AV39" s="8">
        <f t="array" ref="AV39">IF(AS39="","", IFERROR(((IF(AS$5&lt;&gt;"", AS$5*AK$5, 0) + SUMPRODUCT(--(AS$6:AS39&lt;&gt;""), AS$6:AS39, (AK$6:AK39-AK$5:AK38)))/1000), ""))</f>
        <v/>
      </c>
    </row>
    <row r="40">
      <c r="A40" s="1">
        <f>A39+10</f>
        <v/>
      </c>
      <c r="B40" s="1">
        <f>C39</f>
        <v/>
      </c>
      <c r="E40" t="inlineStr">
        <is>
          <t>60mL/3s/30s</t>
        </is>
      </c>
      <c r="I40" s="1">
        <f>IF(C40="", "", (B40-C40)*1000/(A40-A39))</f>
        <v/>
      </c>
      <c r="J40" s="1">
        <f>IF(I40="","",I40/F$2/3)</f>
        <v/>
      </c>
      <c r="K40" s="1">
        <f>IF(I40="","", 100*_xlfn.STDEV.P(I39:I40)/AVERAGE(I39:I40))</f>
        <v/>
      </c>
      <c r="L40" s="8">
        <f t="array" ref="L40">IF(I40="","", IFERROR(((IF(I$5&lt;&gt;"", I$5*A$5, 0) + SUMPRODUCT(--(I$6:I40&lt;&gt;""), I$6:I40, (A$6:A40-A$5:A39)))/1000), ""))</f>
        <v/>
      </c>
      <c r="M40" s="1">
        <f>M39+10</f>
        <v/>
      </c>
      <c r="N40" s="1">
        <f>O39</f>
        <v/>
      </c>
      <c r="Q40" t="inlineStr">
        <is>
          <t>60mL/3s/30s</t>
        </is>
      </c>
      <c r="U40" s="1">
        <f>IF(O40="", "", (N40-O40)*1000/(M40-M39))</f>
        <v/>
      </c>
      <c r="V40" s="1">
        <f>IF(U40="","",U40/R$2/3)</f>
        <v/>
      </c>
      <c r="W40" s="1">
        <f>IF(U40="","", 100*_xlfn.STDEV.P(U39:U40)/AVERAGE(U39:U40))</f>
        <v/>
      </c>
      <c r="X40" s="8">
        <f t="array" ref="X40">IF(U40="","", IFERROR(((IF(U$5&lt;&gt;"", U$5*M$5, 0) + SUMPRODUCT(--(U$6:U40&lt;&gt;""), U$6:U40, (M$6:M40-M$5:M39)))/1000), ""))</f>
        <v/>
      </c>
      <c r="Y40" s="1">
        <f>Y39+10</f>
        <v/>
      </c>
      <c r="Z40" s="1">
        <f>AA39</f>
        <v/>
      </c>
      <c r="AC40" t="inlineStr">
        <is>
          <t>60mL/3s/30s</t>
        </is>
      </c>
      <c r="AG40" s="1">
        <f>IF(AA40="", "", (Z40-AA40)*1000/(Y40-Y39))</f>
        <v/>
      </c>
      <c r="AH40" s="1">
        <f>IF(AG40="","",AG40/AD$2/3)</f>
        <v/>
      </c>
      <c r="AI40" s="1">
        <f>IF(AG40="","", 100*_xlfn.STDEV.P(AG39:AG40)/AVERAGE(AG39:AG40))</f>
        <v/>
      </c>
      <c r="AJ40" s="8">
        <f t="array" ref="AJ40">IF(AG40="","", IFERROR(((IF(AG$5&lt;&gt;"", AG$5*Y$5, 0) + SUMPRODUCT(--(AG$6:AG40&lt;&gt;""), AG$6:AG40, (Y$6:Y40-Y$5:Y39)))/1000), ""))</f>
        <v/>
      </c>
      <c r="AK40" s="1">
        <f>AK39+10</f>
        <v/>
      </c>
      <c r="AL40" s="1">
        <f>AM39</f>
        <v/>
      </c>
      <c r="AO40" t="inlineStr">
        <is>
          <t>60mL/3s/30s</t>
        </is>
      </c>
      <c r="AS40" s="1">
        <f>IF(AM40="", "", (AL40-AM40)*1000/(AK40-AK39))</f>
        <v/>
      </c>
      <c r="AT40" s="1">
        <f>IF(AS40="","",AS40/AP$2/3)</f>
        <v/>
      </c>
      <c r="AU40" s="1">
        <f>IF(AS40="","", 100*_xlfn.STDEV.P(AS39:AS40)/AVERAGE(AS39:AS40))</f>
        <v/>
      </c>
      <c r="AV40" s="8">
        <f t="array" ref="AV40">IF(AS40="","", IFERROR(((IF(AS$5&lt;&gt;"", AS$5*AK$5, 0) + SUMPRODUCT(--(AS$6:AS40&lt;&gt;""), AS$6:AS40, (AK$6:AK40-AK$5:AK39)))/1000), ""))</f>
        <v/>
      </c>
    </row>
    <row r="41">
      <c r="A41" s="1">
        <f>A40+10</f>
        <v/>
      </c>
      <c r="B41" s="1">
        <f>C40</f>
        <v/>
      </c>
      <c r="E41" t="inlineStr">
        <is>
          <t>60mL/3s/30s</t>
        </is>
      </c>
      <c r="I41" s="1">
        <f>IF(C41="", "", (B41-C41)*1000/(A41-A40))</f>
        <v/>
      </c>
      <c r="J41" s="1">
        <f>IF(I41="","",I41/F$2/3)</f>
        <v/>
      </c>
      <c r="K41" s="1">
        <f>IF(I41="","", 100*_xlfn.STDEV.P(I40:I41)/AVERAGE(I40:I41))</f>
        <v/>
      </c>
      <c r="L41" s="8">
        <f t="array" ref="L41">IF(I41="","", IFERROR(((IF(I$5&lt;&gt;"", I$5*A$5, 0) + SUMPRODUCT(--(I$6:I41&lt;&gt;""), I$6:I41, (A$6:A41-A$5:A40)))/1000), ""))</f>
        <v/>
      </c>
      <c r="M41" s="1">
        <f>M40+10</f>
        <v/>
      </c>
      <c r="N41" s="1">
        <f>O40</f>
        <v/>
      </c>
      <c r="Q41" t="inlineStr">
        <is>
          <t>60mL/3s/30s</t>
        </is>
      </c>
      <c r="U41" s="1">
        <f>IF(O41="", "", (N41-O41)*1000/(M41-M40))</f>
        <v/>
      </c>
      <c r="V41" s="1">
        <f>IF(U41="","",U41/R$2/3)</f>
        <v/>
      </c>
      <c r="W41" s="1">
        <f>IF(U41="","", 100*_xlfn.STDEV.P(U40:U41)/AVERAGE(U40:U41))</f>
        <v/>
      </c>
      <c r="X41" s="8">
        <f t="array" ref="X41">IF(U41="","", IFERROR(((IF(U$5&lt;&gt;"", U$5*M$5, 0) + SUMPRODUCT(--(U$6:U41&lt;&gt;""), U$6:U41, (M$6:M41-M$5:M40)))/1000), ""))</f>
        <v/>
      </c>
      <c r="Y41" s="1">
        <f>Y40+10</f>
        <v/>
      </c>
      <c r="Z41" s="1">
        <f>AA40</f>
        <v/>
      </c>
      <c r="AC41" t="inlineStr">
        <is>
          <t>60mL/3s/30s</t>
        </is>
      </c>
      <c r="AG41" s="1">
        <f>IF(AA41="", "", (Z41-AA41)*1000/(Y41-Y40))</f>
        <v/>
      </c>
      <c r="AH41" s="1">
        <f>IF(AG41="","",AG41/AD$2/3)</f>
        <v/>
      </c>
      <c r="AI41" s="1">
        <f>IF(AG41="","", 100*_xlfn.STDEV.P(AG40:AG41)/AVERAGE(AG40:AG41))</f>
        <v/>
      </c>
      <c r="AJ41" s="8">
        <f t="array" ref="AJ41">IF(AG41="","", IFERROR(((IF(AG$5&lt;&gt;"", AG$5*Y$5, 0) + SUMPRODUCT(--(AG$6:AG41&lt;&gt;""), AG$6:AG41, (Y$6:Y41-Y$5:Y40)))/1000), ""))</f>
        <v/>
      </c>
      <c r="AK41" s="1">
        <f>AK40+10</f>
        <v/>
      </c>
      <c r="AL41" s="1">
        <f>AM40</f>
        <v/>
      </c>
      <c r="AO41" t="inlineStr">
        <is>
          <t>60mL/3s/30s</t>
        </is>
      </c>
      <c r="AS41" s="1">
        <f>IF(AM41="", "", (AL41-AM41)*1000/(AK41-AK40))</f>
        <v/>
      </c>
      <c r="AT41" s="1">
        <f>IF(AS41="","",AS41/AP$2/3)</f>
        <v/>
      </c>
      <c r="AU41" s="1">
        <f>IF(AS41="","", 100*_xlfn.STDEV.P(AS40:AS41)/AVERAGE(AS40:AS41))</f>
        <v/>
      </c>
      <c r="AV41" s="8">
        <f t="array" ref="AV41">IF(AS41="","", IFERROR(((IF(AS$5&lt;&gt;"", AS$5*AK$5, 0) + SUMPRODUCT(--(AS$6:AS41&lt;&gt;""), AS$6:AS41, (AK$6:AK41-AK$5:AK40)))/1000), ""))</f>
        <v/>
      </c>
    </row>
    <row r="42">
      <c r="A42" s="1">
        <f>A41+10</f>
        <v/>
      </c>
      <c r="B42" s="1">
        <f>C41</f>
        <v/>
      </c>
      <c r="E42" t="inlineStr">
        <is>
          <t>60mL/3s/30s</t>
        </is>
      </c>
      <c r="I42" s="1">
        <f>IF(C42="", "", (B42-C42)*1000/(A42-A41))</f>
        <v/>
      </c>
      <c r="J42" s="1">
        <f>IF(I42="","",I42/F$2/3)</f>
        <v/>
      </c>
      <c r="K42" s="1">
        <f>IF(I42="","", 100*_xlfn.STDEV.P(I41:I42)/AVERAGE(I41:I42))</f>
        <v/>
      </c>
      <c r="L42" s="8">
        <f t="array" ref="L42">IF(I42="","", IFERROR(((IF(I$5&lt;&gt;"", I$5*A$5, 0) + SUMPRODUCT(--(I$6:I42&lt;&gt;""), I$6:I42, (A$6:A42-A$5:A41)))/1000), ""))</f>
        <v/>
      </c>
      <c r="M42" s="1">
        <f>M41+10</f>
        <v/>
      </c>
      <c r="N42" s="1">
        <f>O41</f>
        <v/>
      </c>
      <c r="Q42" t="inlineStr">
        <is>
          <t>60mL/3s/30s</t>
        </is>
      </c>
      <c r="U42" s="1">
        <f>IF(O42="", "", (N42-O42)*1000/(M42-M41))</f>
        <v/>
      </c>
      <c r="V42" s="1">
        <f>IF(U42="","",U42/R$2/3)</f>
        <v/>
      </c>
      <c r="W42" s="1">
        <f>IF(U42="","", 100*_xlfn.STDEV.P(U41:U42)/AVERAGE(U41:U42))</f>
        <v/>
      </c>
      <c r="X42" s="8">
        <f t="array" ref="X42">IF(U42="","", IFERROR(((IF(U$5&lt;&gt;"", U$5*M$5, 0) + SUMPRODUCT(--(U$6:U42&lt;&gt;""), U$6:U42, (M$6:M42-M$5:M41)))/1000), ""))</f>
        <v/>
      </c>
      <c r="Y42" s="1">
        <f>Y41+10</f>
        <v/>
      </c>
      <c r="Z42" s="1">
        <f>AA41</f>
        <v/>
      </c>
      <c r="AC42" t="inlineStr">
        <is>
          <t>60mL/3s/30s</t>
        </is>
      </c>
      <c r="AG42" s="1">
        <f>IF(AA42="", "", (Z42-AA42)*1000/(Y42-Y41))</f>
        <v/>
      </c>
      <c r="AH42" s="1">
        <f>IF(AG42="","",AG42/AD$2/3)</f>
        <v/>
      </c>
      <c r="AI42" s="1">
        <f>IF(AG42="","", 100*_xlfn.STDEV.P(AG41:AG42)/AVERAGE(AG41:AG42))</f>
        <v/>
      </c>
      <c r="AJ42" s="8">
        <f t="array" ref="AJ42">IF(AG42="","", IFERROR(((IF(AG$5&lt;&gt;"", AG$5*Y$5, 0) + SUMPRODUCT(--(AG$6:AG42&lt;&gt;""), AG$6:AG42, (Y$6:Y42-Y$5:Y41)))/1000), ""))</f>
        <v/>
      </c>
      <c r="AK42" s="1">
        <f>AK41+10</f>
        <v/>
      </c>
      <c r="AL42" s="1">
        <f>AM41</f>
        <v/>
      </c>
      <c r="AO42" t="inlineStr">
        <is>
          <t>60mL/3s/30s</t>
        </is>
      </c>
      <c r="AS42" s="1">
        <f>IF(AM42="", "", (AL42-AM42)*1000/(AK42-AK41))</f>
        <v/>
      </c>
      <c r="AT42" s="1">
        <f>IF(AS42="","",AS42/AP$2/3)</f>
        <v/>
      </c>
      <c r="AU42" s="1">
        <f>IF(AS42="","", 100*_xlfn.STDEV.P(AS41:AS42)/AVERAGE(AS41:AS42))</f>
        <v/>
      </c>
      <c r="AV42" s="8">
        <f t="array" ref="AV42">IF(AS42="","", IFERROR(((IF(AS$5&lt;&gt;"", AS$5*AK$5, 0) + SUMPRODUCT(--(AS$6:AS42&lt;&gt;""), AS$6:AS42, (AK$6:AK42-AK$5:AK41)))/1000), ""))</f>
        <v/>
      </c>
    </row>
    <row r="43">
      <c r="A43" s="1">
        <f>A42+10</f>
        <v/>
      </c>
      <c r="B43" s="1">
        <f>C42</f>
        <v/>
      </c>
      <c r="E43" t="inlineStr">
        <is>
          <t>60mL/3s/30s</t>
        </is>
      </c>
      <c r="I43" s="1">
        <f>IF(C43="", "", (B43-C43)*1000/(A43-A42))</f>
        <v/>
      </c>
      <c r="J43" s="1">
        <f>IF(I43="","",I43/F$2/3)</f>
        <v/>
      </c>
      <c r="K43" s="1">
        <f>IF(I43="","", 100*_xlfn.STDEV.P(I42:I43)/AVERAGE(I42:I43))</f>
        <v/>
      </c>
      <c r="L43" s="8">
        <f t="array" ref="L43">IF(I43="","", IFERROR(((IF(I$5&lt;&gt;"", I$5*A$5, 0) + SUMPRODUCT(--(I$6:I43&lt;&gt;""), I$6:I43, (A$6:A43-A$5:A42)))/1000), ""))</f>
        <v/>
      </c>
      <c r="M43" s="1">
        <f>M42+10</f>
        <v/>
      </c>
      <c r="N43" s="1">
        <f>O42</f>
        <v/>
      </c>
      <c r="Q43" t="inlineStr">
        <is>
          <t>60mL/3s/30s</t>
        </is>
      </c>
      <c r="U43" s="1">
        <f>IF(O43="", "", (N43-O43)*1000/(M43-M42))</f>
        <v/>
      </c>
      <c r="V43" s="1">
        <f>IF(U43="","",U43/R$2/3)</f>
        <v/>
      </c>
      <c r="W43" s="1">
        <f>IF(U43="","", 100*_xlfn.STDEV.P(U42:U43)/AVERAGE(U42:U43))</f>
        <v/>
      </c>
      <c r="X43" s="8">
        <f t="array" ref="X43">IF(U43="","", IFERROR(((IF(U$5&lt;&gt;"", U$5*M$5, 0) + SUMPRODUCT(--(U$6:U43&lt;&gt;""), U$6:U43, (M$6:M43-M$5:M42)))/1000), ""))</f>
        <v/>
      </c>
      <c r="Y43" s="1">
        <f>Y42+10</f>
        <v/>
      </c>
      <c r="Z43" s="1">
        <f>AA42</f>
        <v/>
      </c>
      <c r="AC43" t="inlineStr">
        <is>
          <t>60mL/3s/30s</t>
        </is>
      </c>
      <c r="AG43" s="1">
        <f>IF(AA43="", "", (Z43-AA43)*1000/(Y43-Y42))</f>
        <v/>
      </c>
      <c r="AH43" s="1">
        <f>IF(AG43="","",AG43/AD$2/3)</f>
        <v/>
      </c>
      <c r="AI43" s="1">
        <f>IF(AG43="","", 100*_xlfn.STDEV.P(AG42:AG43)/AVERAGE(AG42:AG43))</f>
        <v/>
      </c>
      <c r="AJ43" s="8">
        <f t="array" ref="AJ43">IF(AG43="","", IFERROR(((IF(AG$5&lt;&gt;"", AG$5*Y$5, 0) + SUMPRODUCT(--(AG$6:AG43&lt;&gt;""), AG$6:AG43, (Y$6:Y43-Y$5:Y42)))/1000), ""))</f>
        <v/>
      </c>
      <c r="AK43" s="1">
        <f>AK42+10</f>
        <v/>
      </c>
      <c r="AL43" s="1">
        <f>AM42</f>
        <v/>
      </c>
      <c r="AO43" t="inlineStr">
        <is>
          <t>60mL/3s/30s</t>
        </is>
      </c>
      <c r="AS43" s="1">
        <f>IF(AM43="", "", (AL43-AM43)*1000/(AK43-AK42))</f>
        <v/>
      </c>
      <c r="AT43" s="1">
        <f>IF(AS43="","",AS43/AP$2/3)</f>
        <v/>
      </c>
      <c r="AU43" s="1">
        <f>IF(AS43="","", 100*_xlfn.STDEV.P(AS42:AS43)/AVERAGE(AS42:AS43))</f>
        <v/>
      </c>
      <c r="AV43" s="8">
        <f t="array" ref="AV43">IF(AS43="","", IFERROR(((IF(AS$5&lt;&gt;"", AS$5*AK$5, 0) + SUMPRODUCT(--(AS$6:AS43&lt;&gt;""), AS$6:AS43, (AK$6:AK43-AK$5:AK42)))/1000), ""))</f>
        <v/>
      </c>
    </row>
    <row r="44">
      <c r="A44" s="1">
        <f>A43+10</f>
        <v/>
      </c>
      <c r="B44" s="1">
        <f>C43</f>
        <v/>
      </c>
      <c r="E44" t="inlineStr">
        <is>
          <t>60mL/3s/30s</t>
        </is>
      </c>
      <c r="I44" s="1">
        <f>IF(C44="", "", (B44-C44)*1000/(A44-A43))</f>
        <v/>
      </c>
      <c r="J44" s="1">
        <f>IF(I44="","",I44/F$2/3)</f>
        <v/>
      </c>
      <c r="K44" s="1">
        <f>IF(I44="","", 100*_xlfn.STDEV.P(I43:I44)/AVERAGE(I43:I44))</f>
        <v/>
      </c>
      <c r="L44" s="8">
        <f t="array" ref="L44">IF(I44="","", IFERROR(((IF(I$5&lt;&gt;"", I$5*A$5, 0) + SUMPRODUCT(--(I$6:I44&lt;&gt;""), I$6:I44, (A$6:A44-A$5:A43)))/1000), ""))</f>
        <v/>
      </c>
      <c r="M44" s="1">
        <f>M43+10</f>
        <v/>
      </c>
      <c r="N44" s="1">
        <f>O43</f>
        <v/>
      </c>
      <c r="Q44" t="inlineStr">
        <is>
          <t>60mL/3s/30s</t>
        </is>
      </c>
      <c r="U44" s="1">
        <f>IF(O44="", "", (N44-O44)*1000/(M44-M43))</f>
        <v/>
      </c>
      <c r="V44" s="1">
        <f>IF(U44="","",U44/R$2/3)</f>
        <v/>
      </c>
      <c r="W44" s="1">
        <f>IF(U44="","", 100*_xlfn.STDEV.P(U43:U44)/AVERAGE(U43:U44))</f>
        <v/>
      </c>
      <c r="X44" s="8">
        <f t="array" ref="X44">IF(U44="","", IFERROR(((IF(U$5&lt;&gt;"", U$5*M$5, 0) + SUMPRODUCT(--(U$6:U44&lt;&gt;""), U$6:U44, (M$6:M44-M$5:M43)))/1000), ""))</f>
        <v/>
      </c>
      <c r="Y44" s="1">
        <f>Y43+10</f>
        <v/>
      </c>
      <c r="Z44" s="1">
        <f>AA43</f>
        <v/>
      </c>
      <c r="AC44" t="inlineStr">
        <is>
          <t>60mL/3s/30s</t>
        </is>
      </c>
      <c r="AG44" s="1">
        <f>IF(AA44="", "", (Z44-AA44)*1000/(Y44-Y43))</f>
        <v/>
      </c>
      <c r="AH44" s="1">
        <f>IF(AG44="","",AG44/AD$2/3)</f>
        <v/>
      </c>
      <c r="AI44" s="1">
        <f>IF(AG44="","", 100*_xlfn.STDEV.P(AG43:AG44)/AVERAGE(AG43:AG44))</f>
        <v/>
      </c>
      <c r="AJ44" s="8">
        <f t="array" ref="AJ44">IF(AG44="","", IFERROR(((IF(AG$5&lt;&gt;"", AG$5*Y$5, 0) + SUMPRODUCT(--(AG$6:AG44&lt;&gt;""), AG$6:AG44, (Y$6:Y44-Y$5:Y43)))/1000), ""))</f>
        <v/>
      </c>
      <c r="AK44" s="1">
        <f>AK43+10</f>
        <v/>
      </c>
      <c r="AL44" s="1">
        <f>AM43</f>
        <v/>
      </c>
      <c r="AO44" t="inlineStr">
        <is>
          <t>60mL/3s/30s</t>
        </is>
      </c>
      <c r="AS44" s="1">
        <f>IF(AM44="", "", (AL44-AM44)*1000/(AK44-AK43))</f>
        <v/>
      </c>
      <c r="AT44" s="1">
        <f>IF(AS44="","",AS44/AP$2/3)</f>
        <v/>
      </c>
      <c r="AU44" s="1">
        <f>IF(AS44="","", 100*_xlfn.STDEV.P(AS43:AS44)/AVERAGE(AS43:AS44))</f>
        <v/>
      </c>
      <c r="AV44" s="8">
        <f t="array" ref="AV44">IF(AS44="","", IFERROR(((IF(AS$5&lt;&gt;"", AS$5*AK$5, 0) + SUMPRODUCT(--(AS$6:AS44&lt;&gt;""), AS$6:AS44, (AK$6:AK44-AK$5:AK43)))/1000), ""))</f>
        <v/>
      </c>
    </row>
    <row r="45">
      <c r="A45" s="1">
        <f>A44+10</f>
        <v/>
      </c>
      <c r="B45" s="1">
        <f>C44</f>
        <v/>
      </c>
      <c r="E45" t="inlineStr">
        <is>
          <t>60mL/3s/30s</t>
        </is>
      </c>
      <c r="I45" s="1">
        <f>IF(C45="", "", (B45-C45)*1000/(A45-A44))</f>
        <v/>
      </c>
      <c r="J45" s="1">
        <f>IF(I45="","",I45/F$2/3)</f>
        <v/>
      </c>
      <c r="K45" s="1">
        <f>IF(I45="","", 100*_xlfn.STDEV.P(I44:I45)/AVERAGE(I44:I45))</f>
        <v/>
      </c>
      <c r="L45" s="8">
        <f t="array" ref="L45">IF(I45="","", IFERROR(((IF(I$5&lt;&gt;"", I$5*A$5, 0) + SUMPRODUCT(--(I$6:I45&lt;&gt;""), I$6:I45, (A$6:A45-A$5:A44)))/1000), ""))</f>
        <v/>
      </c>
      <c r="M45" s="1">
        <f>M44+10</f>
        <v/>
      </c>
      <c r="N45" s="1">
        <f>O44</f>
        <v/>
      </c>
      <c r="Q45" t="inlineStr">
        <is>
          <t>60mL/3s/30s</t>
        </is>
      </c>
      <c r="U45" s="1">
        <f>IF(O45="", "", (N45-O45)*1000/(M45-M44))</f>
        <v/>
      </c>
      <c r="V45" s="1">
        <f>IF(U45="","",U45/R$2/3)</f>
        <v/>
      </c>
      <c r="W45" s="1">
        <f>IF(U45="","", 100*_xlfn.STDEV.P(U44:U45)/AVERAGE(U44:U45))</f>
        <v/>
      </c>
      <c r="X45" s="8">
        <f t="array" ref="X45">IF(U45="","", IFERROR(((IF(U$5&lt;&gt;"", U$5*M$5, 0) + SUMPRODUCT(--(U$6:U45&lt;&gt;""), U$6:U45, (M$6:M45-M$5:M44)))/1000), ""))</f>
        <v/>
      </c>
      <c r="Y45" s="1">
        <f>Y44+10</f>
        <v/>
      </c>
      <c r="Z45" s="1">
        <f>AA44</f>
        <v/>
      </c>
      <c r="AC45" t="inlineStr">
        <is>
          <t>60mL/3s/30s</t>
        </is>
      </c>
      <c r="AG45" s="1">
        <f>IF(AA45="", "", (Z45-AA45)*1000/(Y45-Y44))</f>
        <v/>
      </c>
      <c r="AH45" s="1">
        <f>IF(AG45="","",AG45/AD$2/3)</f>
        <v/>
      </c>
      <c r="AI45" s="1">
        <f>IF(AG45="","", 100*_xlfn.STDEV.P(AG44:AG45)/AVERAGE(AG44:AG45))</f>
        <v/>
      </c>
      <c r="AJ45" s="8">
        <f t="array" ref="AJ45">IF(AG45="","", IFERROR(((IF(AG$5&lt;&gt;"", AG$5*Y$5, 0) + SUMPRODUCT(--(AG$6:AG45&lt;&gt;""), AG$6:AG45, (Y$6:Y45-Y$5:Y44)))/1000), ""))</f>
        <v/>
      </c>
      <c r="AK45" s="1">
        <f>AK44+10</f>
        <v/>
      </c>
      <c r="AL45" s="1">
        <f>AM44</f>
        <v/>
      </c>
      <c r="AO45" t="inlineStr">
        <is>
          <t>60mL/3s/30s</t>
        </is>
      </c>
      <c r="AS45" s="1">
        <f>IF(AM45="", "", (AL45-AM45)*1000/(AK45-AK44))</f>
        <v/>
      </c>
      <c r="AT45" s="1">
        <f>IF(AS45="","",AS45/AP$2/3)</f>
        <v/>
      </c>
      <c r="AU45" s="1">
        <f>IF(AS45="","", 100*_xlfn.STDEV.P(AS44:AS45)/AVERAGE(AS44:AS45))</f>
        <v/>
      </c>
      <c r="AV45" s="8">
        <f t="array" ref="AV45">IF(AS45="","", IFERROR(((IF(AS$5&lt;&gt;"", AS$5*AK$5, 0) + SUMPRODUCT(--(AS$6:AS45&lt;&gt;""), AS$6:AS45, (AK$6:AK45-AK$5:AK44)))/1000), ""))</f>
        <v/>
      </c>
    </row>
    <row r="46">
      <c r="A46" s="1">
        <f>A45+10</f>
        <v/>
      </c>
      <c r="B46" s="1">
        <f>C45</f>
        <v/>
      </c>
      <c r="E46" t="inlineStr">
        <is>
          <t>60mL/3s/30s</t>
        </is>
      </c>
      <c r="I46" s="1">
        <f>IF(C46="", "", (B46-C46)*1000/(A46-A45))</f>
        <v/>
      </c>
      <c r="J46" s="1">
        <f>IF(I46="","",I46/F$2/3)</f>
        <v/>
      </c>
      <c r="K46" s="1">
        <f>IF(I46="","", 100*_xlfn.STDEV.P(I45:I46)/AVERAGE(I45:I46))</f>
        <v/>
      </c>
      <c r="L46" s="8">
        <f t="array" ref="L46">IF(I46="","", IFERROR(((IF(I$5&lt;&gt;"", I$5*A$5, 0) + SUMPRODUCT(--(I$6:I46&lt;&gt;""), I$6:I46, (A$6:A46-A$5:A45)))/1000), ""))</f>
        <v/>
      </c>
      <c r="M46" s="1">
        <f>M45+10</f>
        <v/>
      </c>
      <c r="N46" s="1">
        <f>O45</f>
        <v/>
      </c>
      <c r="Q46" t="inlineStr">
        <is>
          <t>60mL/3s/30s</t>
        </is>
      </c>
      <c r="U46" s="1">
        <f>IF(O46="", "", (N46-O46)*1000/(M46-M45))</f>
        <v/>
      </c>
      <c r="V46" s="1">
        <f>IF(U46="","",U46/R$2/3)</f>
        <v/>
      </c>
      <c r="W46" s="1">
        <f>IF(U46="","", 100*_xlfn.STDEV.P(U45:U46)/AVERAGE(U45:U46))</f>
        <v/>
      </c>
      <c r="X46" s="8">
        <f t="array" ref="X46">IF(U46="","", IFERROR(((IF(U$5&lt;&gt;"", U$5*M$5, 0) + SUMPRODUCT(--(U$6:U46&lt;&gt;""), U$6:U46, (M$6:M46-M$5:M45)))/1000), ""))</f>
        <v/>
      </c>
      <c r="Y46" s="1">
        <f>Y45+10</f>
        <v/>
      </c>
      <c r="Z46" s="1">
        <f>AA45</f>
        <v/>
      </c>
      <c r="AC46" t="inlineStr">
        <is>
          <t>60mL/3s/30s</t>
        </is>
      </c>
      <c r="AG46" s="1">
        <f>IF(AA46="", "", (Z46-AA46)*1000/(Y46-Y45))</f>
        <v/>
      </c>
      <c r="AH46" s="1">
        <f>IF(AG46="","",AG46/AD$2/3)</f>
        <v/>
      </c>
      <c r="AI46" s="1">
        <f>IF(AG46="","", 100*_xlfn.STDEV.P(AG45:AG46)/AVERAGE(AG45:AG46))</f>
        <v/>
      </c>
      <c r="AJ46" s="8">
        <f t="array" ref="AJ46">IF(AG46="","", IFERROR(((IF(AG$5&lt;&gt;"", AG$5*Y$5, 0) + SUMPRODUCT(--(AG$6:AG46&lt;&gt;""), AG$6:AG46, (Y$6:Y46-Y$5:Y45)))/1000), ""))</f>
        <v/>
      </c>
      <c r="AK46" s="1">
        <f>AK45+10</f>
        <v/>
      </c>
      <c r="AL46" s="1">
        <f>AM45</f>
        <v/>
      </c>
      <c r="AO46" t="inlineStr">
        <is>
          <t>60mL/3s/30s</t>
        </is>
      </c>
      <c r="AS46" s="1">
        <f>IF(AM46="", "", (AL46-AM46)*1000/(AK46-AK45))</f>
        <v/>
      </c>
      <c r="AT46" s="1">
        <f>IF(AS46="","",AS46/AP$2/3)</f>
        <v/>
      </c>
      <c r="AU46" s="1">
        <f>IF(AS46="","", 100*_xlfn.STDEV.P(AS45:AS46)/AVERAGE(AS45:AS46))</f>
        <v/>
      </c>
      <c r="AV46" s="8">
        <f t="array" ref="AV46">IF(AS46="","", IFERROR(((IF(AS$5&lt;&gt;"", AS$5*AK$5, 0) + SUMPRODUCT(--(AS$6:AS46&lt;&gt;""), AS$6:AS46, (AK$6:AK46-AK$5:AK45)))/1000), ""))</f>
        <v/>
      </c>
    </row>
    <row r="47">
      <c r="A47" s="1">
        <f>A46+10</f>
        <v/>
      </c>
      <c r="B47" s="1">
        <f>C46</f>
        <v/>
      </c>
      <c r="E47" t="inlineStr">
        <is>
          <t>60mL/3s/30s</t>
        </is>
      </c>
      <c r="I47" s="1">
        <f>IF(C47="", "", (B47-C47)*1000/(A47-A46))</f>
        <v/>
      </c>
      <c r="J47" s="1">
        <f>IF(I47="","",I47/F$2/3)</f>
        <v/>
      </c>
      <c r="K47" s="1">
        <f>IF(I47="","", 100*_xlfn.STDEV.P(I46:I47)/AVERAGE(I46:I47))</f>
        <v/>
      </c>
      <c r="L47" s="8">
        <f t="array" ref="L47">IF(I47="","", IFERROR(((IF(I$5&lt;&gt;"", I$5*A$5, 0) + SUMPRODUCT(--(I$6:I47&lt;&gt;""), I$6:I47, (A$6:A47-A$5:A46)))/1000), ""))</f>
        <v/>
      </c>
      <c r="M47" s="1">
        <f>M46+10</f>
        <v/>
      </c>
      <c r="N47" s="1">
        <f>O46</f>
        <v/>
      </c>
      <c r="Q47" t="inlineStr">
        <is>
          <t>60mL/3s/30s</t>
        </is>
      </c>
      <c r="U47" s="1">
        <f>IF(O47="", "", (N47-O47)*1000/(M47-M46))</f>
        <v/>
      </c>
      <c r="V47" s="1">
        <f>IF(U47="","",U47/R$2/3)</f>
        <v/>
      </c>
      <c r="W47" s="1">
        <f>IF(U47="","", 100*_xlfn.STDEV.P(U46:U47)/AVERAGE(U46:U47))</f>
        <v/>
      </c>
      <c r="X47" s="8">
        <f t="array" ref="X47">IF(U47="","", IFERROR(((IF(U$5&lt;&gt;"", U$5*M$5, 0) + SUMPRODUCT(--(U$6:U47&lt;&gt;""), U$6:U47, (M$6:M47-M$5:M46)))/1000), ""))</f>
        <v/>
      </c>
      <c r="Y47" s="1">
        <f>Y46+10</f>
        <v/>
      </c>
      <c r="Z47" s="1">
        <f>AA46</f>
        <v/>
      </c>
      <c r="AC47" t="inlineStr">
        <is>
          <t>60mL/3s/30s</t>
        </is>
      </c>
      <c r="AG47" s="1">
        <f>IF(AA47="", "", (Z47-AA47)*1000/(Y47-Y46))</f>
        <v/>
      </c>
      <c r="AH47" s="1">
        <f>IF(AG47="","",AG47/AD$2/3)</f>
        <v/>
      </c>
      <c r="AI47" s="1">
        <f>IF(AG47="","", 100*_xlfn.STDEV.P(AG46:AG47)/AVERAGE(AG46:AG47))</f>
        <v/>
      </c>
      <c r="AJ47" s="8">
        <f t="array" ref="AJ47">IF(AG47="","", IFERROR(((IF(AG$5&lt;&gt;"", AG$5*Y$5, 0) + SUMPRODUCT(--(AG$6:AG47&lt;&gt;""), AG$6:AG47, (Y$6:Y47-Y$5:Y46)))/1000), ""))</f>
        <v/>
      </c>
      <c r="AK47" s="1">
        <f>AK46+10</f>
        <v/>
      </c>
      <c r="AL47" s="1">
        <f>AM46</f>
        <v/>
      </c>
      <c r="AO47" t="inlineStr">
        <is>
          <t>60mL/3s/30s</t>
        </is>
      </c>
      <c r="AS47" s="1">
        <f>IF(AM47="", "", (AL47-AM47)*1000/(AK47-AK46))</f>
        <v/>
      </c>
      <c r="AT47" s="1">
        <f>IF(AS47="","",AS47/AP$2/3)</f>
        <v/>
      </c>
      <c r="AU47" s="1">
        <f>IF(AS47="","", 100*_xlfn.STDEV.P(AS46:AS47)/AVERAGE(AS46:AS47))</f>
        <v/>
      </c>
      <c r="AV47" s="8">
        <f t="array" ref="AV47">IF(AS47="","", IFERROR(((IF(AS$5&lt;&gt;"", AS$5*AK$5, 0) + SUMPRODUCT(--(AS$6:AS47&lt;&gt;""), AS$6:AS47, (AK$6:AK47-AK$5:AK46)))/1000), ""))</f>
        <v/>
      </c>
    </row>
    <row r="48">
      <c r="A48" s="1">
        <f>A47+10</f>
        <v/>
      </c>
      <c r="B48" s="1">
        <f>C47</f>
        <v/>
      </c>
      <c r="E48" t="inlineStr">
        <is>
          <t>60mL/3s/30s</t>
        </is>
      </c>
      <c r="I48" s="1">
        <f>IF(C48="", "", (B48-C48)*1000/(A48-A47))</f>
        <v/>
      </c>
      <c r="J48" s="1">
        <f>IF(I48="","",I48/F$2/3)</f>
        <v/>
      </c>
      <c r="K48" s="1">
        <f>IF(I48="","", 100*_xlfn.STDEV.P(I47:I48)/AVERAGE(I47:I48))</f>
        <v/>
      </c>
      <c r="L48" s="8">
        <f t="array" ref="L48">IF(I48="","", IFERROR(((IF(I$5&lt;&gt;"", I$5*A$5, 0) + SUMPRODUCT(--(I$6:I48&lt;&gt;""), I$6:I48, (A$6:A48-A$5:A47)))/1000), ""))</f>
        <v/>
      </c>
      <c r="M48" s="1">
        <f>M47+10</f>
        <v/>
      </c>
      <c r="N48" s="1">
        <f>O47</f>
        <v/>
      </c>
      <c r="Q48" t="inlineStr">
        <is>
          <t>60mL/3s/30s</t>
        </is>
      </c>
      <c r="U48" s="1">
        <f>IF(O48="", "", (N48-O48)*1000/(M48-M47))</f>
        <v/>
      </c>
      <c r="V48" s="1">
        <f>IF(U48="","",U48/R$2/3)</f>
        <v/>
      </c>
      <c r="W48" s="1">
        <f>IF(U48="","", 100*_xlfn.STDEV.P(U47:U48)/AVERAGE(U47:U48))</f>
        <v/>
      </c>
      <c r="X48" s="8">
        <f t="array" ref="X48">IF(U48="","", IFERROR(((IF(U$5&lt;&gt;"", U$5*M$5, 0) + SUMPRODUCT(--(U$6:U48&lt;&gt;""), U$6:U48, (M$6:M48-M$5:M47)))/1000), ""))</f>
        <v/>
      </c>
      <c r="Y48" s="1">
        <f>Y47+10</f>
        <v/>
      </c>
      <c r="Z48" s="1">
        <f>AA47</f>
        <v/>
      </c>
      <c r="AC48" t="inlineStr">
        <is>
          <t>60mL/3s/30s</t>
        </is>
      </c>
      <c r="AG48" s="1">
        <f>IF(AA48="", "", (Z48-AA48)*1000/(Y48-Y47))</f>
        <v/>
      </c>
      <c r="AH48" s="1">
        <f>IF(AG48="","",AG48/AD$2/3)</f>
        <v/>
      </c>
      <c r="AI48" s="1">
        <f>IF(AG48="","", 100*_xlfn.STDEV.P(AG47:AG48)/AVERAGE(AG47:AG48))</f>
        <v/>
      </c>
      <c r="AJ48" s="8">
        <f t="array" ref="AJ48">IF(AG48="","", IFERROR(((IF(AG$5&lt;&gt;"", AG$5*Y$5, 0) + SUMPRODUCT(--(AG$6:AG48&lt;&gt;""), AG$6:AG48, (Y$6:Y48-Y$5:Y47)))/1000), ""))</f>
        <v/>
      </c>
      <c r="AK48" s="1">
        <f>AK47+10</f>
        <v/>
      </c>
      <c r="AL48" s="1">
        <f>AM47</f>
        <v/>
      </c>
      <c r="AO48" t="inlineStr">
        <is>
          <t>60mL/3s/30s</t>
        </is>
      </c>
      <c r="AS48" s="1">
        <f>IF(AM48="", "", (AL48-AM48)*1000/(AK48-AK47))</f>
        <v/>
      </c>
      <c r="AT48" s="1">
        <f>IF(AS48="","",AS48/AP$2/3)</f>
        <v/>
      </c>
      <c r="AU48" s="1">
        <f>IF(AS48="","", 100*_xlfn.STDEV.P(AS47:AS48)/AVERAGE(AS47:AS48))</f>
        <v/>
      </c>
      <c r="AV48" s="8">
        <f t="array" ref="AV48">IF(AS48="","", IFERROR(((IF(AS$5&lt;&gt;"", AS$5*AK$5, 0) + SUMPRODUCT(--(AS$6:AS48&lt;&gt;""), AS$6:AS48, (AK$6:AK48-AK$5:AK47)))/1000), ""))</f>
        <v/>
      </c>
    </row>
    <row r="49">
      <c r="A49" s="1">
        <f>A48+10</f>
        <v/>
      </c>
      <c r="B49" s="1">
        <f>C48</f>
        <v/>
      </c>
      <c r="E49" t="inlineStr">
        <is>
          <t>60mL/3s/30s</t>
        </is>
      </c>
      <c r="I49" s="1">
        <f>IF(C49="", "", (B49-C49)*1000/(A49-A48))</f>
        <v/>
      </c>
      <c r="J49" s="1">
        <f>IF(I49="","",I49/F$2/3)</f>
        <v/>
      </c>
      <c r="K49" s="1">
        <f>IF(I49="","", 100*_xlfn.STDEV.P(I48:I49)/AVERAGE(I48:I49))</f>
        <v/>
      </c>
      <c r="L49" s="8">
        <f t="array" ref="L49">IF(I49="","", IFERROR(((IF(I$5&lt;&gt;"", I$5*A$5, 0) + SUMPRODUCT(--(I$6:I49&lt;&gt;""), I$6:I49, (A$6:A49-A$5:A48)))/1000), ""))</f>
        <v/>
      </c>
      <c r="M49" s="1">
        <f>M48+10</f>
        <v/>
      </c>
      <c r="N49" s="1">
        <f>O48</f>
        <v/>
      </c>
      <c r="Q49" t="inlineStr">
        <is>
          <t>60mL/3s/30s</t>
        </is>
      </c>
      <c r="U49" s="1">
        <f>IF(O49="", "", (N49-O49)*1000/(M49-M48))</f>
        <v/>
      </c>
      <c r="V49" s="1">
        <f>IF(U49="","",U49/R$2/3)</f>
        <v/>
      </c>
      <c r="W49" s="1">
        <f>IF(U49="","", 100*_xlfn.STDEV.P(U48:U49)/AVERAGE(U48:U49))</f>
        <v/>
      </c>
      <c r="X49" s="8">
        <f t="array" ref="X49">IF(U49="","", IFERROR(((IF(U$5&lt;&gt;"", U$5*M$5, 0) + SUMPRODUCT(--(U$6:U49&lt;&gt;""), U$6:U49, (M$6:M49-M$5:M48)))/1000), ""))</f>
        <v/>
      </c>
      <c r="Y49" s="1">
        <f>Y48+10</f>
        <v/>
      </c>
      <c r="Z49" s="1">
        <f>AA48</f>
        <v/>
      </c>
      <c r="AC49" t="inlineStr">
        <is>
          <t>60mL/3s/30s</t>
        </is>
      </c>
      <c r="AG49" s="1">
        <f>IF(AA49="", "", (Z49-AA49)*1000/(Y49-Y48))</f>
        <v/>
      </c>
      <c r="AH49" s="1">
        <f>IF(AG49="","",AG49/AD$2/3)</f>
        <v/>
      </c>
      <c r="AI49" s="1">
        <f>IF(AG49="","", 100*_xlfn.STDEV.P(AG48:AG49)/AVERAGE(AG48:AG49))</f>
        <v/>
      </c>
      <c r="AJ49" s="8">
        <f t="array" ref="AJ49">IF(AG49="","", IFERROR(((IF(AG$5&lt;&gt;"", AG$5*Y$5, 0) + SUMPRODUCT(--(AG$6:AG49&lt;&gt;""), AG$6:AG49, (Y$6:Y49-Y$5:Y48)))/1000), ""))</f>
        <v/>
      </c>
      <c r="AK49" s="1">
        <f>AK48+10</f>
        <v/>
      </c>
      <c r="AL49" s="1">
        <f>AM48</f>
        <v/>
      </c>
      <c r="AO49" t="inlineStr">
        <is>
          <t>60mL/3s/30s</t>
        </is>
      </c>
      <c r="AS49" s="1">
        <f>IF(AM49="", "", (AL49-AM49)*1000/(AK49-AK48))</f>
        <v/>
      </c>
      <c r="AT49" s="1">
        <f>IF(AS49="","",AS49/AP$2/3)</f>
        <v/>
      </c>
      <c r="AU49" s="1">
        <f>IF(AS49="","", 100*_xlfn.STDEV.P(AS48:AS49)/AVERAGE(AS48:AS49))</f>
        <v/>
      </c>
      <c r="AV49" s="8">
        <f t="array" ref="AV49">IF(AS49="","", IFERROR(((IF(AS$5&lt;&gt;"", AS$5*AK$5, 0) + SUMPRODUCT(--(AS$6:AS49&lt;&gt;""), AS$6:AS49, (AK$6:AK49-AK$5:AK48)))/1000), ""))</f>
        <v/>
      </c>
    </row>
    <row r="50">
      <c r="A50" s="1">
        <f>A49+10</f>
        <v/>
      </c>
      <c r="B50" s="1">
        <f>C49</f>
        <v/>
      </c>
      <c r="E50" t="inlineStr">
        <is>
          <t>60mL/3s/30s</t>
        </is>
      </c>
      <c r="I50" s="1">
        <f>IF(C50="", "", (B50-C50)*1000/(A50-A49))</f>
        <v/>
      </c>
      <c r="J50" s="1">
        <f>IF(I50="","",I50/F$2/3)</f>
        <v/>
      </c>
      <c r="K50" s="1">
        <f>IF(I50="","", 100*_xlfn.STDEV.P(I49:I50)/AVERAGE(I49:I50))</f>
        <v/>
      </c>
      <c r="L50" s="8">
        <f t="array" ref="L50">IF(I50="","", IFERROR(((IF(I$5&lt;&gt;"", I$5*A$5, 0) + SUMPRODUCT(--(I$6:I50&lt;&gt;""), I$6:I50, (A$6:A50-A$5:A49)))/1000), ""))</f>
        <v/>
      </c>
      <c r="M50" s="1">
        <f>M49+10</f>
        <v/>
      </c>
      <c r="N50" s="1">
        <f>O49</f>
        <v/>
      </c>
      <c r="Q50" t="inlineStr">
        <is>
          <t>60mL/3s/30s</t>
        </is>
      </c>
      <c r="U50" s="1">
        <f>IF(O50="", "", (N50-O50)*1000/(M50-M49))</f>
        <v/>
      </c>
      <c r="V50" s="1">
        <f>IF(U50="","",U50/R$2/3)</f>
        <v/>
      </c>
      <c r="W50" s="1">
        <f>IF(U50="","", 100*_xlfn.STDEV.P(U49:U50)/AVERAGE(U49:U50))</f>
        <v/>
      </c>
      <c r="X50" s="8">
        <f t="array" ref="X50">IF(U50="","", IFERROR(((IF(U$5&lt;&gt;"", U$5*M$5, 0) + SUMPRODUCT(--(U$6:U50&lt;&gt;""), U$6:U50, (M$6:M50-M$5:M49)))/1000), ""))</f>
        <v/>
      </c>
      <c r="Y50" s="1">
        <f>Y49+10</f>
        <v/>
      </c>
      <c r="Z50" s="1">
        <f>AA49</f>
        <v/>
      </c>
      <c r="AC50" t="inlineStr">
        <is>
          <t>60mL/3s/30s</t>
        </is>
      </c>
      <c r="AG50" s="1">
        <f>IF(AA50="", "", (Z50-AA50)*1000/(Y50-Y49))</f>
        <v/>
      </c>
      <c r="AH50" s="1">
        <f>IF(AG50="","",AG50/AD$2/3)</f>
        <v/>
      </c>
      <c r="AI50" s="1">
        <f>IF(AG50="","", 100*_xlfn.STDEV.P(AG49:AG50)/AVERAGE(AG49:AG50))</f>
        <v/>
      </c>
      <c r="AJ50" s="8">
        <f t="array" ref="AJ50">IF(AG50="","", IFERROR(((IF(AG$5&lt;&gt;"", AG$5*Y$5, 0) + SUMPRODUCT(--(AG$6:AG50&lt;&gt;""), AG$6:AG50, (Y$6:Y50-Y$5:Y49)))/1000), ""))</f>
        <v/>
      </c>
      <c r="AK50" s="1">
        <f>AK49+10</f>
        <v/>
      </c>
      <c r="AL50" s="1">
        <f>AM49</f>
        <v/>
      </c>
      <c r="AO50" t="inlineStr">
        <is>
          <t>60mL/3s/30s</t>
        </is>
      </c>
      <c r="AS50" s="1">
        <f>IF(AM50="", "", (AL50-AM50)*1000/(AK50-AK49))</f>
        <v/>
      </c>
      <c r="AT50" s="1">
        <f>IF(AS50="","",AS50/AP$2/3)</f>
        <v/>
      </c>
      <c r="AU50" s="1">
        <f>IF(AS50="","", 100*_xlfn.STDEV.P(AS49:AS50)/AVERAGE(AS49:AS50))</f>
        <v/>
      </c>
      <c r="AV50" s="8">
        <f t="array" ref="AV50">IF(AS50="","", IFERROR(((IF(AS$5&lt;&gt;"", AS$5*AK$5, 0) + SUMPRODUCT(--(AS$6:AS50&lt;&gt;""), AS$6:AS50, (AK$6:AK50-AK$5:AK49)))/1000), ""))</f>
        <v/>
      </c>
    </row>
    <row r="51">
      <c r="A51" s="1">
        <f>A50+10</f>
        <v/>
      </c>
      <c r="B51" s="1">
        <f>C50</f>
        <v/>
      </c>
      <c r="E51" t="inlineStr">
        <is>
          <t>60mL/3s/30s</t>
        </is>
      </c>
      <c r="I51" s="1">
        <f>IF(C51="", "", (B51-C51)*1000/(A51-A50))</f>
        <v/>
      </c>
      <c r="J51" s="1">
        <f>IF(I51="","",I51/F$2/3)</f>
        <v/>
      </c>
      <c r="K51" s="1">
        <f>IF(I51="","", 100*_xlfn.STDEV.P(I50:I51)/AVERAGE(I50:I51))</f>
        <v/>
      </c>
      <c r="L51" s="8">
        <f t="array" ref="L51">IF(I51="","", IFERROR(((IF(I$5&lt;&gt;"", I$5*A$5, 0) + SUMPRODUCT(--(I$6:I51&lt;&gt;""), I$6:I51, (A$6:A51-A$5:A50)))/1000), ""))</f>
        <v/>
      </c>
      <c r="M51" s="1">
        <f>M50+10</f>
        <v/>
      </c>
      <c r="N51" s="1">
        <f>O50</f>
        <v/>
      </c>
      <c r="Q51" t="inlineStr">
        <is>
          <t>60mL/3s/30s</t>
        </is>
      </c>
      <c r="U51" s="1">
        <f>IF(O51="", "", (N51-O51)*1000/(M51-M50))</f>
        <v/>
      </c>
      <c r="V51" s="1">
        <f>IF(U51="","",U51/R$2/3)</f>
        <v/>
      </c>
      <c r="W51" s="1">
        <f>IF(U51="","", 100*_xlfn.STDEV.P(U50:U51)/AVERAGE(U50:U51))</f>
        <v/>
      </c>
      <c r="X51" s="8">
        <f t="array" ref="X51">IF(U51="","", IFERROR(((IF(U$5&lt;&gt;"", U$5*M$5, 0) + SUMPRODUCT(--(U$6:U51&lt;&gt;""), U$6:U51, (M$6:M51-M$5:M50)))/1000), ""))</f>
        <v/>
      </c>
      <c r="Y51" s="1">
        <f>Y50+10</f>
        <v/>
      </c>
      <c r="Z51" s="1">
        <f>AA50</f>
        <v/>
      </c>
      <c r="AC51" t="inlineStr">
        <is>
          <t>60mL/3s/30s</t>
        </is>
      </c>
      <c r="AG51" s="1">
        <f>IF(AA51="", "", (Z51-AA51)*1000/(Y51-Y50))</f>
        <v/>
      </c>
      <c r="AH51" s="1">
        <f>IF(AG51="","",AG51/AD$2/3)</f>
        <v/>
      </c>
      <c r="AI51" s="1">
        <f>IF(AG51="","", 100*_xlfn.STDEV.P(AG50:AG51)/AVERAGE(AG50:AG51))</f>
        <v/>
      </c>
      <c r="AJ51" s="8">
        <f t="array" ref="AJ51">IF(AG51="","", IFERROR(((IF(AG$5&lt;&gt;"", AG$5*Y$5, 0) + SUMPRODUCT(--(AG$6:AG51&lt;&gt;""), AG$6:AG51, (Y$6:Y51-Y$5:Y50)))/1000), ""))</f>
        <v/>
      </c>
      <c r="AK51" s="1">
        <f>AK50+10</f>
        <v/>
      </c>
      <c r="AL51" s="1">
        <f>AM50</f>
        <v/>
      </c>
      <c r="AO51" t="inlineStr">
        <is>
          <t>60mL/3s/30s</t>
        </is>
      </c>
      <c r="AS51" s="1">
        <f>IF(AM51="", "", (AL51-AM51)*1000/(AK51-AK50))</f>
        <v/>
      </c>
      <c r="AT51" s="1">
        <f>IF(AS51="","",AS51/AP$2/3)</f>
        <v/>
      </c>
      <c r="AU51" s="1">
        <f>IF(AS51="","", 100*_xlfn.STDEV.P(AS50:AS51)/AVERAGE(AS50:AS51))</f>
        <v/>
      </c>
      <c r="AV51" s="8">
        <f t="array" ref="AV51">IF(AS51="","", IFERROR(((IF(AS$5&lt;&gt;"", AS$5*AK$5, 0) + SUMPRODUCT(--(AS$6:AS51&lt;&gt;""), AS$6:AS51, (AK$6:AK51-AK$5:AK50)))/1000), ""))</f>
        <v/>
      </c>
    </row>
    <row r="52">
      <c r="A52" s="1">
        <f>A51+10</f>
        <v/>
      </c>
      <c r="B52" s="1">
        <f>C51</f>
        <v/>
      </c>
      <c r="E52" t="inlineStr">
        <is>
          <t>60mL/3s/30s</t>
        </is>
      </c>
      <c r="I52" s="1">
        <f>IF(C52="", "", (B52-C52)*1000/(A52-A51))</f>
        <v/>
      </c>
      <c r="J52" s="1">
        <f>IF(I52="","",I52/F$2/3)</f>
        <v/>
      </c>
      <c r="K52" s="1">
        <f>IF(I52="","", 100*_xlfn.STDEV.P(I51:I52)/AVERAGE(I51:I52))</f>
        <v/>
      </c>
      <c r="L52" s="8">
        <f t="array" ref="L52">IF(I52="","", IFERROR(((IF(I$5&lt;&gt;"", I$5*A$5, 0) + SUMPRODUCT(--(I$6:I52&lt;&gt;""), I$6:I52, (A$6:A52-A$5:A51)))/1000), ""))</f>
        <v/>
      </c>
      <c r="M52" s="1">
        <f>M51+10</f>
        <v/>
      </c>
      <c r="N52" s="1">
        <f>O51</f>
        <v/>
      </c>
      <c r="Q52" t="inlineStr">
        <is>
          <t>60mL/3s/30s</t>
        </is>
      </c>
      <c r="U52" s="1">
        <f>IF(O52="", "", (N52-O52)*1000/(M52-M51))</f>
        <v/>
      </c>
      <c r="V52" s="1">
        <f>IF(U52="","",U52/R$2/3)</f>
        <v/>
      </c>
      <c r="W52" s="1">
        <f>IF(U52="","", 100*_xlfn.STDEV.P(U51:U52)/AVERAGE(U51:U52))</f>
        <v/>
      </c>
      <c r="X52" s="8">
        <f t="array" ref="X52">IF(U52="","", IFERROR(((IF(U$5&lt;&gt;"", U$5*M$5, 0) + SUMPRODUCT(--(U$6:U52&lt;&gt;""), U$6:U52, (M$6:M52-M$5:M51)))/1000), ""))</f>
        <v/>
      </c>
      <c r="Y52" s="1">
        <f>Y51+10</f>
        <v/>
      </c>
      <c r="Z52" s="1">
        <f>AA51</f>
        <v/>
      </c>
      <c r="AC52" t="inlineStr">
        <is>
          <t>60mL/3s/30s</t>
        </is>
      </c>
      <c r="AG52" s="1">
        <f>IF(AA52="", "", (Z52-AA52)*1000/(Y52-Y51))</f>
        <v/>
      </c>
      <c r="AH52" s="1">
        <f>IF(AG52="","",AG52/AD$2/3)</f>
        <v/>
      </c>
      <c r="AI52" s="1">
        <f>IF(AG52="","", 100*_xlfn.STDEV.P(AG51:AG52)/AVERAGE(AG51:AG52))</f>
        <v/>
      </c>
      <c r="AJ52" s="8">
        <f t="array" ref="AJ52">IF(AG52="","", IFERROR(((IF(AG$5&lt;&gt;"", AG$5*Y$5, 0) + SUMPRODUCT(--(AG$6:AG52&lt;&gt;""), AG$6:AG52, (Y$6:Y52-Y$5:Y51)))/1000), ""))</f>
        <v/>
      </c>
      <c r="AK52" s="1">
        <f>AK51+10</f>
        <v/>
      </c>
      <c r="AL52" s="1">
        <f>AM51</f>
        <v/>
      </c>
      <c r="AO52" t="inlineStr">
        <is>
          <t>60mL/3s/30s</t>
        </is>
      </c>
      <c r="AS52" s="1">
        <f>IF(AM52="", "", (AL52-AM52)*1000/(AK52-AK51))</f>
        <v/>
      </c>
      <c r="AT52" s="1">
        <f>IF(AS52="","",AS52/AP$2/3)</f>
        <v/>
      </c>
      <c r="AU52" s="1">
        <f>IF(AS52="","", 100*_xlfn.STDEV.P(AS51:AS52)/AVERAGE(AS51:AS52))</f>
        <v/>
      </c>
      <c r="AV52" s="8">
        <f t="array" ref="AV52">IF(AS52="","", IFERROR(((IF(AS$5&lt;&gt;"", AS$5*AK$5, 0) + SUMPRODUCT(--(AS$6:AS52&lt;&gt;""), AS$6:AS52, (AK$6:AK52-AK$5:AK51)))/1000), ""))</f>
        <v/>
      </c>
    </row>
    <row r="53">
      <c r="A53" s="1">
        <f>A52+10</f>
        <v/>
      </c>
      <c r="B53" s="1">
        <f>C52</f>
        <v/>
      </c>
      <c r="E53" t="inlineStr">
        <is>
          <t>60mL/3s/30s</t>
        </is>
      </c>
      <c r="I53" s="1">
        <f>IF(C53="", "", (B53-C53)*1000/(A53-A52))</f>
        <v/>
      </c>
      <c r="J53" s="1">
        <f>IF(I53="","",I53/F$2/3)</f>
        <v/>
      </c>
      <c r="K53" s="1">
        <f>IF(I53="","", 100*_xlfn.STDEV.P(I52:I53)/AVERAGE(I52:I53))</f>
        <v/>
      </c>
      <c r="L53" s="8">
        <f t="array" ref="L53">IF(I53="","", IFERROR(((IF(I$5&lt;&gt;"", I$5*A$5, 0) + SUMPRODUCT(--(I$6:I53&lt;&gt;""), I$6:I53, (A$6:A53-A$5:A52)))/1000), ""))</f>
        <v/>
      </c>
      <c r="M53" s="1">
        <f>M52+10</f>
        <v/>
      </c>
      <c r="N53" s="1">
        <f>O52</f>
        <v/>
      </c>
      <c r="Q53" t="inlineStr">
        <is>
          <t>60mL/3s/30s</t>
        </is>
      </c>
      <c r="U53" s="1">
        <f>IF(O53="", "", (N53-O53)*1000/(M53-M52))</f>
        <v/>
      </c>
      <c r="V53" s="1">
        <f>IF(U53="","",U53/R$2/3)</f>
        <v/>
      </c>
      <c r="W53" s="1">
        <f>IF(U53="","", 100*_xlfn.STDEV.P(U52:U53)/AVERAGE(U52:U53))</f>
        <v/>
      </c>
      <c r="X53" s="8">
        <f t="array" ref="X53">IF(U53="","", IFERROR(((IF(U$5&lt;&gt;"", U$5*M$5, 0) + SUMPRODUCT(--(U$6:U53&lt;&gt;""), U$6:U53, (M$6:M53-M$5:M52)))/1000), ""))</f>
        <v/>
      </c>
      <c r="Y53" s="1">
        <f>Y52+10</f>
        <v/>
      </c>
      <c r="Z53" s="1">
        <f>AA52</f>
        <v/>
      </c>
      <c r="AC53" t="inlineStr">
        <is>
          <t>60mL/3s/30s</t>
        </is>
      </c>
      <c r="AG53" s="1">
        <f>IF(AA53="", "", (Z53-AA53)*1000/(Y53-Y52))</f>
        <v/>
      </c>
      <c r="AH53" s="1">
        <f>IF(AG53="","",AG53/AD$2/3)</f>
        <v/>
      </c>
      <c r="AI53" s="1">
        <f>IF(AG53="","", 100*_xlfn.STDEV.P(AG52:AG53)/AVERAGE(AG52:AG53))</f>
        <v/>
      </c>
      <c r="AJ53" s="8">
        <f t="array" ref="AJ53">IF(AG53="","", IFERROR(((IF(AG$5&lt;&gt;"", AG$5*Y$5, 0) + SUMPRODUCT(--(AG$6:AG53&lt;&gt;""), AG$6:AG53, (Y$6:Y53-Y$5:Y52)))/1000), ""))</f>
        <v/>
      </c>
      <c r="AK53" s="1">
        <f>AK52+10</f>
        <v/>
      </c>
      <c r="AL53" s="1">
        <f>AM52</f>
        <v/>
      </c>
      <c r="AO53" t="inlineStr">
        <is>
          <t>60mL/3s/30s</t>
        </is>
      </c>
      <c r="AS53" s="1">
        <f>IF(AM53="", "", (AL53-AM53)*1000/(AK53-AK52))</f>
        <v/>
      </c>
      <c r="AT53" s="1">
        <f>IF(AS53="","",AS53/AP$2/3)</f>
        <v/>
      </c>
      <c r="AU53" s="1">
        <f>IF(AS53="","", 100*_xlfn.STDEV.P(AS52:AS53)/AVERAGE(AS52:AS53))</f>
        <v/>
      </c>
      <c r="AV53" s="8">
        <f t="array" ref="AV53">IF(AS53="","", IFERROR(((IF(AS$5&lt;&gt;"", AS$5*AK$5, 0) + SUMPRODUCT(--(AS$6:AS53&lt;&gt;""), AS$6:AS53, (AK$6:AK53-AK$5:AK52)))/1000), ""))</f>
        <v/>
      </c>
    </row>
    <row r="54">
      <c r="A54" s="1">
        <f>A53+10</f>
        <v/>
      </c>
      <c r="B54" s="1">
        <f>C53</f>
        <v/>
      </c>
      <c r="E54" t="inlineStr">
        <is>
          <t>60mL/3s/30s</t>
        </is>
      </c>
      <c r="I54" s="1">
        <f>IF(C54="", "", (B54-C54)*1000/(A54-A53))</f>
        <v/>
      </c>
      <c r="J54" s="1">
        <f>IF(I54="","",I54/F$2/3)</f>
        <v/>
      </c>
      <c r="K54" s="1">
        <f>IF(I54="","", 100*_xlfn.STDEV.P(I53:I54)/AVERAGE(I53:I54))</f>
        <v/>
      </c>
      <c r="L54" s="8">
        <f t="array" ref="L54">IF(I54="","", IFERROR(((IF(I$5&lt;&gt;"", I$5*A$5, 0) + SUMPRODUCT(--(I$6:I54&lt;&gt;""), I$6:I54, (A$6:A54-A$5:A53)))/1000), ""))</f>
        <v/>
      </c>
      <c r="M54" s="1">
        <f>M53+10</f>
        <v/>
      </c>
      <c r="N54" s="1">
        <f>O53</f>
        <v/>
      </c>
      <c r="Q54" t="inlineStr">
        <is>
          <t>60mL/3s/30s</t>
        </is>
      </c>
      <c r="U54" s="1">
        <f>IF(O54="", "", (N54-O54)*1000/(M54-M53))</f>
        <v/>
      </c>
      <c r="V54" s="1">
        <f>IF(U54="","",U54/R$2/3)</f>
        <v/>
      </c>
      <c r="W54" s="1">
        <f>IF(U54="","", 100*_xlfn.STDEV.P(U53:U54)/AVERAGE(U53:U54))</f>
        <v/>
      </c>
      <c r="X54" s="8">
        <f t="array" ref="X54">IF(U54="","", IFERROR(((IF(U$5&lt;&gt;"", U$5*M$5, 0) + SUMPRODUCT(--(U$6:U54&lt;&gt;""), U$6:U54, (M$6:M54-M$5:M53)))/1000), ""))</f>
        <v/>
      </c>
      <c r="Y54" s="1">
        <f>Y53+10</f>
        <v/>
      </c>
      <c r="Z54" s="1">
        <f>AA53</f>
        <v/>
      </c>
      <c r="AC54" t="inlineStr">
        <is>
          <t>60mL/3s/30s</t>
        </is>
      </c>
      <c r="AG54" s="1">
        <f>IF(AA54="", "", (Z54-AA54)*1000/(Y54-Y53))</f>
        <v/>
      </c>
      <c r="AH54" s="1">
        <f>IF(AG54="","",AG54/AD$2/3)</f>
        <v/>
      </c>
      <c r="AI54" s="1">
        <f>IF(AG54="","", 100*_xlfn.STDEV.P(AG53:AG54)/AVERAGE(AG53:AG54))</f>
        <v/>
      </c>
      <c r="AJ54" s="8">
        <f t="array" ref="AJ54">IF(AG54="","", IFERROR(((IF(AG$5&lt;&gt;"", AG$5*Y$5, 0) + SUMPRODUCT(--(AG$6:AG54&lt;&gt;""), AG$6:AG54, (Y$6:Y54-Y$5:Y53)))/1000), ""))</f>
        <v/>
      </c>
      <c r="AK54" s="1">
        <f>AK53+10</f>
        <v/>
      </c>
      <c r="AL54" s="1">
        <f>AM53</f>
        <v/>
      </c>
      <c r="AO54" t="inlineStr">
        <is>
          <t>60mL/3s/30s</t>
        </is>
      </c>
      <c r="AS54" s="1">
        <f>IF(AM54="", "", (AL54-AM54)*1000/(AK54-AK53))</f>
        <v/>
      </c>
      <c r="AT54" s="1">
        <f>IF(AS54="","",AS54/AP$2/3)</f>
        <v/>
      </c>
      <c r="AU54" s="1">
        <f>IF(AS54="","", 100*_xlfn.STDEV.P(AS53:AS54)/AVERAGE(AS53:AS54))</f>
        <v/>
      </c>
      <c r="AV54" s="8">
        <f t="array" ref="AV54">IF(AS54="","", IFERROR(((IF(AS$5&lt;&gt;"", AS$5*AK$5, 0) + SUMPRODUCT(--(AS$6:AS54&lt;&gt;""), AS$6:AS54, (AK$6:AK54-AK$5:AK53)))/1000), ""))</f>
        <v/>
      </c>
    </row>
    <row r="55">
      <c r="A55" s="1">
        <f>A54+10</f>
        <v/>
      </c>
      <c r="B55" s="1">
        <f>C54</f>
        <v/>
      </c>
      <c r="E55" t="inlineStr">
        <is>
          <t>60mL/3s/30s</t>
        </is>
      </c>
      <c r="I55" s="1">
        <f>IF(C55="", "", (B55-C55)*1000/(A55-A54))</f>
        <v/>
      </c>
      <c r="J55" s="1">
        <f>IF(I55="","",I55/F$2/3)</f>
        <v/>
      </c>
      <c r="K55" s="1">
        <f>IF(I55="","", 100*_xlfn.STDEV.P(I54:I55)/AVERAGE(I54:I55))</f>
        <v/>
      </c>
      <c r="L55" s="8">
        <f t="array" ref="L55">IF(I55="","", IFERROR(((IF(I$5&lt;&gt;"", I$5*A$5, 0) + SUMPRODUCT(--(I$6:I55&lt;&gt;""), I$6:I55, (A$6:A55-A$5:A54)))/1000), ""))</f>
        <v/>
      </c>
      <c r="M55" s="1">
        <f>M54+10</f>
        <v/>
      </c>
      <c r="N55" s="1">
        <f>O54</f>
        <v/>
      </c>
      <c r="Q55" t="inlineStr">
        <is>
          <t>60mL/3s/30s</t>
        </is>
      </c>
      <c r="U55" s="1">
        <f>IF(O55="", "", (N55-O55)*1000/(M55-M54))</f>
        <v/>
      </c>
      <c r="V55" s="1">
        <f>IF(U55="","",U55/R$2/3)</f>
        <v/>
      </c>
      <c r="W55" s="1">
        <f>IF(U55="","", 100*_xlfn.STDEV.P(U54:U55)/AVERAGE(U54:U55))</f>
        <v/>
      </c>
      <c r="X55" s="8">
        <f t="array" ref="X55">IF(U55="","", IFERROR(((IF(U$5&lt;&gt;"", U$5*M$5, 0) + SUMPRODUCT(--(U$6:U55&lt;&gt;""), U$6:U55, (M$6:M55-M$5:M54)))/1000), ""))</f>
        <v/>
      </c>
      <c r="Y55" s="1">
        <f>Y54+10</f>
        <v/>
      </c>
      <c r="Z55" s="1">
        <f>AA54</f>
        <v/>
      </c>
      <c r="AC55" t="inlineStr">
        <is>
          <t>60mL/3s/30s</t>
        </is>
      </c>
      <c r="AG55" s="1">
        <f>IF(AA55="", "", (Z55-AA55)*1000/(Y55-Y54))</f>
        <v/>
      </c>
      <c r="AH55" s="1">
        <f>IF(AG55="","",AG55/AD$2/3)</f>
        <v/>
      </c>
      <c r="AI55" s="1">
        <f>IF(AG55="","", 100*_xlfn.STDEV.P(AG54:AG55)/AVERAGE(AG54:AG55))</f>
        <v/>
      </c>
      <c r="AJ55" s="8">
        <f t="array" ref="AJ55">IF(AG55="","", IFERROR(((IF(AG$5&lt;&gt;"", AG$5*Y$5, 0) + SUMPRODUCT(--(AG$6:AG55&lt;&gt;""), AG$6:AG55, (Y$6:Y55-Y$5:Y54)))/1000), ""))</f>
        <v/>
      </c>
      <c r="AK55" s="1">
        <f>AK54+10</f>
        <v/>
      </c>
      <c r="AL55" s="1">
        <f>AM54</f>
        <v/>
      </c>
      <c r="AO55" t="inlineStr">
        <is>
          <t>60mL/3s/30s</t>
        </is>
      </c>
      <c r="AS55" s="1">
        <f>IF(AM55="", "", (AL55-AM55)*1000/(AK55-AK54))</f>
        <v/>
      </c>
      <c r="AT55" s="1">
        <f>IF(AS55="","",AS55/AP$2/3)</f>
        <v/>
      </c>
      <c r="AU55" s="1">
        <f>IF(AS55="","", 100*_xlfn.STDEV.P(AS54:AS55)/AVERAGE(AS54:AS55))</f>
        <v/>
      </c>
      <c r="AV55" s="8">
        <f t="array" ref="AV55">IF(AS55="","", IFERROR(((IF(AS$5&lt;&gt;"", AS$5*AK$5, 0) + SUMPRODUCT(--(AS$6:AS55&lt;&gt;""), AS$6:AS55, (AK$6:AK55-AK$5:AK54)))/1000), ""))</f>
        <v/>
      </c>
    </row>
    <row r="56">
      <c r="A56" s="1">
        <f>A55+10</f>
        <v/>
      </c>
      <c r="B56" s="1">
        <f>C55</f>
        <v/>
      </c>
      <c r="E56" t="inlineStr">
        <is>
          <t>60mL/3s/30s</t>
        </is>
      </c>
      <c r="I56" s="1">
        <f>IF(C56="", "", (B56-C56)*1000/(A56-A55))</f>
        <v/>
      </c>
      <c r="J56" s="1">
        <f>IF(I56="","",I56/F$2/3)</f>
        <v/>
      </c>
      <c r="K56" s="1">
        <f>IF(I56="","", 100*_xlfn.STDEV.P(I55:I56)/AVERAGE(I55:I56))</f>
        <v/>
      </c>
      <c r="L56" s="8">
        <f t="array" ref="L56">IF(I56="","", IFERROR(((IF(I$5&lt;&gt;"", I$5*A$5, 0) + SUMPRODUCT(--(I$6:I56&lt;&gt;""), I$6:I56, (A$6:A56-A$5:A55)))/1000), ""))</f>
        <v/>
      </c>
      <c r="M56" s="1">
        <f>M55+10</f>
        <v/>
      </c>
      <c r="N56" s="1">
        <f>O55</f>
        <v/>
      </c>
      <c r="Q56" t="inlineStr">
        <is>
          <t>60mL/3s/30s</t>
        </is>
      </c>
      <c r="U56" s="1">
        <f>IF(O56="", "", (N56-O56)*1000/(M56-M55))</f>
        <v/>
      </c>
      <c r="V56" s="1">
        <f>IF(U56="","",U56/R$2/3)</f>
        <v/>
      </c>
      <c r="W56" s="1">
        <f>IF(U56="","", 100*_xlfn.STDEV.P(U55:U56)/AVERAGE(U55:U56))</f>
        <v/>
      </c>
      <c r="X56" s="8">
        <f t="array" ref="X56">IF(U56="","", IFERROR(((IF(U$5&lt;&gt;"", U$5*M$5, 0) + SUMPRODUCT(--(U$6:U56&lt;&gt;""), U$6:U56, (M$6:M56-M$5:M55)))/1000), ""))</f>
        <v/>
      </c>
      <c r="Y56" s="1">
        <f>Y55+10</f>
        <v/>
      </c>
      <c r="Z56" s="1">
        <f>AA55</f>
        <v/>
      </c>
      <c r="AC56" t="inlineStr">
        <is>
          <t>60mL/3s/30s</t>
        </is>
      </c>
      <c r="AG56" s="1">
        <f>IF(AA56="", "", (Z56-AA56)*1000/(Y56-Y55))</f>
        <v/>
      </c>
      <c r="AH56" s="1">
        <f>IF(AG56="","",AG56/AD$2/3)</f>
        <v/>
      </c>
      <c r="AI56" s="1">
        <f>IF(AG56="","", 100*_xlfn.STDEV.P(AG55:AG56)/AVERAGE(AG55:AG56))</f>
        <v/>
      </c>
      <c r="AJ56" s="8">
        <f t="array" ref="AJ56">IF(AG56="","", IFERROR(((IF(AG$5&lt;&gt;"", AG$5*Y$5, 0) + SUMPRODUCT(--(AG$6:AG56&lt;&gt;""), AG$6:AG56, (Y$6:Y56-Y$5:Y55)))/1000), ""))</f>
        <v/>
      </c>
      <c r="AK56" s="1">
        <f>AK55+10</f>
        <v/>
      </c>
      <c r="AL56" s="1">
        <f>AM55</f>
        <v/>
      </c>
      <c r="AO56" t="inlineStr">
        <is>
          <t>60mL/3s/30s</t>
        </is>
      </c>
      <c r="AS56" s="1">
        <f>IF(AM56="", "", (AL56-AM56)*1000/(AK56-AK55))</f>
        <v/>
      </c>
      <c r="AT56" s="1">
        <f>IF(AS56="","",AS56/AP$2/3)</f>
        <v/>
      </c>
      <c r="AU56" s="1">
        <f>IF(AS56="","", 100*_xlfn.STDEV.P(AS55:AS56)/AVERAGE(AS55:AS56))</f>
        <v/>
      </c>
      <c r="AV56" s="8">
        <f t="array" ref="AV56">IF(AS56="","", IFERROR(((IF(AS$5&lt;&gt;"", AS$5*AK$5, 0) + SUMPRODUCT(--(AS$6:AS56&lt;&gt;""), AS$6:AS56, (AK$6:AK56-AK$5:AK55)))/1000), ""))</f>
        <v/>
      </c>
    </row>
    <row r="57">
      <c r="A57" s="1">
        <f>A56+10</f>
        <v/>
      </c>
      <c r="B57" s="1">
        <f>C56</f>
        <v/>
      </c>
      <c r="E57" t="inlineStr">
        <is>
          <t>60mL/3s/30s</t>
        </is>
      </c>
      <c r="I57" s="1">
        <f>IF(C57="", "", (B57-C57)*1000/(A57-A56))</f>
        <v/>
      </c>
      <c r="J57" s="1">
        <f>IF(I57="","",I57/F$2/3)</f>
        <v/>
      </c>
      <c r="K57" s="1">
        <f>IF(I57="","", 100*_xlfn.STDEV.P(I56:I57)/AVERAGE(I56:I57))</f>
        <v/>
      </c>
      <c r="L57" s="8">
        <f t="array" ref="L57">IF(I57="","", IFERROR(((IF(I$5&lt;&gt;"", I$5*A$5, 0) + SUMPRODUCT(--(I$6:I57&lt;&gt;""), I$6:I57, (A$6:A57-A$5:A56)))/1000), ""))</f>
        <v/>
      </c>
      <c r="M57" s="1">
        <f>M56+10</f>
        <v/>
      </c>
      <c r="N57" s="1">
        <f>O56</f>
        <v/>
      </c>
      <c r="Q57" t="inlineStr">
        <is>
          <t>60mL/3s/30s</t>
        </is>
      </c>
      <c r="U57" s="1">
        <f>IF(O57="", "", (N57-O57)*1000/(M57-M56))</f>
        <v/>
      </c>
      <c r="V57" s="1">
        <f>IF(U57="","",U57/R$2/3)</f>
        <v/>
      </c>
      <c r="W57" s="1">
        <f>IF(U57="","", 100*_xlfn.STDEV.P(U56:U57)/AVERAGE(U56:U57))</f>
        <v/>
      </c>
      <c r="X57" s="8">
        <f t="array" ref="X57">IF(U57="","", IFERROR(((IF(U$5&lt;&gt;"", U$5*M$5, 0) + SUMPRODUCT(--(U$6:U57&lt;&gt;""), U$6:U57, (M$6:M57-M$5:M56)))/1000), ""))</f>
        <v/>
      </c>
      <c r="Y57" s="1">
        <f>Y56+10</f>
        <v/>
      </c>
      <c r="Z57" s="1">
        <f>AA56</f>
        <v/>
      </c>
      <c r="AC57" t="inlineStr">
        <is>
          <t>60mL/3s/30s</t>
        </is>
      </c>
      <c r="AG57" s="1">
        <f>IF(AA57="", "", (Z57-AA57)*1000/(Y57-Y56))</f>
        <v/>
      </c>
      <c r="AH57" s="1">
        <f>IF(AG57="","",AG57/AD$2/3)</f>
        <v/>
      </c>
      <c r="AI57" s="1">
        <f>IF(AG57="","", 100*_xlfn.STDEV.P(AG56:AG57)/AVERAGE(AG56:AG57))</f>
        <v/>
      </c>
      <c r="AJ57" s="8">
        <f t="array" ref="AJ57">IF(AG57="","", IFERROR(((IF(AG$5&lt;&gt;"", AG$5*Y$5, 0) + SUMPRODUCT(--(AG$6:AG57&lt;&gt;""), AG$6:AG57, (Y$6:Y57-Y$5:Y56)))/1000), ""))</f>
        <v/>
      </c>
      <c r="AK57" s="1">
        <f>AK56+10</f>
        <v/>
      </c>
      <c r="AL57" s="1">
        <f>AM56</f>
        <v/>
      </c>
      <c r="AO57" t="inlineStr">
        <is>
          <t>60mL/3s/30s</t>
        </is>
      </c>
      <c r="AS57" s="1">
        <f>IF(AM57="", "", (AL57-AM57)*1000/(AK57-AK56))</f>
        <v/>
      </c>
      <c r="AT57" s="1">
        <f>IF(AS57="","",AS57/AP$2/3)</f>
        <v/>
      </c>
      <c r="AU57" s="1">
        <f>IF(AS57="","", 100*_xlfn.STDEV.P(AS56:AS57)/AVERAGE(AS56:AS57))</f>
        <v/>
      </c>
      <c r="AV57" s="8">
        <f t="array" ref="AV57">IF(AS57="","", IFERROR(((IF(AS$5&lt;&gt;"", AS$5*AK$5, 0) + SUMPRODUCT(--(AS$6:AS57&lt;&gt;""), AS$6:AS57, (AK$6:AK57-AK$5:AK56)))/1000), ""))</f>
        <v/>
      </c>
    </row>
    <row r="58">
      <c r="A58" s="1">
        <f>A57+10</f>
        <v/>
      </c>
      <c r="B58" s="1">
        <f>C57</f>
        <v/>
      </c>
      <c r="E58" t="inlineStr">
        <is>
          <t>60mL/3s/30s</t>
        </is>
      </c>
      <c r="I58" s="1">
        <f>IF(C58="", "", (B58-C58)*1000/(A58-A57))</f>
        <v/>
      </c>
      <c r="J58" s="1">
        <f>IF(I58="","",I58/F$2/3)</f>
        <v/>
      </c>
      <c r="K58" s="1">
        <f>IF(I58="","", 100*_xlfn.STDEV.P(I57:I58)/AVERAGE(I57:I58))</f>
        <v/>
      </c>
      <c r="L58" s="8">
        <f t="array" ref="L58">IF(I58="","", IFERROR(((IF(I$5&lt;&gt;"", I$5*A$5, 0) + SUMPRODUCT(--(I$6:I58&lt;&gt;""), I$6:I58, (A$6:A58-A$5:A57)))/1000), ""))</f>
        <v/>
      </c>
      <c r="M58" s="1">
        <f>M57+10</f>
        <v/>
      </c>
      <c r="N58" s="1">
        <f>O57</f>
        <v/>
      </c>
      <c r="Q58" t="inlineStr">
        <is>
          <t>60mL/3s/30s</t>
        </is>
      </c>
      <c r="U58" s="1">
        <f>IF(O58="", "", (N58-O58)*1000/(M58-M57))</f>
        <v/>
      </c>
      <c r="V58" s="1">
        <f>IF(U58="","",U58/R$2/3)</f>
        <v/>
      </c>
      <c r="W58" s="1">
        <f>IF(U58="","", 100*_xlfn.STDEV.P(U57:U58)/AVERAGE(U57:U58))</f>
        <v/>
      </c>
      <c r="X58" s="8">
        <f t="array" ref="X58">IF(U58="","", IFERROR(((IF(U$5&lt;&gt;"", U$5*M$5, 0) + SUMPRODUCT(--(U$6:U58&lt;&gt;""), U$6:U58, (M$6:M58-M$5:M57)))/1000), ""))</f>
        <v/>
      </c>
      <c r="Y58" s="1">
        <f>Y57+10</f>
        <v/>
      </c>
      <c r="Z58" s="1">
        <f>AA57</f>
        <v/>
      </c>
      <c r="AC58" t="inlineStr">
        <is>
          <t>60mL/3s/30s</t>
        </is>
      </c>
      <c r="AG58" s="1">
        <f>IF(AA58="", "", (Z58-AA58)*1000/(Y58-Y57))</f>
        <v/>
      </c>
      <c r="AH58" s="1">
        <f>IF(AG58="","",AG58/AD$2/3)</f>
        <v/>
      </c>
      <c r="AI58" s="1">
        <f>IF(AG58="","", 100*_xlfn.STDEV.P(AG57:AG58)/AVERAGE(AG57:AG58))</f>
        <v/>
      </c>
      <c r="AJ58" s="8">
        <f t="array" ref="AJ58">IF(AG58="","", IFERROR(((IF(AG$5&lt;&gt;"", AG$5*Y$5, 0) + SUMPRODUCT(--(AG$6:AG58&lt;&gt;""), AG$6:AG58, (Y$6:Y58-Y$5:Y57)))/1000), ""))</f>
        <v/>
      </c>
      <c r="AK58" s="1">
        <f>AK57+10</f>
        <v/>
      </c>
      <c r="AL58" s="1">
        <f>AM57</f>
        <v/>
      </c>
      <c r="AO58" t="inlineStr">
        <is>
          <t>60mL/3s/30s</t>
        </is>
      </c>
      <c r="AS58" s="1">
        <f>IF(AM58="", "", (AL58-AM58)*1000/(AK58-AK57))</f>
        <v/>
      </c>
      <c r="AT58" s="1">
        <f>IF(AS58="","",AS58/AP$2/3)</f>
        <v/>
      </c>
      <c r="AU58" s="1">
        <f>IF(AS58="","", 100*_xlfn.STDEV.P(AS57:AS58)/AVERAGE(AS57:AS58))</f>
        <v/>
      </c>
      <c r="AV58" s="8">
        <f t="array" ref="AV58">IF(AS58="","", IFERROR(((IF(AS$5&lt;&gt;"", AS$5*AK$5, 0) + SUMPRODUCT(--(AS$6:AS58&lt;&gt;""), AS$6:AS58, (AK$6:AK58-AK$5:AK57)))/1000), ""))</f>
        <v/>
      </c>
    </row>
    <row r="59">
      <c r="A59" s="1">
        <f>A58+10</f>
        <v/>
      </c>
      <c r="B59" s="1">
        <f>C58</f>
        <v/>
      </c>
      <c r="E59" t="inlineStr">
        <is>
          <t>60mL/3s/30s</t>
        </is>
      </c>
      <c r="I59" s="1">
        <f>IF(C59="", "", (B59-C59)*1000/(A59-A58))</f>
        <v/>
      </c>
      <c r="J59" s="1">
        <f>IF(I59="","",I59/F$2/3)</f>
        <v/>
      </c>
      <c r="K59" s="1">
        <f>IF(I59="","", 100*_xlfn.STDEV.P(I58:I59)/AVERAGE(I58:I59))</f>
        <v/>
      </c>
      <c r="L59" s="8">
        <f t="array" ref="L59">IF(I59="","", IFERROR(((IF(I$5&lt;&gt;"", I$5*A$5, 0) + SUMPRODUCT(--(I$6:I59&lt;&gt;""), I$6:I59, (A$6:A59-A$5:A58)))/1000), ""))</f>
        <v/>
      </c>
      <c r="M59" s="1">
        <f>M58+10</f>
        <v/>
      </c>
      <c r="N59" s="1">
        <f>O58</f>
        <v/>
      </c>
      <c r="Q59" t="inlineStr">
        <is>
          <t>60mL/3s/30s</t>
        </is>
      </c>
      <c r="U59" s="1">
        <f>IF(O59="", "", (N59-O59)*1000/(M59-M58))</f>
        <v/>
      </c>
      <c r="V59" s="1">
        <f>IF(U59="","",U59/R$2/3)</f>
        <v/>
      </c>
      <c r="W59" s="1">
        <f>IF(U59="","", 100*_xlfn.STDEV.P(U58:U59)/AVERAGE(U58:U59))</f>
        <v/>
      </c>
      <c r="X59" s="8">
        <f t="array" ref="X59">IF(U59="","", IFERROR(((IF(U$5&lt;&gt;"", U$5*M$5, 0) + SUMPRODUCT(--(U$6:U59&lt;&gt;""), U$6:U59, (M$6:M59-M$5:M58)))/1000), ""))</f>
        <v/>
      </c>
      <c r="Y59" s="1">
        <f>Y58+10</f>
        <v/>
      </c>
      <c r="Z59" s="1">
        <f>AA58</f>
        <v/>
      </c>
      <c r="AC59" t="inlineStr">
        <is>
          <t>60mL/3s/30s</t>
        </is>
      </c>
      <c r="AG59" s="1">
        <f>IF(AA59="", "", (Z59-AA59)*1000/(Y59-Y58))</f>
        <v/>
      </c>
      <c r="AH59" s="1">
        <f>IF(AG59="","",AG59/AD$2/3)</f>
        <v/>
      </c>
      <c r="AI59" s="1">
        <f>IF(AG59="","", 100*_xlfn.STDEV.P(AG58:AG59)/AVERAGE(AG58:AG59))</f>
        <v/>
      </c>
      <c r="AJ59" s="8">
        <f t="array" ref="AJ59">IF(AG59="","", IFERROR(((IF(AG$5&lt;&gt;"", AG$5*Y$5, 0) + SUMPRODUCT(--(AG$6:AG59&lt;&gt;""), AG$6:AG59, (Y$6:Y59-Y$5:Y58)))/1000), ""))</f>
        <v/>
      </c>
      <c r="AK59" s="1">
        <f>AK58+10</f>
        <v/>
      </c>
      <c r="AL59" s="1">
        <f>AM58</f>
        <v/>
      </c>
      <c r="AO59" t="inlineStr">
        <is>
          <t>60mL/3s/30s</t>
        </is>
      </c>
      <c r="AS59" s="1">
        <f>IF(AM59="", "", (AL59-AM59)*1000/(AK59-AK58))</f>
        <v/>
      </c>
      <c r="AT59" s="1">
        <f>IF(AS59="","",AS59/AP$2/3)</f>
        <v/>
      </c>
      <c r="AU59" s="1">
        <f>IF(AS59="","", 100*_xlfn.STDEV.P(AS58:AS59)/AVERAGE(AS58:AS59))</f>
        <v/>
      </c>
      <c r="AV59" s="8">
        <f t="array" ref="AV59">IF(AS59="","", IFERROR(((IF(AS$5&lt;&gt;"", AS$5*AK$5, 0) + SUMPRODUCT(--(AS$6:AS59&lt;&gt;""), AS$6:AS59, (AK$6:AK59-AK$5:AK58)))/1000), ""))</f>
        <v/>
      </c>
    </row>
    <row r="60">
      <c r="A60" s="1">
        <f>A59+10</f>
        <v/>
      </c>
      <c r="B60" s="1">
        <f>C59</f>
        <v/>
      </c>
      <c r="E60" t="inlineStr">
        <is>
          <t>60mL/3s/30s</t>
        </is>
      </c>
      <c r="I60" s="1">
        <f>IF(C60="", "", (B60-C60)*1000/(A60-A59))</f>
        <v/>
      </c>
      <c r="J60" s="1">
        <f>IF(I60="","",I60/F$2/3)</f>
        <v/>
      </c>
      <c r="K60" s="1">
        <f>IF(I60="","", 100*_xlfn.STDEV.P(I59:I60)/AVERAGE(I59:I60))</f>
        <v/>
      </c>
      <c r="L60" s="8">
        <f t="array" ref="L60">IF(I60="","", IFERROR(((IF(I$5&lt;&gt;"", I$5*A$5, 0) + SUMPRODUCT(--(I$6:I60&lt;&gt;""), I$6:I60, (A$6:A60-A$5:A59)))/1000), ""))</f>
        <v/>
      </c>
      <c r="M60" s="1">
        <f>M59+10</f>
        <v/>
      </c>
      <c r="N60" s="1">
        <f>O59</f>
        <v/>
      </c>
      <c r="Q60" t="inlineStr">
        <is>
          <t>60mL/3s/30s</t>
        </is>
      </c>
      <c r="U60" s="1">
        <f>IF(O60="", "", (N60-O60)*1000/(M60-M59))</f>
        <v/>
      </c>
      <c r="V60" s="1">
        <f>IF(U60="","",U60/R$2/3)</f>
        <v/>
      </c>
      <c r="W60" s="1">
        <f>IF(U60="","", 100*_xlfn.STDEV.P(U59:U60)/AVERAGE(U59:U60))</f>
        <v/>
      </c>
      <c r="X60" s="8">
        <f t="array" ref="X60">IF(U60="","", IFERROR(((IF(U$5&lt;&gt;"", U$5*M$5, 0) + SUMPRODUCT(--(U$6:U60&lt;&gt;""), U$6:U60, (M$6:M60-M$5:M59)))/1000), ""))</f>
        <v/>
      </c>
      <c r="Y60" s="1">
        <f>Y59+10</f>
        <v/>
      </c>
      <c r="Z60" s="1">
        <f>AA59</f>
        <v/>
      </c>
      <c r="AC60" t="inlineStr">
        <is>
          <t>60mL/3s/30s</t>
        </is>
      </c>
      <c r="AG60" s="1">
        <f>IF(AA60="", "", (Z60-AA60)*1000/(Y60-Y59))</f>
        <v/>
      </c>
      <c r="AH60" s="1">
        <f>IF(AG60="","",AG60/AD$2/3)</f>
        <v/>
      </c>
      <c r="AI60" s="1">
        <f>IF(AG60="","", 100*_xlfn.STDEV.P(AG59:AG60)/AVERAGE(AG59:AG60))</f>
        <v/>
      </c>
      <c r="AJ60" s="8">
        <f t="array" ref="AJ60">IF(AG60="","", IFERROR(((IF(AG$5&lt;&gt;"", AG$5*Y$5, 0) + SUMPRODUCT(--(AG$6:AG60&lt;&gt;""), AG$6:AG60, (Y$6:Y60-Y$5:Y59)))/1000), ""))</f>
        <v/>
      </c>
      <c r="AK60" s="1">
        <f>AK59+10</f>
        <v/>
      </c>
      <c r="AL60" s="1">
        <f>AM59</f>
        <v/>
      </c>
      <c r="AO60" t="inlineStr">
        <is>
          <t>60mL/3s/30s</t>
        </is>
      </c>
      <c r="AS60" s="1">
        <f>IF(AM60="", "", (AL60-AM60)*1000/(AK60-AK59))</f>
        <v/>
      </c>
      <c r="AT60" s="1">
        <f>IF(AS60="","",AS60/AP$2/3)</f>
        <v/>
      </c>
      <c r="AU60" s="1">
        <f>IF(AS60="","", 100*_xlfn.STDEV.P(AS59:AS60)/AVERAGE(AS59:AS60))</f>
        <v/>
      </c>
      <c r="AV60" s="8">
        <f t="array" ref="AV60">IF(AS60="","", IFERROR(((IF(AS$5&lt;&gt;"", AS$5*AK$5, 0) + SUMPRODUCT(--(AS$6:AS60&lt;&gt;""), AS$6:AS60, (AK$6:AK60-AK$5:AK59)))/1000), ""))</f>
        <v/>
      </c>
    </row>
    <row r="61">
      <c r="A61" s="1">
        <f>A60+10</f>
        <v/>
      </c>
      <c r="B61" s="1">
        <f>C60</f>
        <v/>
      </c>
      <c r="E61" t="inlineStr">
        <is>
          <t>60mL/3s/30s</t>
        </is>
      </c>
      <c r="I61" s="1">
        <f>IF(C61="", "", (B61-C61)*1000/(A61-A60))</f>
        <v/>
      </c>
      <c r="J61" s="1">
        <f>IF(I61="","",I61/F$2/3)</f>
        <v/>
      </c>
      <c r="K61" s="1">
        <f>IF(I61="","", 100*_xlfn.STDEV.P(I60:I61)/AVERAGE(I60:I61))</f>
        <v/>
      </c>
      <c r="L61" s="8">
        <f t="array" ref="L61">IF(I61="","", IFERROR(((IF(I$5&lt;&gt;"", I$5*A$5, 0) + SUMPRODUCT(--(I$6:I61&lt;&gt;""), I$6:I61, (A$6:A61-A$5:A60)))/1000), ""))</f>
        <v/>
      </c>
      <c r="M61" s="1">
        <f>M60+10</f>
        <v/>
      </c>
      <c r="N61" s="1">
        <f>O60</f>
        <v/>
      </c>
      <c r="Q61" t="inlineStr">
        <is>
          <t>60mL/3s/30s</t>
        </is>
      </c>
      <c r="U61" s="1">
        <f>IF(O61="", "", (N61-O61)*1000/(M61-M60))</f>
        <v/>
      </c>
      <c r="V61" s="1">
        <f>IF(U61="","",U61/R$2/3)</f>
        <v/>
      </c>
      <c r="W61" s="1">
        <f>IF(U61="","", 100*_xlfn.STDEV.P(U60:U61)/AVERAGE(U60:U61))</f>
        <v/>
      </c>
      <c r="X61" s="8">
        <f t="array" ref="X61">IF(U61="","", IFERROR(((IF(U$5&lt;&gt;"", U$5*M$5, 0) + SUMPRODUCT(--(U$6:U61&lt;&gt;""), U$6:U61, (M$6:M61-M$5:M60)))/1000), ""))</f>
        <v/>
      </c>
      <c r="Y61" s="1">
        <f>Y60+10</f>
        <v/>
      </c>
      <c r="Z61" s="1">
        <f>AA60</f>
        <v/>
      </c>
      <c r="AC61" t="inlineStr">
        <is>
          <t>60mL/3s/30s</t>
        </is>
      </c>
      <c r="AG61" s="1">
        <f>IF(AA61="", "", (Z61-AA61)*1000/(Y61-Y60))</f>
        <v/>
      </c>
      <c r="AH61" s="1">
        <f>IF(AG61="","",AG61/AD$2/3)</f>
        <v/>
      </c>
      <c r="AI61" s="1">
        <f>IF(AG61="","", 100*_xlfn.STDEV.P(AG60:AG61)/AVERAGE(AG60:AG61))</f>
        <v/>
      </c>
      <c r="AJ61" s="8">
        <f t="array" ref="AJ61">IF(AG61="","", IFERROR(((IF(AG$5&lt;&gt;"", AG$5*Y$5, 0) + SUMPRODUCT(--(AG$6:AG61&lt;&gt;""), AG$6:AG61, (Y$6:Y61-Y$5:Y60)))/1000), ""))</f>
        <v/>
      </c>
      <c r="AK61" s="1">
        <f>AK60+10</f>
        <v/>
      </c>
      <c r="AL61" s="1">
        <f>AM60</f>
        <v/>
      </c>
      <c r="AO61" t="inlineStr">
        <is>
          <t>60mL/3s/30s</t>
        </is>
      </c>
      <c r="AS61" s="1">
        <f>IF(AM61="", "", (AL61-AM61)*1000/(AK61-AK60))</f>
        <v/>
      </c>
      <c r="AT61" s="1">
        <f>IF(AS61="","",AS61/AP$2/3)</f>
        <v/>
      </c>
      <c r="AU61" s="1">
        <f>IF(AS61="","", 100*_xlfn.STDEV.P(AS60:AS61)/AVERAGE(AS60:AS61))</f>
        <v/>
      </c>
      <c r="AV61" s="8">
        <f t="array" ref="AV61">IF(AS61="","", IFERROR(((IF(AS$5&lt;&gt;"", AS$5*AK$5, 0) + SUMPRODUCT(--(AS$6:AS61&lt;&gt;""), AS$6:AS61, (AK$6:AK61-AK$5:AK60)))/1000), ""))</f>
        <v/>
      </c>
    </row>
    <row r="62">
      <c r="A62" s="1">
        <f>A61+10</f>
        <v/>
      </c>
      <c r="B62" s="1">
        <f>C61</f>
        <v/>
      </c>
      <c r="E62" t="inlineStr">
        <is>
          <t>60mL/3s/30s</t>
        </is>
      </c>
      <c r="I62" s="1">
        <f>IF(C62="", "", (B62-C62)*1000/(A62-A61))</f>
        <v/>
      </c>
      <c r="J62" s="1">
        <f>IF(I62="","",I62/F$2/3)</f>
        <v/>
      </c>
      <c r="K62" s="1">
        <f>IF(I62="","", 100*_xlfn.STDEV.P(I61:I62)/AVERAGE(I61:I62))</f>
        <v/>
      </c>
      <c r="L62" s="8">
        <f t="array" ref="L62">IF(I62="","", IFERROR(((IF(I$5&lt;&gt;"", I$5*A$5, 0) + SUMPRODUCT(--(I$6:I62&lt;&gt;""), I$6:I62, (A$6:A62-A$5:A61)))/1000), ""))</f>
        <v/>
      </c>
      <c r="M62" s="1">
        <f>M61+10</f>
        <v/>
      </c>
      <c r="N62" s="1">
        <f>O61</f>
        <v/>
      </c>
      <c r="Q62" t="inlineStr">
        <is>
          <t>60mL/3s/30s</t>
        </is>
      </c>
      <c r="U62" s="1">
        <f>IF(O62="", "", (N62-O62)*1000/(M62-M61))</f>
        <v/>
      </c>
      <c r="V62" s="1">
        <f>IF(U62="","",U62/R$2/3)</f>
        <v/>
      </c>
      <c r="W62" s="1">
        <f>IF(U62="","", 100*_xlfn.STDEV.P(U61:U62)/AVERAGE(U61:U62))</f>
        <v/>
      </c>
      <c r="X62" s="8">
        <f t="array" ref="X62">IF(U62="","", IFERROR(((IF(U$5&lt;&gt;"", U$5*M$5, 0) + SUMPRODUCT(--(U$6:U62&lt;&gt;""), U$6:U62, (M$6:M62-M$5:M61)))/1000), ""))</f>
        <v/>
      </c>
      <c r="Y62" s="1">
        <f>Y61+10</f>
        <v/>
      </c>
      <c r="Z62" s="1">
        <f>AA61</f>
        <v/>
      </c>
      <c r="AC62" t="inlineStr">
        <is>
          <t>60mL/3s/30s</t>
        </is>
      </c>
      <c r="AG62" s="1">
        <f>IF(AA62="", "", (Z62-AA62)*1000/(Y62-Y61))</f>
        <v/>
      </c>
      <c r="AH62" s="1">
        <f>IF(AG62="","",AG62/AD$2/3)</f>
        <v/>
      </c>
      <c r="AI62" s="1">
        <f>IF(AG62="","", 100*_xlfn.STDEV.P(AG61:AG62)/AVERAGE(AG61:AG62))</f>
        <v/>
      </c>
      <c r="AJ62" s="8">
        <f t="array" ref="AJ62">IF(AG62="","", IFERROR(((IF(AG$5&lt;&gt;"", AG$5*Y$5, 0) + SUMPRODUCT(--(AG$6:AG62&lt;&gt;""), AG$6:AG62, (Y$6:Y62-Y$5:Y61)))/1000), ""))</f>
        <v/>
      </c>
      <c r="AK62" s="1">
        <f>AK61+10</f>
        <v/>
      </c>
      <c r="AL62" s="1">
        <f>AM61</f>
        <v/>
      </c>
      <c r="AO62" t="inlineStr">
        <is>
          <t>60mL/3s/30s</t>
        </is>
      </c>
      <c r="AS62" s="1">
        <f>IF(AM62="", "", (AL62-AM62)*1000/(AK62-AK61))</f>
        <v/>
      </c>
      <c r="AT62" s="1">
        <f>IF(AS62="","",AS62/AP$2/3)</f>
        <v/>
      </c>
      <c r="AU62" s="1">
        <f>IF(AS62="","", 100*_xlfn.STDEV.P(AS61:AS62)/AVERAGE(AS61:AS62))</f>
        <v/>
      </c>
      <c r="AV62" s="8">
        <f t="array" ref="AV62">IF(AS62="","", IFERROR(((IF(AS$5&lt;&gt;"", AS$5*AK$5, 0) + SUMPRODUCT(--(AS$6:AS62&lt;&gt;""), AS$6:AS62, (AK$6:AK62-AK$5:AK61)))/1000), ""))</f>
        <v/>
      </c>
    </row>
    <row r="63">
      <c r="A63" s="1">
        <f>A62+10</f>
        <v/>
      </c>
      <c r="B63" s="1">
        <f>C62</f>
        <v/>
      </c>
      <c r="E63" t="inlineStr">
        <is>
          <t>60mL/3s/30s</t>
        </is>
      </c>
      <c r="I63" s="1">
        <f>IF(C63="", "", (B63-C63)*1000/(A63-A62))</f>
        <v/>
      </c>
      <c r="J63" s="1">
        <f>IF(I63="","",I63/F$2/3)</f>
        <v/>
      </c>
      <c r="K63" s="1">
        <f>IF(I63="","", 100*_xlfn.STDEV.P(I62:I63)/AVERAGE(I62:I63))</f>
        <v/>
      </c>
      <c r="L63" s="8">
        <f t="array" ref="L63">IF(I63="","", IFERROR(((IF(I$5&lt;&gt;"", I$5*A$5, 0) + SUMPRODUCT(--(I$6:I63&lt;&gt;""), I$6:I63, (A$6:A63-A$5:A62)))/1000), ""))</f>
        <v/>
      </c>
      <c r="M63" s="1">
        <f>M62+10</f>
        <v/>
      </c>
      <c r="N63" s="1">
        <f>O62</f>
        <v/>
      </c>
      <c r="Q63" t="inlineStr">
        <is>
          <t>60mL/3s/30s</t>
        </is>
      </c>
      <c r="U63" s="1">
        <f>IF(O63="", "", (N63-O63)*1000/(M63-M62))</f>
        <v/>
      </c>
      <c r="V63" s="1">
        <f>IF(U63="","",U63/R$2/3)</f>
        <v/>
      </c>
      <c r="W63" s="1">
        <f>IF(U63="","", 100*_xlfn.STDEV.P(U62:U63)/AVERAGE(U62:U63))</f>
        <v/>
      </c>
      <c r="X63" s="8">
        <f t="array" ref="X63">IF(U63="","", IFERROR(((IF(U$5&lt;&gt;"", U$5*M$5, 0) + SUMPRODUCT(--(U$6:U63&lt;&gt;""), U$6:U63, (M$6:M63-M$5:M62)))/1000), ""))</f>
        <v/>
      </c>
      <c r="Y63" s="1">
        <f>Y62+10</f>
        <v/>
      </c>
      <c r="Z63" s="1">
        <f>AA62</f>
        <v/>
      </c>
      <c r="AC63" t="inlineStr">
        <is>
          <t>60mL/3s/30s</t>
        </is>
      </c>
      <c r="AG63" s="1">
        <f>IF(AA63="", "", (Z63-AA63)*1000/(Y63-Y62))</f>
        <v/>
      </c>
      <c r="AH63" s="1">
        <f>IF(AG63="","",AG63/AD$2/3)</f>
        <v/>
      </c>
      <c r="AI63" s="1">
        <f>IF(AG63="","", 100*_xlfn.STDEV.P(AG62:AG63)/AVERAGE(AG62:AG63))</f>
        <v/>
      </c>
      <c r="AJ63" s="8">
        <f t="array" ref="AJ63">IF(AG63="","", IFERROR(((IF(AG$5&lt;&gt;"", AG$5*Y$5, 0) + SUMPRODUCT(--(AG$6:AG63&lt;&gt;""), AG$6:AG63, (Y$6:Y63-Y$5:Y62)))/1000), ""))</f>
        <v/>
      </c>
      <c r="AK63" s="1">
        <f>AK62+10</f>
        <v/>
      </c>
      <c r="AL63" s="1">
        <f>AM62</f>
        <v/>
      </c>
      <c r="AO63" t="inlineStr">
        <is>
          <t>60mL/3s/30s</t>
        </is>
      </c>
      <c r="AS63" s="1">
        <f>IF(AM63="", "", (AL63-AM63)*1000/(AK63-AK62))</f>
        <v/>
      </c>
      <c r="AT63" s="1">
        <f>IF(AS63="","",AS63/AP$2/3)</f>
        <v/>
      </c>
      <c r="AU63" s="1">
        <f>IF(AS63="","", 100*_xlfn.STDEV.P(AS62:AS63)/AVERAGE(AS62:AS63))</f>
        <v/>
      </c>
      <c r="AV63" s="8">
        <f t="array" ref="AV63">IF(AS63="","", IFERROR(((IF(AS$5&lt;&gt;"", AS$5*AK$5, 0) + SUMPRODUCT(--(AS$6:AS63&lt;&gt;""), AS$6:AS63, (AK$6:AK63-AK$5:AK62)))/1000), ""))</f>
        <v/>
      </c>
    </row>
    <row r="64">
      <c r="A64" s="1">
        <f>A63+10</f>
        <v/>
      </c>
      <c r="B64" s="1">
        <f>C63</f>
        <v/>
      </c>
      <c r="E64" t="inlineStr">
        <is>
          <t>60mL/3s/30s</t>
        </is>
      </c>
      <c r="I64" s="1">
        <f>IF(C64="", "", (B64-C64)*1000/(A64-A63))</f>
        <v/>
      </c>
      <c r="J64" s="1">
        <f>IF(I64="","",I64/F$2/3)</f>
        <v/>
      </c>
      <c r="K64" s="1">
        <f>IF(I64="","", 100*_xlfn.STDEV.P(I63:I64)/AVERAGE(I63:I64))</f>
        <v/>
      </c>
      <c r="L64" s="8">
        <f t="array" ref="L64">IF(I64="","", IFERROR(((IF(I$5&lt;&gt;"", I$5*A$5, 0) + SUMPRODUCT(--(I$6:I64&lt;&gt;""), I$6:I64, (A$6:A64-A$5:A63)))/1000), ""))</f>
        <v/>
      </c>
      <c r="M64" s="1">
        <f>M63+10</f>
        <v/>
      </c>
      <c r="N64" s="1">
        <f>O63</f>
        <v/>
      </c>
      <c r="Q64" t="inlineStr">
        <is>
          <t>60mL/3s/30s</t>
        </is>
      </c>
      <c r="U64" s="1">
        <f>IF(O64="", "", (N64-O64)*1000/(M64-M63))</f>
        <v/>
      </c>
      <c r="V64" s="1">
        <f>IF(U64="","",U64/R$2/3)</f>
        <v/>
      </c>
      <c r="W64" s="1">
        <f>IF(U64="","", 100*_xlfn.STDEV.P(U63:U64)/AVERAGE(U63:U64))</f>
        <v/>
      </c>
      <c r="X64" s="8">
        <f t="array" ref="X64">IF(U64="","", IFERROR(((IF(U$5&lt;&gt;"", U$5*M$5, 0) + SUMPRODUCT(--(U$6:U64&lt;&gt;""), U$6:U64, (M$6:M64-M$5:M63)))/1000), ""))</f>
        <v/>
      </c>
      <c r="Y64" s="1">
        <f>Y63+10</f>
        <v/>
      </c>
      <c r="Z64" s="1">
        <f>AA63</f>
        <v/>
      </c>
      <c r="AC64" t="inlineStr">
        <is>
          <t>60mL/3s/30s</t>
        </is>
      </c>
      <c r="AG64" s="1">
        <f>IF(AA64="", "", (Z64-AA64)*1000/(Y64-Y63))</f>
        <v/>
      </c>
      <c r="AH64" s="1">
        <f>IF(AG64="","",AG64/AD$2/3)</f>
        <v/>
      </c>
      <c r="AI64" s="1">
        <f>IF(AG64="","", 100*_xlfn.STDEV.P(AG63:AG64)/AVERAGE(AG63:AG64))</f>
        <v/>
      </c>
      <c r="AJ64" s="8">
        <f t="array" ref="AJ64">IF(AG64="","", IFERROR(((IF(AG$5&lt;&gt;"", AG$5*Y$5, 0) + SUMPRODUCT(--(AG$6:AG64&lt;&gt;""), AG$6:AG64, (Y$6:Y64-Y$5:Y63)))/1000), ""))</f>
        <v/>
      </c>
      <c r="AK64" s="1">
        <f>AK63+10</f>
        <v/>
      </c>
      <c r="AL64" s="1">
        <f>AM63</f>
        <v/>
      </c>
      <c r="AO64" t="inlineStr">
        <is>
          <t>60mL/3s/30s</t>
        </is>
      </c>
      <c r="AS64" s="1">
        <f>IF(AM64="", "", (AL64-AM64)*1000/(AK64-AK63))</f>
        <v/>
      </c>
      <c r="AT64" s="1">
        <f>IF(AS64="","",AS64/AP$2/3)</f>
        <v/>
      </c>
      <c r="AU64" s="1">
        <f>IF(AS64="","", 100*_xlfn.STDEV.P(AS63:AS64)/AVERAGE(AS63:AS64))</f>
        <v/>
      </c>
      <c r="AV64" s="8">
        <f t="array" ref="AV64">IF(AS64="","", IFERROR(((IF(AS$5&lt;&gt;"", AS$5*AK$5, 0) + SUMPRODUCT(--(AS$6:AS64&lt;&gt;""), AS$6:AS64, (AK$6:AK64-AK$5:AK63)))/1000), ""))</f>
        <v/>
      </c>
    </row>
    <row r="65">
      <c r="A65" s="1">
        <f>A64+10</f>
        <v/>
      </c>
      <c r="B65" s="1">
        <f>C64</f>
        <v/>
      </c>
      <c r="E65" t="inlineStr">
        <is>
          <t>60mL/3s/30s</t>
        </is>
      </c>
      <c r="I65" s="1">
        <f>IF(C65="", "", (B65-C65)*1000/(A65-A64))</f>
        <v/>
      </c>
      <c r="J65" s="1">
        <f>IF(I65="","",I65/F$2/3)</f>
        <v/>
      </c>
      <c r="K65" s="1">
        <f>IF(I65="","", 100*_xlfn.STDEV.P(I64:I65)/AVERAGE(I64:I65))</f>
        <v/>
      </c>
      <c r="L65" s="8">
        <f t="array" ref="L65">IF(I65="","", IFERROR(((IF(I$5&lt;&gt;"", I$5*A$5, 0) + SUMPRODUCT(--(I$6:I65&lt;&gt;""), I$6:I65, (A$6:A65-A$5:A64)))/1000), ""))</f>
        <v/>
      </c>
      <c r="M65" s="1">
        <f>M64+10</f>
        <v/>
      </c>
      <c r="N65" s="1">
        <f>O64</f>
        <v/>
      </c>
      <c r="Q65" t="inlineStr">
        <is>
          <t>60mL/3s/30s</t>
        </is>
      </c>
      <c r="U65" s="1">
        <f>IF(O65="", "", (N65-O65)*1000/(M65-M64))</f>
        <v/>
      </c>
      <c r="V65" s="1">
        <f>IF(U65="","",U65/R$2/3)</f>
        <v/>
      </c>
      <c r="W65" s="1">
        <f>IF(U65="","", 100*_xlfn.STDEV.P(U64:U65)/AVERAGE(U64:U65))</f>
        <v/>
      </c>
      <c r="X65" s="8">
        <f t="array" ref="X65">IF(U65="","", IFERROR(((IF(U$5&lt;&gt;"", U$5*M$5, 0) + SUMPRODUCT(--(U$6:U65&lt;&gt;""), U$6:U65, (M$6:M65-M$5:M64)))/1000), ""))</f>
        <v/>
      </c>
      <c r="Y65" s="1">
        <f>Y64+10</f>
        <v/>
      </c>
      <c r="Z65" s="1">
        <f>AA64</f>
        <v/>
      </c>
      <c r="AC65" t="inlineStr">
        <is>
          <t>60mL/3s/30s</t>
        </is>
      </c>
      <c r="AG65" s="1">
        <f>IF(AA65="", "", (Z65-AA65)*1000/(Y65-Y64))</f>
        <v/>
      </c>
      <c r="AH65" s="1">
        <f>IF(AG65="","",AG65/AD$2/3)</f>
        <v/>
      </c>
      <c r="AI65" s="1">
        <f>IF(AG65="","", 100*_xlfn.STDEV.P(AG64:AG65)/AVERAGE(AG64:AG65))</f>
        <v/>
      </c>
      <c r="AJ65" s="8">
        <f t="array" ref="AJ65">IF(AG65="","", IFERROR(((IF(AG$5&lt;&gt;"", AG$5*Y$5, 0) + SUMPRODUCT(--(AG$6:AG65&lt;&gt;""), AG$6:AG65, (Y$6:Y65-Y$5:Y64)))/1000), ""))</f>
        <v/>
      </c>
      <c r="AK65" s="1">
        <f>AK64+10</f>
        <v/>
      </c>
      <c r="AL65" s="1">
        <f>AM64</f>
        <v/>
      </c>
      <c r="AO65" t="inlineStr">
        <is>
          <t>60mL/3s/30s</t>
        </is>
      </c>
      <c r="AS65" s="1">
        <f>IF(AM65="", "", (AL65-AM65)*1000/(AK65-AK64))</f>
        <v/>
      </c>
      <c r="AT65" s="1">
        <f>IF(AS65="","",AS65/AP$2/3)</f>
        <v/>
      </c>
      <c r="AU65" s="1">
        <f>IF(AS65="","", 100*_xlfn.STDEV.P(AS64:AS65)/AVERAGE(AS64:AS65))</f>
        <v/>
      </c>
      <c r="AV65" s="8">
        <f t="array" ref="AV65">IF(AS65="","", IFERROR(((IF(AS$5&lt;&gt;"", AS$5*AK$5, 0) + SUMPRODUCT(--(AS$6:AS65&lt;&gt;""), AS$6:AS65, (AK$6:AK65-AK$5:AK64)))/1000), ""))</f>
        <v/>
      </c>
    </row>
    <row r="66">
      <c r="A66" s="1">
        <f>A65+10</f>
        <v/>
      </c>
      <c r="B66" s="1">
        <f>C65</f>
        <v/>
      </c>
      <c r="E66" t="inlineStr">
        <is>
          <t>60mL/3s/30s</t>
        </is>
      </c>
      <c r="I66" s="1">
        <f>IF(C66="", "", (B66-C66)*1000/(A66-A65))</f>
        <v/>
      </c>
      <c r="J66" s="1">
        <f>IF(I66="","",I66/F$2/3)</f>
        <v/>
      </c>
      <c r="K66" s="1">
        <f>IF(I66="","", 100*_xlfn.STDEV.P(I65:I66)/AVERAGE(I65:I66))</f>
        <v/>
      </c>
      <c r="L66" s="8">
        <f t="array" ref="L66">IF(I66="","", IFERROR(((IF(I$5&lt;&gt;"", I$5*A$5, 0) + SUMPRODUCT(--(I$6:I66&lt;&gt;""), I$6:I66, (A$6:A66-A$5:A65)))/1000), ""))</f>
        <v/>
      </c>
      <c r="M66" s="1">
        <f>M65+10</f>
        <v/>
      </c>
      <c r="N66" s="1">
        <f>O65</f>
        <v/>
      </c>
      <c r="Q66" t="inlineStr">
        <is>
          <t>60mL/3s/30s</t>
        </is>
      </c>
      <c r="U66" s="1">
        <f>IF(O66="", "", (N66-O66)*1000/(M66-M65))</f>
        <v/>
      </c>
      <c r="V66" s="1">
        <f>IF(U66="","",U66/R$2/3)</f>
        <v/>
      </c>
      <c r="W66" s="1">
        <f>IF(U66="","", 100*_xlfn.STDEV.P(U65:U66)/AVERAGE(U65:U66))</f>
        <v/>
      </c>
      <c r="X66" s="8">
        <f t="array" ref="X66">IF(U66="","", IFERROR(((IF(U$5&lt;&gt;"", U$5*M$5, 0) + SUMPRODUCT(--(U$6:U66&lt;&gt;""), U$6:U66, (M$6:M66-M$5:M65)))/1000), ""))</f>
        <v/>
      </c>
      <c r="Y66" s="1">
        <f>Y65+10</f>
        <v/>
      </c>
      <c r="Z66" s="1">
        <f>AA65</f>
        <v/>
      </c>
      <c r="AC66" t="inlineStr">
        <is>
          <t>60mL/3s/30s</t>
        </is>
      </c>
      <c r="AG66" s="1">
        <f>IF(AA66="", "", (Z66-AA66)*1000/(Y66-Y65))</f>
        <v/>
      </c>
      <c r="AH66" s="1">
        <f>IF(AG66="","",AG66/AD$2/3)</f>
        <v/>
      </c>
      <c r="AI66" s="1">
        <f>IF(AG66="","", 100*_xlfn.STDEV.P(AG65:AG66)/AVERAGE(AG65:AG66))</f>
        <v/>
      </c>
      <c r="AJ66" s="8">
        <f t="array" ref="AJ66">IF(AG66="","", IFERROR(((IF(AG$5&lt;&gt;"", AG$5*Y$5, 0) + SUMPRODUCT(--(AG$6:AG66&lt;&gt;""), AG$6:AG66, (Y$6:Y66-Y$5:Y65)))/1000), ""))</f>
        <v/>
      </c>
      <c r="AK66" s="1">
        <f>AK65+10</f>
        <v/>
      </c>
      <c r="AL66" s="1">
        <f>AM65</f>
        <v/>
      </c>
      <c r="AO66" t="inlineStr">
        <is>
          <t>60mL/3s/30s</t>
        </is>
      </c>
      <c r="AS66" s="1">
        <f>IF(AM66="", "", (AL66-AM66)*1000/(AK66-AK65))</f>
        <v/>
      </c>
      <c r="AT66" s="1">
        <f>IF(AS66="","",AS66/AP$2/3)</f>
        <v/>
      </c>
      <c r="AU66" s="1">
        <f>IF(AS66="","", 100*_xlfn.STDEV.P(AS65:AS66)/AVERAGE(AS65:AS66))</f>
        <v/>
      </c>
      <c r="AV66" s="8">
        <f t="array" ref="AV66">IF(AS66="","", IFERROR(((IF(AS$5&lt;&gt;"", AS$5*AK$5, 0) + SUMPRODUCT(--(AS$6:AS66&lt;&gt;""), AS$6:AS66, (AK$6:AK66-AK$5:AK65)))/1000), ""))</f>
        <v/>
      </c>
    </row>
    <row r="67">
      <c r="A67" s="1">
        <f>A66+10</f>
        <v/>
      </c>
      <c r="B67" s="1">
        <f>C66</f>
        <v/>
      </c>
      <c r="E67" t="inlineStr">
        <is>
          <t>60mL/3s/30s</t>
        </is>
      </c>
      <c r="I67" s="1">
        <f>IF(C67="", "", (B67-C67)*1000/(A67-A66))</f>
        <v/>
      </c>
      <c r="J67" s="1">
        <f>IF(I67="","",I67/F$2/3)</f>
        <v/>
      </c>
      <c r="K67" s="1">
        <f>IF(I67="","", 100*_xlfn.STDEV.P(I66:I67)/AVERAGE(I66:I67))</f>
        <v/>
      </c>
      <c r="L67" s="8">
        <f t="array" ref="L67">IF(I67="","", IFERROR(((IF(I$5&lt;&gt;"", I$5*A$5, 0) + SUMPRODUCT(--(I$6:I67&lt;&gt;""), I$6:I67, (A$6:A67-A$5:A66)))/1000), ""))</f>
        <v/>
      </c>
      <c r="M67" s="1">
        <f>M66+10</f>
        <v/>
      </c>
      <c r="N67" s="1">
        <f>O66</f>
        <v/>
      </c>
      <c r="Q67" t="inlineStr">
        <is>
          <t>60mL/3s/30s</t>
        </is>
      </c>
      <c r="U67" s="1">
        <f>IF(O67="", "", (N67-O67)*1000/(M67-M66))</f>
        <v/>
      </c>
      <c r="V67" s="1">
        <f>IF(U67="","",U67/R$2/3)</f>
        <v/>
      </c>
      <c r="W67" s="1">
        <f>IF(U67="","", 100*_xlfn.STDEV.P(U66:U67)/AVERAGE(U66:U67))</f>
        <v/>
      </c>
      <c r="X67" s="8">
        <f t="array" ref="X67">IF(U67="","", IFERROR(((IF(U$5&lt;&gt;"", U$5*M$5, 0) + SUMPRODUCT(--(U$6:U67&lt;&gt;""), U$6:U67, (M$6:M67-M$5:M66)))/1000), ""))</f>
        <v/>
      </c>
      <c r="Y67" s="1">
        <f>Y66+10</f>
        <v/>
      </c>
      <c r="Z67" s="1">
        <f>AA66</f>
        <v/>
      </c>
      <c r="AC67" t="inlineStr">
        <is>
          <t>60mL/3s/30s</t>
        </is>
      </c>
      <c r="AG67" s="1">
        <f>IF(AA67="", "", (Z67-AA67)*1000/(Y67-Y66))</f>
        <v/>
      </c>
      <c r="AH67" s="1">
        <f>IF(AG67="","",AG67/AD$2/3)</f>
        <v/>
      </c>
      <c r="AI67" s="1">
        <f>IF(AG67="","", 100*_xlfn.STDEV.P(AG66:AG67)/AVERAGE(AG66:AG67))</f>
        <v/>
      </c>
      <c r="AJ67" s="8">
        <f t="array" ref="AJ67">IF(AG67="","", IFERROR(((IF(AG$5&lt;&gt;"", AG$5*Y$5, 0) + SUMPRODUCT(--(AG$6:AG67&lt;&gt;""), AG$6:AG67, (Y$6:Y67-Y$5:Y66)))/1000), ""))</f>
        <v/>
      </c>
      <c r="AK67" s="1">
        <f>AK66+10</f>
        <v/>
      </c>
      <c r="AL67" s="1">
        <f>AM66</f>
        <v/>
      </c>
      <c r="AO67" t="inlineStr">
        <is>
          <t>60mL/3s/30s</t>
        </is>
      </c>
      <c r="AS67" s="1">
        <f>IF(AM67="", "", (AL67-AM67)*1000/(AK67-AK66))</f>
        <v/>
      </c>
      <c r="AT67" s="1">
        <f>IF(AS67="","",AS67/AP$2/3)</f>
        <v/>
      </c>
      <c r="AU67" s="1">
        <f>IF(AS67="","", 100*_xlfn.STDEV.P(AS66:AS67)/AVERAGE(AS66:AS67))</f>
        <v/>
      </c>
      <c r="AV67" s="8">
        <f t="array" ref="AV67">IF(AS67="","", IFERROR(((IF(AS$5&lt;&gt;"", AS$5*AK$5, 0) + SUMPRODUCT(--(AS$6:AS67&lt;&gt;""), AS$6:AS67, (AK$6:AK67-AK$5:AK66)))/1000), ""))</f>
        <v/>
      </c>
    </row>
    <row r="68">
      <c r="A68" s="1">
        <f>A67+10</f>
        <v/>
      </c>
      <c r="B68" s="1">
        <f>C67</f>
        <v/>
      </c>
      <c r="E68" t="inlineStr">
        <is>
          <t>60mL/3s/30s</t>
        </is>
      </c>
      <c r="I68" s="1">
        <f>IF(C68="", "", (B68-C68)*1000/(A68-A67))</f>
        <v/>
      </c>
      <c r="J68" s="1">
        <f>IF(I68="","",I68/F$2/3)</f>
        <v/>
      </c>
      <c r="K68" s="1">
        <f>IF(I68="","", 100*_xlfn.STDEV.P(I67:I68)/AVERAGE(I67:I68))</f>
        <v/>
      </c>
      <c r="L68" s="8">
        <f t="array" ref="L68">IF(I68="","", IFERROR(((IF(I$5&lt;&gt;"", I$5*A$5, 0) + SUMPRODUCT(--(I$6:I68&lt;&gt;""), I$6:I68, (A$6:A68-A$5:A67)))/1000), ""))</f>
        <v/>
      </c>
      <c r="M68" s="1">
        <f>M67+10</f>
        <v/>
      </c>
      <c r="N68" s="1">
        <f>O67</f>
        <v/>
      </c>
      <c r="Q68" t="inlineStr">
        <is>
          <t>60mL/3s/30s</t>
        </is>
      </c>
      <c r="U68" s="1">
        <f>IF(O68="", "", (N68-O68)*1000/(M68-M67))</f>
        <v/>
      </c>
      <c r="V68" s="1">
        <f>IF(U68="","",U68/R$2/3)</f>
        <v/>
      </c>
      <c r="W68" s="1">
        <f>IF(U68="","", 100*_xlfn.STDEV.P(U67:U68)/AVERAGE(U67:U68))</f>
        <v/>
      </c>
      <c r="X68" s="8">
        <f t="array" ref="X68">IF(U68="","", IFERROR(((IF(U$5&lt;&gt;"", U$5*M$5, 0) + SUMPRODUCT(--(U$6:U68&lt;&gt;""), U$6:U68, (M$6:M68-M$5:M67)))/1000), ""))</f>
        <v/>
      </c>
      <c r="Y68" s="1">
        <f>Y67+10</f>
        <v/>
      </c>
      <c r="Z68" s="1">
        <f>AA67</f>
        <v/>
      </c>
      <c r="AC68" t="inlineStr">
        <is>
          <t>60mL/3s/30s</t>
        </is>
      </c>
      <c r="AG68" s="1">
        <f>IF(AA68="", "", (Z68-AA68)*1000/(Y68-Y67))</f>
        <v/>
      </c>
      <c r="AH68" s="1">
        <f>IF(AG68="","",AG68/AD$2/3)</f>
        <v/>
      </c>
      <c r="AI68" s="1">
        <f>IF(AG68="","", 100*_xlfn.STDEV.P(AG67:AG68)/AVERAGE(AG67:AG68))</f>
        <v/>
      </c>
      <c r="AJ68" s="8">
        <f t="array" ref="AJ68">IF(AG68="","", IFERROR(((IF(AG$5&lt;&gt;"", AG$5*Y$5, 0) + SUMPRODUCT(--(AG$6:AG68&lt;&gt;""), AG$6:AG68, (Y$6:Y68-Y$5:Y67)))/1000), ""))</f>
        <v/>
      </c>
      <c r="AK68" s="1">
        <f>AK67+10</f>
        <v/>
      </c>
      <c r="AL68" s="1">
        <f>AM67</f>
        <v/>
      </c>
      <c r="AO68" t="inlineStr">
        <is>
          <t>60mL/3s/30s</t>
        </is>
      </c>
      <c r="AS68" s="1">
        <f>IF(AM68="", "", (AL68-AM68)*1000/(AK68-AK67))</f>
        <v/>
      </c>
      <c r="AT68" s="1">
        <f>IF(AS68="","",AS68/AP$2/3)</f>
        <v/>
      </c>
      <c r="AU68" s="1">
        <f>IF(AS68="","", 100*_xlfn.STDEV.P(AS67:AS68)/AVERAGE(AS67:AS68))</f>
        <v/>
      </c>
      <c r="AV68" s="8">
        <f t="array" ref="AV68">IF(AS68="","", IFERROR(((IF(AS$5&lt;&gt;"", AS$5*AK$5, 0) + SUMPRODUCT(--(AS$6:AS68&lt;&gt;""), AS$6:AS68, (AK$6:AK68-AK$5:AK67)))/1000), ""))</f>
        <v/>
      </c>
    </row>
    <row r="69">
      <c r="A69" s="1">
        <f>A68+10</f>
        <v/>
      </c>
      <c r="B69" s="1">
        <f>C68</f>
        <v/>
      </c>
      <c r="E69" t="inlineStr">
        <is>
          <t>60mL/3s/30s</t>
        </is>
      </c>
      <c r="I69" s="1">
        <f>IF(C69="", "", (B69-C69)*1000/(A69-A68))</f>
        <v/>
      </c>
      <c r="J69" s="1">
        <f>IF(I69="","",I69/F$2/3)</f>
        <v/>
      </c>
      <c r="K69" s="1">
        <f>IF(I69="","", 100*_xlfn.STDEV.P(I68:I69)/AVERAGE(I68:I69))</f>
        <v/>
      </c>
      <c r="L69" s="8">
        <f t="array" ref="L69">IF(I69="","", IFERROR(((IF(I$5&lt;&gt;"", I$5*A$5, 0) + SUMPRODUCT(--(I$6:I69&lt;&gt;""), I$6:I69, (A$6:A69-A$5:A68)))/1000), ""))</f>
        <v/>
      </c>
      <c r="M69" s="1">
        <f>M68+10</f>
        <v/>
      </c>
      <c r="N69" s="1">
        <f>O68</f>
        <v/>
      </c>
      <c r="Q69" t="inlineStr">
        <is>
          <t>60mL/3s/30s</t>
        </is>
      </c>
      <c r="U69" s="1">
        <f>IF(O69="", "", (N69-O69)*1000/(M69-M68))</f>
        <v/>
      </c>
      <c r="V69" s="1">
        <f>IF(U69="","",U69/R$2/3)</f>
        <v/>
      </c>
      <c r="W69" s="1">
        <f>IF(U69="","", 100*_xlfn.STDEV.P(U68:U69)/AVERAGE(U68:U69))</f>
        <v/>
      </c>
      <c r="X69" s="8">
        <f t="array" ref="X69">IF(U69="","", IFERROR(((IF(U$5&lt;&gt;"", U$5*M$5, 0) + SUMPRODUCT(--(U$6:U69&lt;&gt;""), U$6:U69, (M$6:M69-M$5:M68)))/1000), ""))</f>
        <v/>
      </c>
      <c r="Y69" s="1">
        <f>Y68+10</f>
        <v/>
      </c>
      <c r="Z69" s="1">
        <f>AA68</f>
        <v/>
      </c>
      <c r="AC69" t="inlineStr">
        <is>
          <t>60mL/3s/30s</t>
        </is>
      </c>
      <c r="AG69" s="1">
        <f>IF(AA69="", "", (Z69-AA69)*1000/(Y69-Y68))</f>
        <v/>
      </c>
      <c r="AH69" s="1">
        <f>IF(AG69="","",AG69/AD$2/3)</f>
        <v/>
      </c>
      <c r="AI69" s="1">
        <f>IF(AG69="","", 100*_xlfn.STDEV.P(AG68:AG69)/AVERAGE(AG68:AG69))</f>
        <v/>
      </c>
      <c r="AJ69" s="8">
        <f t="array" ref="AJ69">IF(AG69="","", IFERROR(((IF(AG$5&lt;&gt;"", AG$5*Y$5, 0) + SUMPRODUCT(--(AG$6:AG69&lt;&gt;""), AG$6:AG69, (Y$6:Y69-Y$5:Y68)))/1000), ""))</f>
        <v/>
      </c>
      <c r="AK69" s="1">
        <f>AK68+10</f>
        <v/>
      </c>
      <c r="AL69" s="1">
        <f>AM68</f>
        <v/>
      </c>
      <c r="AO69" t="inlineStr">
        <is>
          <t>60mL/3s/30s</t>
        </is>
      </c>
      <c r="AS69" s="1">
        <f>IF(AM69="", "", (AL69-AM69)*1000/(AK69-AK68))</f>
        <v/>
      </c>
      <c r="AT69" s="1">
        <f>IF(AS69="","",AS69/AP$2/3)</f>
        <v/>
      </c>
      <c r="AU69" s="1">
        <f>IF(AS69="","", 100*_xlfn.STDEV.P(AS68:AS69)/AVERAGE(AS68:AS69))</f>
        <v/>
      </c>
      <c r="AV69" s="8">
        <f t="array" ref="AV69">IF(AS69="","", IFERROR(((IF(AS$5&lt;&gt;"", AS$5*AK$5, 0) + SUMPRODUCT(--(AS$6:AS69&lt;&gt;""), AS$6:AS69, (AK$6:AK69-AK$5:AK68)))/1000), ""))</f>
        <v/>
      </c>
    </row>
    <row r="70">
      <c r="A70" s="1">
        <f>A69+10</f>
        <v/>
      </c>
      <c r="B70" s="1">
        <f>C69</f>
        <v/>
      </c>
      <c r="E70" t="inlineStr">
        <is>
          <t>60mL/3s/30s</t>
        </is>
      </c>
      <c r="I70" s="1">
        <f>IF(C70="", "", (B70-C70)*1000/(A70-A69))</f>
        <v/>
      </c>
      <c r="J70" s="1">
        <f>IF(I70="","",I70/F$2/3)</f>
        <v/>
      </c>
      <c r="K70" s="1">
        <f>IF(I70="","", 100*_xlfn.STDEV.P(I69:I70)/AVERAGE(I69:I70))</f>
        <v/>
      </c>
      <c r="L70" s="8">
        <f t="array" ref="L70">IF(I70="","", IFERROR(((IF(I$5&lt;&gt;"", I$5*A$5, 0) + SUMPRODUCT(--(I$6:I70&lt;&gt;""), I$6:I70, (A$6:A70-A$5:A69)))/1000), ""))</f>
        <v/>
      </c>
      <c r="M70" s="1">
        <f>M69+10</f>
        <v/>
      </c>
      <c r="N70" s="1">
        <f>O69</f>
        <v/>
      </c>
      <c r="Q70" t="inlineStr">
        <is>
          <t>60mL/3s/30s</t>
        </is>
      </c>
      <c r="U70" s="1">
        <f>IF(O70="", "", (N70-O70)*1000/(M70-M69))</f>
        <v/>
      </c>
      <c r="V70" s="1">
        <f>IF(U70="","",U70/R$2/3)</f>
        <v/>
      </c>
      <c r="W70" s="1">
        <f>IF(U70="","", 100*_xlfn.STDEV.P(U69:U70)/AVERAGE(U69:U70))</f>
        <v/>
      </c>
      <c r="X70" s="8">
        <f t="array" ref="X70">IF(U70="","", IFERROR(((IF(U$5&lt;&gt;"", U$5*M$5, 0) + SUMPRODUCT(--(U$6:U70&lt;&gt;""), U$6:U70, (M$6:M70-M$5:M69)))/1000), ""))</f>
        <v/>
      </c>
      <c r="Y70" s="1">
        <f>Y69+10</f>
        <v/>
      </c>
      <c r="Z70" s="1">
        <f>AA69</f>
        <v/>
      </c>
      <c r="AC70" t="inlineStr">
        <is>
          <t>60mL/3s/30s</t>
        </is>
      </c>
      <c r="AG70" s="1">
        <f>IF(AA70="", "", (Z70-AA70)*1000/(Y70-Y69))</f>
        <v/>
      </c>
      <c r="AH70" s="1">
        <f>IF(AG70="","",AG70/AD$2/3)</f>
        <v/>
      </c>
      <c r="AI70" s="1">
        <f>IF(AG70="","", 100*_xlfn.STDEV.P(AG69:AG70)/AVERAGE(AG69:AG70))</f>
        <v/>
      </c>
      <c r="AJ70" s="8">
        <f t="array" ref="AJ70">IF(AG70="","", IFERROR(((IF(AG$5&lt;&gt;"", AG$5*Y$5, 0) + SUMPRODUCT(--(AG$6:AG70&lt;&gt;""), AG$6:AG70, (Y$6:Y70-Y$5:Y69)))/1000), ""))</f>
        <v/>
      </c>
      <c r="AK70" s="1">
        <f>AK69+10</f>
        <v/>
      </c>
      <c r="AL70" s="1">
        <f>AM69</f>
        <v/>
      </c>
      <c r="AO70" t="inlineStr">
        <is>
          <t>60mL/3s/30s</t>
        </is>
      </c>
      <c r="AS70" s="1">
        <f>IF(AM70="", "", (AL70-AM70)*1000/(AK70-AK69))</f>
        <v/>
      </c>
      <c r="AT70" s="1">
        <f>IF(AS70="","",AS70/AP$2/3)</f>
        <v/>
      </c>
      <c r="AU70" s="1">
        <f>IF(AS70="","", 100*_xlfn.STDEV.P(AS69:AS70)/AVERAGE(AS69:AS70))</f>
        <v/>
      </c>
      <c r="AV70" s="8">
        <f t="array" ref="AV70">IF(AS70="","", IFERROR(((IF(AS$5&lt;&gt;"", AS$5*AK$5, 0) + SUMPRODUCT(--(AS$6:AS70&lt;&gt;""), AS$6:AS70, (AK$6:AK70-AK$5:AK69)))/1000), ""))</f>
        <v/>
      </c>
    </row>
    <row r="71">
      <c r="A71" s="1">
        <f>A70+10</f>
        <v/>
      </c>
      <c r="B71" s="1">
        <f>C70</f>
        <v/>
      </c>
      <c r="E71" t="inlineStr">
        <is>
          <t>60mL/3s/30s</t>
        </is>
      </c>
      <c r="I71" s="1">
        <f>IF(C71="", "", (B71-C71)*1000/(A71-A70))</f>
        <v/>
      </c>
      <c r="J71" s="1">
        <f>IF(I71="","",I71/F$2/3)</f>
        <v/>
      </c>
      <c r="K71" s="1">
        <f>IF(I71="","", 100*_xlfn.STDEV.P(I70:I71)/AVERAGE(I70:I71))</f>
        <v/>
      </c>
      <c r="L71" s="8">
        <f t="array" ref="L71">IF(I71="","", IFERROR(((IF(I$5&lt;&gt;"", I$5*A$5, 0) + SUMPRODUCT(--(I$6:I71&lt;&gt;""), I$6:I71, (A$6:A71-A$5:A70)))/1000), ""))</f>
        <v/>
      </c>
      <c r="M71" s="1">
        <f>M70+10</f>
        <v/>
      </c>
      <c r="N71" s="1">
        <f>O70</f>
        <v/>
      </c>
      <c r="Q71" t="inlineStr">
        <is>
          <t>60mL/3s/30s</t>
        </is>
      </c>
      <c r="U71" s="1">
        <f>IF(O71="", "", (N71-O71)*1000/(M71-M70))</f>
        <v/>
      </c>
      <c r="V71" s="1">
        <f>IF(U71="","",U71/R$2/3)</f>
        <v/>
      </c>
      <c r="W71" s="1">
        <f>IF(U71="","", 100*_xlfn.STDEV.P(U70:U71)/AVERAGE(U70:U71))</f>
        <v/>
      </c>
      <c r="X71" s="8">
        <f t="array" ref="X71">IF(U71="","", IFERROR(((IF(U$5&lt;&gt;"", U$5*M$5, 0) + SUMPRODUCT(--(U$6:U71&lt;&gt;""), U$6:U71, (M$6:M71-M$5:M70)))/1000), ""))</f>
        <v/>
      </c>
      <c r="Y71" s="1">
        <f>Y70+10</f>
        <v/>
      </c>
      <c r="Z71" s="1">
        <f>AA70</f>
        <v/>
      </c>
      <c r="AC71" t="inlineStr">
        <is>
          <t>60mL/3s/30s</t>
        </is>
      </c>
      <c r="AG71" s="1">
        <f>IF(AA71="", "", (Z71-AA71)*1000/(Y71-Y70))</f>
        <v/>
      </c>
      <c r="AH71" s="1">
        <f>IF(AG71="","",AG71/AD$2/3)</f>
        <v/>
      </c>
      <c r="AI71" s="1">
        <f>IF(AG71="","", 100*_xlfn.STDEV.P(AG70:AG71)/AVERAGE(AG70:AG71))</f>
        <v/>
      </c>
      <c r="AJ71" s="8">
        <f t="array" ref="AJ71">IF(AG71="","", IFERROR(((IF(AG$5&lt;&gt;"", AG$5*Y$5, 0) + SUMPRODUCT(--(AG$6:AG71&lt;&gt;""), AG$6:AG71, (Y$6:Y71-Y$5:Y70)))/1000), ""))</f>
        <v/>
      </c>
      <c r="AK71" s="1">
        <f>AK70+10</f>
        <v/>
      </c>
      <c r="AL71" s="1">
        <f>AM70</f>
        <v/>
      </c>
      <c r="AO71" t="inlineStr">
        <is>
          <t>60mL/3s/30s</t>
        </is>
      </c>
      <c r="AS71" s="1">
        <f>IF(AM71="", "", (AL71-AM71)*1000/(AK71-AK70))</f>
        <v/>
      </c>
      <c r="AT71" s="1">
        <f>IF(AS71="","",AS71/AP$2/3)</f>
        <v/>
      </c>
      <c r="AU71" s="1">
        <f>IF(AS71="","", 100*_xlfn.STDEV.P(AS70:AS71)/AVERAGE(AS70:AS71))</f>
        <v/>
      </c>
      <c r="AV71" s="8">
        <f t="array" ref="AV71">IF(AS71="","", IFERROR(((IF(AS$5&lt;&gt;"", AS$5*AK$5, 0) + SUMPRODUCT(--(AS$6:AS71&lt;&gt;""), AS$6:AS71, (AK$6:AK71-AK$5:AK70)))/1000), ""))</f>
        <v/>
      </c>
    </row>
    <row r="72">
      <c r="A72" s="1">
        <f>A71+10</f>
        <v/>
      </c>
      <c r="B72" s="1">
        <f>C71</f>
        <v/>
      </c>
      <c r="E72" t="inlineStr">
        <is>
          <t>60mL/3s/30s</t>
        </is>
      </c>
      <c r="I72" s="1">
        <f>IF(C72="", "", (B72-C72)*1000/(A72-A71))</f>
        <v/>
      </c>
      <c r="J72" s="1">
        <f>IF(I72="","",I72/F$2/3)</f>
        <v/>
      </c>
      <c r="K72" s="1">
        <f>IF(I72="","", 100*_xlfn.STDEV.P(I71:I72)/AVERAGE(I71:I72))</f>
        <v/>
      </c>
      <c r="L72" s="8">
        <f t="array" ref="L72">IF(I72="","", IFERROR(((IF(I$5&lt;&gt;"", I$5*A$5, 0) + SUMPRODUCT(--(I$6:I72&lt;&gt;""), I$6:I72, (A$6:A72-A$5:A71)))/1000), ""))</f>
        <v/>
      </c>
      <c r="M72" s="1">
        <f>M71+10</f>
        <v/>
      </c>
      <c r="N72" s="1">
        <f>O71</f>
        <v/>
      </c>
      <c r="Q72" t="inlineStr">
        <is>
          <t>60mL/3s/30s</t>
        </is>
      </c>
      <c r="U72" s="1">
        <f>IF(O72="", "", (N72-O72)*1000/(M72-M71))</f>
        <v/>
      </c>
      <c r="V72" s="1">
        <f>IF(U72="","",U72/R$2/3)</f>
        <v/>
      </c>
      <c r="W72" s="1">
        <f>IF(U72="","", 100*_xlfn.STDEV.P(U71:U72)/AVERAGE(U71:U72))</f>
        <v/>
      </c>
      <c r="X72" s="8">
        <f t="array" ref="X72">IF(U72="","", IFERROR(((IF(U$5&lt;&gt;"", U$5*M$5, 0) + SUMPRODUCT(--(U$6:U72&lt;&gt;""), U$6:U72, (M$6:M72-M$5:M71)))/1000), ""))</f>
        <v/>
      </c>
      <c r="Y72" s="1">
        <f>Y71+10</f>
        <v/>
      </c>
      <c r="Z72" s="1">
        <f>AA71</f>
        <v/>
      </c>
      <c r="AC72" t="inlineStr">
        <is>
          <t>60mL/3s/30s</t>
        </is>
      </c>
      <c r="AG72" s="1">
        <f>IF(AA72="", "", (Z72-AA72)*1000/(Y72-Y71))</f>
        <v/>
      </c>
      <c r="AH72" s="1">
        <f>IF(AG72="","",AG72/AD$2/3)</f>
        <v/>
      </c>
      <c r="AI72" s="1">
        <f>IF(AG72="","", 100*_xlfn.STDEV.P(AG71:AG72)/AVERAGE(AG71:AG72))</f>
        <v/>
      </c>
      <c r="AJ72" s="8">
        <f t="array" ref="AJ72">IF(AG72="","", IFERROR(((IF(AG$5&lt;&gt;"", AG$5*Y$5, 0) + SUMPRODUCT(--(AG$6:AG72&lt;&gt;""), AG$6:AG72, (Y$6:Y72-Y$5:Y71)))/1000), ""))</f>
        <v/>
      </c>
      <c r="AK72" s="1">
        <f>AK71+10</f>
        <v/>
      </c>
      <c r="AL72" s="1">
        <f>AM71</f>
        <v/>
      </c>
      <c r="AO72" t="inlineStr">
        <is>
          <t>60mL/3s/30s</t>
        </is>
      </c>
      <c r="AS72" s="1">
        <f>IF(AM72="", "", (AL72-AM72)*1000/(AK72-AK71))</f>
        <v/>
      </c>
      <c r="AT72" s="1">
        <f>IF(AS72="","",AS72/AP$2/3)</f>
        <v/>
      </c>
      <c r="AU72" s="1">
        <f>IF(AS72="","", 100*_xlfn.STDEV.P(AS71:AS72)/AVERAGE(AS71:AS72))</f>
        <v/>
      </c>
      <c r="AV72" s="8">
        <f t="array" ref="AV72">IF(AS72="","", IFERROR(((IF(AS$5&lt;&gt;"", AS$5*AK$5, 0) + SUMPRODUCT(--(AS$6:AS72&lt;&gt;""), AS$6:AS72, (AK$6:AK72-AK$5:AK71)))/1000), ""))</f>
        <v/>
      </c>
    </row>
    <row r="73">
      <c r="A73" s="1">
        <f>A72+10</f>
        <v/>
      </c>
      <c r="B73" s="1">
        <f>C72</f>
        <v/>
      </c>
      <c r="E73" t="inlineStr">
        <is>
          <t>60mL/3s/30s</t>
        </is>
      </c>
      <c r="I73" s="1">
        <f>IF(C73="", "", (B73-C73)*1000/(A73-A72))</f>
        <v/>
      </c>
      <c r="J73" s="1">
        <f>IF(I73="","",I73/F$2/3)</f>
        <v/>
      </c>
      <c r="K73" s="1">
        <f>IF(I73="","", 100*_xlfn.STDEV.P(I72:I73)/AVERAGE(I72:I73))</f>
        <v/>
      </c>
      <c r="L73" s="8">
        <f t="array" ref="L73">IF(I73="","", IFERROR(((IF(I$5&lt;&gt;"", I$5*A$5, 0) + SUMPRODUCT(--(I$6:I73&lt;&gt;""), I$6:I73, (A$6:A73-A$5:A72)))/1000), ""))</f>
        <v/>
      </c>
      <c r="M73" s="1">
        <f>M72+10</f>
        <v/>
      </c>
      <c r="N73" s="1">
        <f>O72</f>
        <v/>
      </c>
      <c r="Q73" t="inlineStr">
        <is>
          <t>60mL/3s/30s</t>
        </is>
      </c>
      <c r="U73" s="1">
        <f>IF(O73="", "", (N73-O73)*1000/(M73-M72))</f>
        <v/>
      </c>
      <c r="V73" s="1">
        <f>IF(U73="","",U73/R$2/3)</f>
        <v/>
      </c>
      <c r="W73" s="1">
        <f>IF(U73="","", 100*_xlfn.STDEV.P(U72:U73)/AVERAGE(U72:U73))</f>
        <v/>
      </c>
      <c r="X73" s="8">
        <f t="array" ref="X73">IF(U73="","", IFERROR(((IF(U$5&lt;&gt;"", U$5*M$5, 0) + SUMPRODUCT(--(U$6:U73&lt;&gt;""), U$6:U73, (M$6:M73-M$5:M72)))/1000), ""))</f>
        <v/>
      </c>
      <c r="Y73" s="1">
        <f>Y72+10</f>
        <v/>
      </c>
      <c r="Z73" s="1">
        <f>AA72</f>
        <v/>
      </c>
      <c r="AC73" t="inlineStr">
        <is>
          <t>60mL/3s/30s</t>
        </is>
      </c>
      <c r="AG73" s="1">
        <f>IF(AA73="", "", (Z73-AA73)*1000/(Y73-Y72))</f>
        <v/>
      </c>
      <c r="AH73" s="1">
        <f>IF(AG73="","",AG73/AD$2/3)</f>
        <v/>
      </c>
      <c r="AI73" s="1">
        <f>IF(AG73="","", 100*_xlfn.STDEV.P(AG72:AG73)/AVERAGE(AG72:AG73))</f>
        <v/>
      </c>
      <c r="AJ73" s="8">
        <f t="array" ref="AJ73">IF(AG73="","", IFERROR(((IF(AG$5&lt;&gt;"", AG$5*Y$5, 0) + SUMPRODUCT(--(AG$6:AG73&lt;&gt;""), AG$6:AG73, (Y$6:Y73-Y$5:Y72)))/1000), ""))</f>
        <v/>
      </c>
      <c r="AK73" s="1">
        <f>AK72+10</f>
        <v/>
      </c>
      <c r="AL73" s="1">
        <f>AM72</f>
        <v/>
      </c>
      <c r="AO73" t="inlineStr">
        <is>
          <t>60mL/3s/30s</t>
        </is>
      </c>
      <c r="AS73" s="1">
        <f>IF(AM73="", "", (AL73-AM73)*1000/(AK73-AK72))</f>
        <v/>
      </c>
      <c r="AT73" s="1">
        <f>IF(AS73="","",AS73/AP$2/3)</f>
        <v/>
      </c>
      <c r="AU73" s="1">
        <f>IF(AS73="","", 100*_xlfn.STDEV.P(AS72:AS73)/AVERAGE(AS72:AS73))</f>
        <v/>
      </c>
      <c r="AV73" s="8">
        <f t="array" ref="AV73">IF(AS73="","", IFERROR(((IF(AS$5&lt;&gt;"", AS$5*AK$5, 0) + SUMPRODUCT(--(AS$6:AS73&lt;&gt;""), AS$6:AS73, (AK$6:AK73-AK$5:AK72)))/1000), ""))</f>
        <v/>
      </c>
    </row>
    <row r="74">
      <c r="A74" s="1">
        <f>A73+10</f>
        <v/>
      </c>
      <c r="B74" s="1">
        <f>C73</f>
        <v/>
      </c>
      <c r="E74" t="inlineStr">
        <is>
          <t>60mL/3s/30s</t>
        </is>
      </c>
      <c r="I74" s="1">
        <f>IF(C74="", "", (B74-C74)*1000/(A74-A73))</f>
        <v/>
      </c>
      <c r="J74" s="1">
        <f>IF(I74="","",I74/F$2/3)</f>
        <v/>
      </c>
      <c r="K74" s="1">
        <f>IF(I74="","", 100*_xlfn.STDEV.P(I73:I74)/AVERAGE(I73:I74))</f>
        <v/>
      </c>
      <c r="L74" s="8">
        <f t="array" ref="L74">IF(I74="","", IFERROR(((IF(I$5&lt;&gt;"", I$5*A$5, 0) + SUMPRODUCT(--(I$6:I74&lt;&gt;""), I$6:I74, (A$6:A74-A$5:A73)))/1000), ""))</f>
        <v/>
      </c>
      <c r="M74" s="1">
        <f>M73+10</f>
        <v/>
      </c>
      <c r="N74" s="1">
        <f>O73</f>
        <v/>
      </c>
      <c r="Q74" t="inlineStr">
        <is>
          <t>60mL/3s/30s</t>
        </is>
      </c>
      <c r="U74" s="1">
        <f>IF(O74="", "", (N74-O74)*1000/(M74-M73))</f>
        <v/>
      </c>
      <c r="V74" s="1">
        <f>IF(U74="","",U74/R$2/3)</f>
        <v/>
      </c>
      <c r="W74" s="1">
        <f>IF(U74="","", 100*_xlfn.STDEV.P(U73:U74)/AVERAGE(U73:U74))</f>
        <v/>
      </c>
      <c r="X74" s="8">
        <f t="array" ref="X74">IF(U74="","", IFERROR(((IF(U$5&lt;&gt;"", U$5*M$5, 0) + SUMPRODUCT(--(U$6:U74&lt;&gt;""), U$6:U74, (M$6:M74-M$5:M73)))/1000), ""))</f>
        <v/>
      </c>
      <c r="Y74" s="1">
        <f>Y73+10</f>
        <v/>
      </c>
      <c r="Z74" s="1">
        <f>AA73</f>
        <v/>
      </c>
      <c r="AC74" t="inlineStr">
        <is>
          <t>60mL/3s/30s</t>
        </is>
      </c>
      <c r="AG74" s="1">
        <f>IF(AA74="", "", (Z74-AA74)*1000/(Y74-Y73))</f>
        <v/>
      </c>
      <c r="AH74" s="1">
        <f>IF(AG74="","",AG74/AD$2/3)</f>
        <v/>
      </c>
      <c r="AI74" s="1">
        <f>IF(AG74="","", 100*_xlfn.STDEV.P(AG73:AG74)/AVERAGE(AG73:AG74))</f>
        <v/>
      </c>
      <c r="AJ74" s="8">
        <f t="array" ref="AJ74">IF(AG74="","", IFERROR(((IF(AG$5&lt;&gt;"", AG$5*Y$5, 0) + SUMPRODUCT(--(AG$6:AG74&lt;&gt;""), AG$6:AG74, (Y$6:Y74-Y$5:Y73)))/1000), ""))</f>
        <v/>
      </c>
      <c r="AK74" s="1">
        <f>AK73+10</f>
        <v/>
      </c>
      <c r="AL74" s="1">
        <f>AM73</f>
        <v/>
      </c>
      <c r="AO74" t="inlineStr">
        <is>
          <t>60mL/3s/30s</t>
        </is>
      </c>
      <c r="AS74" s="1">
        <f>IF(AM74="", "", (AL74-AM74)*1000/(AK74-AK73))</f>
        <v/>
      </c>
      <c r="AT74" s="1">
        <f>IF(AS74="","",AS74/AP$2/3)</f>
        <v/>
      </c>
      <c r="AU74" s="1">
        <f>IF(AS74="","", 100*_xlfn.STDEV.P(AS73:AS74)/AVERAGE(AS73:AS74))</f>
        <v/>
      </c>
      <c r="AV74" s="8">
        <f t="array" ref="AV74">IF(AS74="","", IFERROR(((IF(AS$5&lt;&gt;"", AS$5*AK$5, 0) + SUMPRODUCT(--(AS$6:AS74&lt;&gt;""), AS$6:AS74, (AK$6:AK74-AK$5:AK73)))/1000), ""))</f>
        <v/>
      </c>
    </row>
    <row r="75">
      <c r="A75" s="1">
        <f>A74+10</f>
        <v/>
      </c>
      <c r="B75" s="1">
        <f>C74</f>
        <v/>
      </c>
      <c r="E75" t="inlineStr">
        <is>
          <t>60mL/3s/30s</t>
        </is>
      </c>
      <c r="I75" s="1">
        <f>IF(C75="", "", (B75-C75)*1000/(A75-A74))</f>
        <v/>
      </c>
      <c r="J75" s="1">
        <f>IF(I75="","",I75/F$2/3)</f>
        <v/>
      </c>
      <c r="K75" s="1">
        <f>IF(I75="","", 100*_xlfn.STDEV.P(I74:I75)/AVERAGE(I74:I75))</f>
        <v/>
      </c>
      <c r="L75" s="8">
        <f t="array" ref="L75">IF(I75="","", IFERROR(((IF(I$5&lt;&gt;"", I$5*A$5, 0) + SUMPRODUCT(--(I$6:I75&lt;&gt;""), I$6:I75, (A$6:A75-A$5:A74)))/1000), ""))</f>
        <v/>
      </c>
      <c r="M75" s="1">
        <f>M74+10</f>
        <v/>
      </c>
      <c r="N75" s="1">
        <f>O74</f>
        <v/>
      </c>
      <c r="Q75" t="inlineStr">
        <is>
          <t>60mL/3s/30s</t>
        </is>
      </c>
      <c r="U75" s="1">
        <f>IF(O75="", "", (N75-O75)*1000/(M75-M74))</f>
        <v/>
      </c>
      <c r="V75" s="1">
        <f>IF(U75="","",U75/R$2/3)</f>
        <v/>
      </c>
      <c r="W75" s="1">
        <f>IF(U75="","", 100*_xlfn.STDEV.P(U74:U75)/AVERAGE(U74:U75))</f>
        <v/>
      </c>
      <c r="X75" s="8">
        <f t="array" ref="X75">IF(U75="","", IFERROR(((IF(U$5&lt;&gt;"", U$5*M$5, 0) + SUMPRODUCT(--(U$6:U75&lt;&gt;""), U$6:U75, (M$6:M75-M$5:M74)))/1000), ""))</f>
        <v/>
      </c>
      <c r="Y75" s="1">
        <f>Y74+10</f>
        <v/>
      </c>
      <c r="Z75" s="1">
        <f>AA74</f>
        <v/>
      </c>
      <c r="AC75" t="inlineStr">
        <is>
          <t>60mL/3s/30s</t>
        </is>
      </c>
      <c r="AG75" s="1">
        <f>IF(AA75="", "", (Z75-AA75)*1000/(Y75-Y74))</f>
        <v/>
      </c>
      <c r="AH75" s="1">
        <f>IF(AG75="","",AG75/AD$2/3)</f>
        <v/>
      </c>
      <c r="AI75" s="1">
        <f>IF(AG75="","", 100*_xlfn.STDEV.P(AG74:AG75)/AVERAGE(AG74:AG75))</f>
        <v/>
      </c>
      <c r="AJ75" s="8">
        <f t="array" ref="AJ75">IF(AG75="","", IFERROR(((IF(AG$5&lt;&gt;"", AG$5*Y$5, 0) + SUMPRODUCT(--(AG$6:AG75&lt;&gt;""), AG$6:AG75, (Y$6:Y75-Y$5:Y74)))/1000), ""))</f>
        <v/>
      </c>
      <c r="AK75" s="1">
        <f>AK74+10</f>
        <v/>
      </c>
      <c r="AL75" s="1">
        <f>AM74</f>
        <v/>
      </c>
      <c r="AO75" t="inlineStr">
        <is>
          <t>60mL/3s/30s</t>
        </is>
      </c>
      <c r="AS75" s="1">
        <f>IF(AM75="", "", (AL75-AM75)*1000/(AK75-AK74))</f>
        <v/>
      </c>
      <c r="AT75" s="1">
        <f>IF(AS75="","",AS75/AP$2/3)</f>
        <v/>
      </c>
      <c r="AU75" s="1">
        <f>IF(AS75="","", 100*_xlfn.STDEV.P(AS74:AS75)/AVERAGE(AS74:AS75))</f>
        <v/>
      </c>
      <c r="AV75" s="8">
        <f t="array" ref="AV75">IF(AS75="","", IFERROR(((IF(AS$5&lt;&gt;"", AS$5*AK$5, 0) + SUMPRODUCT(--(AS$6:AS75&lt;&gt;""), AS$6:AS75, (AK$6:AK75-AK$5:AK74)))/1000), ""))</f>
        <v/>
      </c>
    </row>
    <row r="76">
      <c r="A76" s="1">
        <f>A75+10</f>
        <v/>
      </c>
      <c r="B76" s="1">
        <f>C75</f>
        <v/>
      </c>
      <c r="E76" t="inlineStr">
        <is>
          <t>60mL/3s/30s</t>
        </is>
      </c>
      <c r="I76" s="1">
        <f>IF(C76="", "", (B76-C76)*1000/(A76-A75))</f>
        <v/>
      </c>
      <c r="J76" s="1">
        <f>IF(I76="","",I76/F$2/3)</f>
        <v/>
      </c>
      <c r="K76" s="1">
        <f>IF(I76="","", 100*_xlfn.STDEV.P(I75:I76)/AVERAGE(I75:I76))</f>
        <v/>
      </c>
      <c r="L76" s="8">
        <f t="array" ref="L76">IF(I76="","", IFERROR(((IF(I$5&lt;&gt;"", I$5*A$5, 0) + SUMPRODUCT(--(I$6:I76&lt;&gt;""), I$6:I76, (A$6:A76-A$5:A75)))/1000), ""))</f>
        <v/>
      </c>
      <c r="M76" s="1">
        <f>M75+10</f>
        <v/>
      </c>
      <c r="N76" s="1">
        <f>O75</f>
        <v/>
      </c>
      <c r="Q76" t="inlineStr">
        <is>
          <t>60mL/3s/30s</t>
        </is>
      </c>
      <c r="U76" s="1">
        <f>IF(O76="", "", (N76-O76)*1000/(M76-M75))</f>
        <v/>
      </c>
      <c r="V76" s="1">
        <f>IF(U76="","",U76/R$2/3)</f>
        <v/>
      </c>
      <c r="W76" s="1">
        <f>IF(U76="","", 100*_xlfn.STDEV.P(U75:U76)/AVERAGE(U75:U76))</f>
        <v/>
      </c>
      <c r="X76" s="8">
        <f t="array" ref="X76">IF(U76="","", IFERROR(((IF(U$5&lt;&gt;"", U$5*M$5, 0) + SUMPRODUCT(--(U$6:U76&lt;&gt;""), U$6:U76, (M$6:M76-M$5:M75)))/1000), ""))</f>
        <v/>
      </c>
      <c r="Y76" s="1">
        <f>Y75+10</f>
        <v/>
      </c>
      <c r="Z76" s="1">
        <f>AA75</f>
        <v/>
      </c>
      <c r="AC76" t="inlineStr">
        <is>
          <t>60mL/3s/30s</t>
        </is>
      </c>
      <c r="AG76" s="1">
        <f>IF(AA76="", "", (Z76-AA76)*1000/(Y76-Y75))</f>
        <v/>
      </c>
      <c r="AH76" s="1">
        <f>IF(AG76="","",AG76/AD$2/3)</f>
        <v/>
      </c>
      <c r="AI76" s="1">
        <f>IF(AG76="","", 100*_xlfn.STDEV.P(AG75:AG76)/AVERAGE(AG75:AG76))</f>
        <v/>
      </c>
      <c r="AJ76" s="8">
        <f t="array" ref="AJ76">IF(AG76="","", IFERROR(((IF(AG$5&lt;&gt;"", AG$5*Y$5, 0) + SUMPRODUCT(--(AG$6:AG76&lt;&gt;""), AG$6:AG76, (Y$6:Y76-Y$5:Y75)))/1000), ""))</f>
        <v/>
      </c>
      <c r="AK76" s="1">
        <f>AK75+10</f>
        <v/>
      </c>
      <c r="AL76" s="1">
        <f>AM75</f>
        <v/>
      </c>
      <c r="AO76" t="inlineStr">
        <is>
          <t>60mL/3s/30s</t>
        </is>
      </c>
      <c r="AS76" s="1">
        <f>IF(AM76="", "", (AL76-AM76)*1000/(AK76-AK75))</f>
        <v/>
      </c>
      <c r="AT76" s="1">
        <f>IF(AS76="","",AS76/AP$2/3)</f>
        <v/>
      </c>
      <c r="AU76" s="1">
        <f>IF(AS76="","", 100*_xlfn.STDEV.P(AS75:AS76)/AVERAGE(AS75:AS76))</f>
        <v/>
      </c>
      <c r="AV76" s="8">
        <f t="array" ref="AV76">IF(AS76="","", IFERROR(((IF(AS$5&lt;&gt;"", AS$5*AK$5, 0) + SUMPRODUCT(--(AS$6:AS76&lt;&gt;""), AS$6:AS76, (AK$6:AK76-AK$5:AK75)))/1000), ""))</f>
        <v/>
      </c>
    </row>
    <row r="77">
      <c r="A77" s="1">
        <f>A76+10</f>
        <v/>
      </c>
      <c r="B77" s="1">
        <f>C76</f>
        <v/>
      </c>
      <c r="E77" t="inlineStr">
        <is>
          <t>60mL/3s/30s</t>
        </is>
      </c>
      <c r="I77" s="1">
        <f>IF(C77="", "", (B77-C77)*1000/(A77-A76))</f>
        <v/>
      </c>
      <c r="J77" s="1">
        <f>IF(I77="","",I77/F$2/3)</f>
        <v/>
      </c>
      <c r="K77" s="1">
        <f>IF(I77="","", 100*_xlfn.STDEV.P(I76:I77)/AVERAGE(I76:I77))</f>
        <v/>
      </c>
      <c r="L77" s="8">
        <f t="array" ref="L77">IF(I77="","", IFERROR(((IF(I$5&lt;&gt;"", I$5*A$5, 0) + SUMPRODUCT(--(I$6:I77&lt;&gt;""), I$6:I77, (A$6:A77-A$5:A76)))/1000), ""))</f>
        <v/>
      </c>
      <c r="M77" s="1">
        <f>M76+10</f>
        <v/>
      </c>
      <c r="N77" s="1">
        <f>O76</f>
        <v/>
      </c>
      <c r="Q77" t="inlineStr">
        <is>
          <t>60mL/3s/30s</t>
        </is>
      </c>
      <c r="U77" s="1">
        <f>IF(O77="", "", (N77-O77)*1000/(M77-M76))</f>
        <v/>
      </c>
      <c r="V77" s="1">
        <f>IF(U77="","",U77/R$2/3)</f>
        <v/>
      </c>
      <c r="W77" s="1">
        <f>IF(U77="","", 100*_xlfn.STDEV.P(U76:U77)/AVERAGE(U76:U77))</f>
        <v/>
      </c>
      <c r="X77" s="8">
        <f t="array" ref="X77">IF(U77="","", IFERROR(((IF(U$5&lt;&gt;"", U$5*M$5, 0) + SUMPRODUCT(--(U$6:U77&lt;&gt;""), U$6:U77, (M$6:M77-M$5:M76)))/1000), ""))</f>
        <v/>
      </c>
      <c r="Y77" s="1">
        <f>Y76+10</f>
        <v/>
      </c>
      <c r="Z77" s="1">
        <f>AA76</f>
        <v/>
      </c>
      <c r="AC77" t="inlineStr">
        <is>
          <t>60mL/3s/30s</t>
        </is>
      </c>
      <c r="AG77" s="1">
        <f>IF(AA77="", "", (Z77-AA77)*1000/(Y77-Y76))</f>
        <v/>
      </c>
      <c r="AH77" s="1">
        <f>IF(AG77="","",AG77/AD$2/3)</f>
        <v/>
      </c>
      <c r="AI77" s="1">
        <f>IF(AG77="","", 100*_xlfn.STDEV.P(AG76:AG77)/AVERAGE(AG76:AG77))</f>
        <v/>
      </c>
      <c r="AJ77" s="8">
        <f t="array" ref="AJ77">IF(AG77="","", IFERROR(((IF(AG$5&lt;&gt;"", AG$5*Y$5, 0) + SUMPRODUCT(--(AG$6:AG77&lt;&gt;""), AG$6:AG77, (Y$6:Y77-Y$5:Y76)))/1000), ""))</f>
        <v/>
      </c>
      <c r="AK77" s="1">
        <f>AK76+10</f>
        <v/>
      </c>
      <c r="AL77" s="1">
        <f>AM76</f>
        <v/>
      </c>
      <c r="AO77" t="inlineStr">
        <is>
          <t>60mL/3s/30s</t>
        </is>
      </c>
      <c r="AS77" s="1">
        <f>IF(AM77="", "", (AL77-AM77)*1000/(AK77-AK76))</f>
        <v/>
      </c>
      <c r="AT77" s="1">
        <f>IF(AS77="","",AS77/AP$2/3)</f>
        <v/>
      </c>
      <c r="AU77" s="1">
        <f>IF(AS77="","", 100*_xlfn.STDEV.P(AS76:AS77)/AVERAGE(AS76:AS77))</f>
        <v/>
      </c>
      <c r="AV77" s="8">
        <f t="array" ref="AV77">IF(AS77="","", IFERROR(((IF(AS$5&lt;&gt;"", AS$5*AK$5, 0) + SUMPRODUCT(--(AS$6:AS77&lt;&gt;""), AS$6:AS77, (AK$6:AK77-AK$5:AK76)))/1000), ""))</f>
        <v/>
      </c>
    </row>
    <row r="78">
      <c r="A78" s="1">
        <f>A77+10</f>
        <v/>
      </c>
      <c r="B78" s="1">
        <f>C77</f>
        <v/>
      </c>
      <c r="E78" t="inlineStr">
        <is>
          <t>60mL/3s/30s</t>
        </is>
      </c>
      <c r="I78" s="1">
        <f>IF(C78="", "", (B78-C78)*1000/(A78-A77))</f>
        <v/>
      </c>
      <c r="J78" s="1">
        <f>IF(I78="","",I78/F$2/3)</f>
        <v/>
      </c>
      <c r="K78" s="1">
        <f>IF(I78="","", 100*_xlfn.STDEV.P(I77:I78)/AVERAGE(I77:I78))</f>
        <v/>
      </c>
      <c r="L78" s="8">
        <f t="array" ref="L78">IF(I78="","", IFERROR(((IF(I$5&lt;&gt;"", I$5*A$5, 0) + SUMPRODUCT(--(I$6:I78&lt;&gt;""), I$6:I78, (A$6:A78-A$5:A77)))/1000), ""))</f>
        <v/>
      </c>
      <c r="M78" s="1">
        <f>M77+10</f>
        <v/>
      </c>
      <c r="N78" s="1">
        <f>O77</f>
        <v/>
      </c>
      <c r="Q78" t="inlineStr">
        <is>
          <t>60mL/3s/30s</t>
        </is>
      </c>
      <c r="U78" s="1">
        <f>IF(O78="", "", (N78-O78)*1000/(M78-M77))</f>
        <v/>
      </c>
      <c r="V78" s="1">
        <f>IF(U78="","",U78/R$2/3)</f>
        <v/>
      </c>
      <c r="W78" s="1">
        <f>IF(U78="","", 100*_xlfn.STDEV.P(U77:U78)/AVERAGE(U77:U78))</f>
        <v/>
      </c>
      <c r="X78" s="8">
        <f t="array" ref="X78">IF(U78="","", IFERROR(((IF(U$5&lt;&gt;"", U$5*M$5, 0) + SUMPRODUCT(--(U$6:U78&lt;&gt;""), U$6:U78, (M$6:M78-M$5:M77)))/1000), ""))</f>
        <v/>
      </c>
      <c r="Y78" s="1">
        <f>Y77+10</f>
        <v/>
      </c>
      <c r="Z78" s="1">
        <f>AA77</f>
        <v/>
      </c>
      <c r="AC78" t="inlineStr">
        <is>
          <t>60mL/3s/30s</t>
        </is>
      </c>
      <c r="AG78" s="1">
        <f>IF(AA78="", "", (Z78-AA78)*1000/(Y78-Y77))</f>
        <v/>
      </c>
      <c r="AH78" s="1">
        <f>IF(AG78="","",AG78/AD$2/3)</f>
        <v/>
      </c>
      <c r="AI78" s="1">
        <f>IF(AG78="","", 100*_xlfn.STDEV.P(AG77:AG78)/AVERAGE(AG77:AG78))</f>
        <v/>
      </c>
      <c r="AJ78" s="8">
        <f t="array" ref="AJ78">IF(AG78="","", IFERROR(((IF(AG$5&lt;&gt;"", AG$5*Y$5, 0) + SUMPRODUCT(--(AG$6:AG78&lt;&gt;""), AG$6:AG78, (Y$6:Y78-Y$5:Y77)))/1000), ""))</f>
        <v/>
      </c>
      <c r="AK78" s="1">
        <f>AK77+10</f>
        <v/>
      </c>
      <c r="AL78" s="1">
        <f>AM77</f>
        <v/>
      </c>
      <c r="AO78" t="inlineStr">
        <is>
          <t>60mL/3s/30s</t>
        </is>
      </c>
      <c r="AS78" s="1">
        <f>IF(AM78="", "", (AL78-AM78)*1000/(AK78-AK77))</f>
        <v/>
      </c>
      <c r="AT78" s="1">
        <f>IF(AS78="","",AS78/AP$2/3)</f>
        <v/>
      </c>
      <c r="AU78" s="1">
        <f>IF(AS78="","", 100*_xlfn.STDEV.P(AS77:AS78)/AVERAGE(AS77:AS78))</f>
        <v/>
      </c>
      <c r="AV78" s="8">
        <f t="array" ref="AV78">IF(AS78="","", IFERROR(((IF(AS$5&lt;&gt;"", AS$5*AK$5, 0) + SUMPRODUCT(--(AS$6:AS78&lt;&gt;""), AS$6:AS78, (AK$6:AK78-AK$5:AK77)))/1000), ""))</f>
        <v/>
      </c>
    </row>
    <row r="79">
      <c r="A79" s="1">
        <f>A78+10</f>
        <v/>
      </c>
      <c r="B79" s="1">
        <f>C78</f>
        <v/>
      </c>
      <c r="E79" t="inlineStr">
        <is>
          <t>60mL/3s/30s</t>
        </is>
      </c>
      <c r="I79" s="1">
        <f>IF(C79="", "", (B79-C79)*1000/(A79-A78))</f>
        <v/>
      </c>
      <c r="J79" s="1">
        <f>IF(I79="","",I79/F$2/3)</f>
        <v/>
      </c>
      <c r="K79" s="1">
        <f>IF(I79="","", 100*_xlfn.STDEV.P(I78:I79)/AVERAGE(I78:I79))</f>
        <v/>
      </c>
      <c r="L79" s="8">
        <f t="array" ref="L79">IF(I79="","", IFERROR(((IF(I$5&lt;&gt;"", I$5*A$5, 0) + SUMPRODUCT(--(I$6:I79&lt;&gt;""), I$6:I79, (A$6:A79-A$5:A78)))/1000), ""))</f>
        <v/>
      </c>
      <c r="M79" s="1">
        <f>M78+10</f>
        <v/>
      </c>
      <c r="N79" s="1">
        <f>O78</f>
        <v/>
      </c>
      <c r="Q79" t="inlineStr">
        <is>
          <t>60mL/3s/30s</t>
        </is>
      </c>
      <c r="U79" s="1">
        <f>IF(O79="", "", (N79-O79)*1000/(M79-M78))</f>
        <v/>
      </c>
      <c r="V79" s="1">
        <f>IF(U79="","",U79/R$2/3)</f>
        <v/>
      </c>
      <c r="W79" s="1">
        <f>IF(U79="","", 100*_xlfn.STDEV.P(U78:U79)/AVERAGE(U78:U79))</f>
        <v/>
      </c>
      <c r="X79" s="8">
        <f t="array" ref="X79">IF(U79="","", IFERROR(((IF(U$5&lt;&gt;"", U$5*M$5, 0) + SUMPRODUCT(--(U$6:U79&lt;&gt;""), U$6:U79, (M$6:M79-M$5:M78)))/1000), ""))</f>
        <v/>
      </c>
      <c r="Y79" s="1">
        <f>Y78+10</f>
        <v/>
      </c>
      <c r="Z79" s="1">
        <f>AA78</f>
        <v/>
      </c>
      <c r="AC79" t="inlineStr">
        <is>
          <t>60mL/3s/30s</t>
        </is>
      </c>
      <c r="AG79" s="1">
        <f>IF(AA79="", "", (Z79-AA79)*1000/(Y79-Y78))</f>
        <v/>
      </c>
      <c r="AH79" s="1">
        <f>IF(AG79="","",AG79/AD$2/3)</f>
        <v/>
      </c>
      <c r="AI79" s="1">
        <f>IF(AG79="","", 100*_xlfn.STDEV.P(AG78:AG79)/AVERAGE(AG78:AG79))</f>
        <v/>
      </c>
      <c r="AJ79" s="8">
        <f t="array" ref="AJ79">IF(AG79="","", IFERROR(((IF(AG$5&lt;&gt;"", AG$5*Y$5, 0) + SUMPRODUCT(--(AG$6:AG79&lt;&gt;""), AG$6:AG79, (Y$6:Y79-Y$5:Y78)))/1000), ""))</f>
        <v/>
      </c>
      <c r="AK79" s="1">
        <f>AK78+10</f>
        <v/>
      </c>
      <c r="AL79" s="1">
        <f>AM78</f>
        <v/>
      </c>
      <c r="AO79" t="inlineStr">
        <is>
          <t>60mL/3s/30s</t>
        </is>
      </c>
      <c r="AS79" s="1">
        <f>IF(AM79="", "", (AL79-AM79)*1000/(AK79-AK78))</f>
        <v/>
      </c>
      <c r="AT79" s="1">
        <f>IF(AS79="","",AS79/AP$2/3)</f>
        <v/>
      </c>
      <c r="AU79" s="1">
        <f>IF(AS79="","", 100*_xlfn.STDEV.P(AS78:AS79)/AVERAGE(AS78:AS79))</f>
        <v/>
      </c>
      <c r="AV79" s="8">
        <f t="array" ref="AV79">IF(AS79="","", IFERROR(((IF(AS$5&lt;&gt;"", AS$5*AK$5, 0) + SUMPRODUCT(--(AS$6:AS79&lt;&gt;""), AS$6:AS79, (AK$6:AK79-AK$5:AK78)))/1000), ""))</f>
        <v/>
      </c>
    </row>
    <row r="80">
      <c r="A80" s="1">
        <f>A79+10</f>
        <v/>
      </c>
      <c r="B80" s="1">
        <f>C79</f>
        <v/>
      </c>
      <c r="E80" t="inlineStr">
        <is>
          <t>60mL/3s/30s</t>
        </is>
      </c>
      <c r="I80" s="1">
        <f>IF(C80="", "", (B80-C80)*1000/(A80-A79))</f>
        <v/>
      </c>
      <c r="J80" s="1">
        <f>IF(I80="","",I80/F$2/3)</f>
        <v/>
      </c>
      <c r="K80" s="1">
        <f>IF(I80="","", 100*_xlfn.STDEV.P(I79:I80)/AVERAGE(I79:I80))</f>
        <v/>
      </c>
      <c r="L80" s="8">
        <f t="array" ref="L80">IF(I80="","", IFERROR(((IF(I$5&lt;&gt;"", I$5*A$5, 0) + SUMPRODUCT(--(I$6:I80&lt;&gt;""), I$6:I80, (A$6:A80-A$5:A79)))/1000), ""))</f>
        <v/>
      </c>
      <c r="M80" s="1">
        <f>M79+10</f>
        <v/>
      </c>
      <c r="N80" s="1">
        <f>O79</f>
        <v/>
      </c>
      <c r="Q80" t="inlineStr">
        <is>
          <t>60mL/3s/30s</t>
        </is>
      </c>
      <c r="U80" s="1">
        <f>IF(O80="", "", (N80-O80)*1000/(M80-M79))</f>
        <v/>
      </c>
      <c r="V80" s="1">
        <f>IF(U80="","",U80/R$2/3)</f>
        <v/>
      </c>
      <c r="W80" s="1">
        <f>IF(U80="","", 100*_xlfn.STDEV.P(U79:U80)/AVERAGE(U79:U80))</f>
        <v/>
      </c>
      <c r="X80" s="8">
        <f t="array" ref="X80">IF(U80="","", IFERROR(((IF(U$5&lt;&gt;"", U$5*M$5, 0) + SUMPRODUCT(--(U$6:U80&lt;&gt;""), U$6:U80, (M$6:M80-M$5:M79)))/1000), ""))</f>
        <v/>
      </c>
      <c r="Y80" s="1">
        <f>Y79+10</f>
        <v/>
      </c>
      <c r="Z80" s="1">
        <f>AA79</f>
        <v/>
      </c>
      <c r="AC80" t="inlineStr">
        <is>
          <t>60mL/3s/30s</t>
        </is>
      </c>
      <c r="AG80" s="1">
        <f>IF(AA80="", "", (Z80-AA80)*1000/(Y80-Y79))</f>
        <v/>
      </c>
      <c r="AH80" s="1">
        <f>IF(AG80="","",AG80/AD$2/3)</f>
        <v/>
      </c>
      <c r="AI80" s="1">
        <f>IF(AG80="","", 100*_xlfn.STDEV.P(AG79:AG80)/AVERAGE(AG79:AG80))</f>
        <v/>
      </c>
      <c r="AJ80" s="8">
        <f t="array" ref="AJ80">IF(AG80="","", IFERROR(((IF(AG$5&lt;&gt;"", AG$5*Y$5, 0) + SUMPRODUCT(--(AG$6:AG80&lt;&gt;""), AG$6:AG80, (Y$6:Y80-Y$5:Y79)))/1000), ""))</f>
        <v/>
      </c>
      <c r="AK80" s="1">
        <f>AK79+10</f>
        <v/>
      </c>
      <c r="AL80" s="1">
        <f>AM79</f>
        <v/>
      </c>
      <c r="AO80" t="inlineStr">
        <is>
          <t>60mL/3s/30s</t>
        </is>
      </c>
      <c r="AS80" s="1">
        <f>IF(AM80="", "", (AL80-AM80)*1000/(AK80-AK79))</f>
        <v/>
      </c>
      <c r="AT80" s="1">
        <f>IF(AS80="","",AS80/AP$2/3)</f>
        <v/>
      </c>
      <c r="AU80" s="1">
        <f>IF(AS80="","", 100*_xlfn.STDEV.P(AS79:AS80)/AVERAGE(AS79:AS80))</f>
        <v/>
      </c>
      <c r="AV80" s="8">
        <f t="array" ref="AV80">IF(AS80="","", IFERROR(((IF(AS$5&lt;&gt;"", AS$5*AK$5, 0) + SUMPRODUCT(--(AS$6:AS80&lt;&gt;""), AS$6:AS80, (AK$6:AK80-AK$5:AK79)))/1000), ""))</f>
        <v/>
      </c>
    </row>
    <row r="81">
      <c r="A81" s="1">
        <f>A80+10</f>
        <v/>
      </c>
      <c r="B81" s="1">
        <f>C80</f>
        <v/>
      </c>
      <c r="E81" t="inlineStr">
        <is>
          <t>60mL/3s/30s</t>
        </is>
      </c>
      <c r="I81" s="1">
        <f>IF(C81="", "", (B81-C81)*1000/(A81-A80))</f>
        <v/>
      </c>
      <c r="J81" s="1">
        <f>IF(I81="","",I81/F$2/3)</f>
        <v/>
      </c>
      <c r="K81" s="1">
        <f>IF(I81="","", 100*_xlfn.STDEV.P(I80:I81)/AVERAGE(I80:I81))</f>
        <v/>
      </c>
      <c r="L81" s="8">
        <f t="array" ref="L81">IF(I81="","", IFERROR(((IF(I$5&lt;&gt;"", I$5*A$5, 0) + SUMPRODUCT(--(I$6:I81&lt;&gt;""), I$6:I81, (A$6:A81-A$5:A80)))/1000), ""))</f>
        <v/>
      </c>
      <c r="M81" s="1">
        <f>M80+10</f>
        <v/>
      </c>
      <c r="N81" s="1">
        <f>O80</f>
        <v/>
      </c>
      <c r="Q81" t="inlineStr">
        <is>
          <t>60mL/3s/30s</t>
        </is>
      </c>
      <c r="U81" s="1">
        <f>IF(O81="", "", (N81-O81)*1000/(M81-M80))</f>
        <v/>
      </c>
      <c r="V81" s="1">
        <f>IF(U81="","",U81/R$2/3)</f>
        <v/>
      </c>
      <c r="W81" s="1">
        <f>IF(U81="","", 100*_xlfn.STDEV.P(U80:U81)/AVERAGE(U80:U81))</f>
        <v/>
      </c>
      <c r="X81" s="8">
        <f t="array" ref="X81">IF(U81="","", IFERROR(((IF(U$5&lt;&gt;"", U$5*M$5, 0) + SUMPRODUCT(--(U$6:U81&lt;&gt;""), U$6:U81, (M$6:M81-M$5:M80)))/1000), ""))</f>
        <v/>
      </c>
      <c r="Y81" s="1">
        <f>Y80+10</f>
        <v/>
      </c>
      <c r="Z81" s="1">
        <f>AA80</f>
        <v/>
      </c>
      <c r="AC81" t="inlineStr">
        <is>
          <t>60mL/3s/30s</t>
        </is>
      </c>
      <c r="AG81" s="1">
        <f>IF(AA81="", "", (Z81-AA81)*1000/(Y81-Y80))</f>
        <v/>
      </c>
      <c r="AH81" s="1">
        <f>IF(AG81="","",AG81/AD$2/3)</f>
        <v/>
      </c>
      <c r="AI81" s="1">
        <f>IF(AG81="","", 100*_xlfn.STDEV.P(AG80:AG81)/AVERAGE(AG80:AG81))</f>
        <v/>
      </c>
      <c r="AJ81" s="8">
        <f t="array" ref="AJ81">IF(AG81="","", IFERROR(((IF(AG$5&lt;&gt;"", AG$5*Y$5, 0) + SUMPRODUCT(--(AG$6:AG81&lt;&gt;""), AG$6:AG81, (Y$6:Y81-Y$5:Y80)))/1000), ""))</f>
        <v/>
      </c>
      <c r="AK81" s="1">
        <f>AK80+10</f>
        <v/>
      </c>
      <c r="AL81" s="1">
        <f>AM80</f>
        <v/>
      </c>
      <c r="AO81" t="inlineStr">
        <is>
          <t>60mL/3s/30s</t>
        </is>
      </c>
      <c r="AS81" s="1">
        <f>IF(AM81="", "", (AL81-AM81)*1000/(AK81-AK80))</f>
        <v/>
      </c>
      <c r="AT81" s="1">
        <f>IF(AS81="","",AS81/AP$2/3)</f>
        <v/>
      </c>
      <c r="AU81" s="1">
        <f>IF(AS81="","", 100*_xlfn.STDEV.P(AS80:AS81)/AVERAGE(AS80:AS81))</f>
        <v/>
      </c>
      <c r="AV81" s="8">
        <f t="array" ref="AV81">IF(AS81="","", IFERROR(((IF(AS$5&lt;&gt;"", AS$5*AK$5, 0) + SUMPRODUCT(--(AS$6:AS81&lt;&gt;""), AS$6:AS81, (AK$6:AK81-AK$5:AK80)))/1000), ""))</f>
        <v/>
      </c>
    </row>
    <row r="82">
      <c r="A82" s="1">
        <f>A81+10</f>
        <v/>
      </c>
      <c r="B82" s="1">
        <f>C81</f>
        <v/>
      </c>
      <c r="E82" t="inlineStr">
        <is>
          <t>60mL/3s/30s</t>
        </is>
      </c>
      <c r="I82" s="1">
        <f>IF(C82="", "", (B82-C82)*1000/(A82-A81))</f>
        <v/>
      </c>
      <c r="J82" s="1">
        <f>IF(I82="","",I82/F$2/3)</f>
        <v/>
      </c>
      <c r="K82" s="1">
        <f>IF(I82="","", 100*_xlfn.STDEV.P(I81:I82)/AVERAGE(I81:I82))</f>
        <v/>
      </c>
      <c r="L82" s="8">
        <f t="array" ref="L82">IF(I82="","", IFERROR(((IF(I$5&lt;&gt;"", I$5*A$5, 0) + SUMPRODUCT(--(I$6:I82&lt;&gt;""), I$6:I82, (A$6:A82-A$5:A81)))/1000), ""))</f>
        <v/>
      </c>
      <c r="M82" s="1">
        <f>M81+10</f>
        <v/>
      </c>
      <c r="N82" s="1">
        <f>O81</f>
        <v/>
      </c>
      <c r="Q82" t="inlineStr">
        <is>
          <t>60mL/3s/30s</t>
        </is>
      </c>
      <c r="U82" s="1">
        <f>IF(O82="", "", (N82-O82)*1000/(M82-M81))</f>
        <v/>
      </c>
      <c r="V82" s="1">
        <f>IF(U82="","",U82/R$2/3)</f>
        <v/>
      </c>
      <c r="W82" s="1">
        <f>IF(U82="","", 100*_xlfn.STDEV.P(U81:U82)/AVERAGE(U81:U82))</f>
        <v/>
      </c>
      <c r="X82" s="8">
        <f t="array" ref="X82">IF(U82="","", IFERROR(((IF(U$5&lt;&gt;"", U$5*M$5, 0) + SUMPRODUCT(--(U$6:U82&lt;&gt;""), U$6:U82, (M$6:M82-M$5:M81)))/1000), ""))</f>
        <v/>
      </c>
      <c r="Y82" s="1">
        <f>Y81+10</f>
        <v/>
      </c>
      <c r="Z82" s="1">
        <f>AA81</f>
        <v/>
      </c>
      <c r="AC82" t="inlineStr">
        <is>
          <t>60mL/3s/30s</t>
        </is>
      </c>
      <c r="AG82" s="1">
        <f>IF(AA82="", "", (Z82-AA82)*1000/(Y82-Y81))</f>
        <v/>
      </c>
      <c r="AH82" s="1">
        <f>IF(AG82="","",AG82/AD$2/3)</f>
        <v/>
      </c>
      <c r="AI82" s="1">
        <f>IF(AG82="","", 100*_xlfn.STDEV.P(AG81:AG82)/AVERAGE(AG81:AG82))</f>
        <v/>
      </c>
      <c r="AJ82" s="8">
        <f t="array" ref="AJ82">IF(AG82="","", IFERROR(((IF(AG$5&lt;&gt;"", AG$5*Y$5, 0) + SUMPRODUCT(--(AG$6:AG82&lt;&gt;""), AG$6:AG82, (Y$6:Y82-Y$5:Y81)))/1000), ""))</f>
        <v/>
      </c>
      <c r="AK82" s="1">
        <f>AK81+10</f>
        <v/>
      </c>
      <c r="AL82" s="1">
        <f>AM81</f>
        <v/>
      </c>
      <c r="AO82" t="inlineStr">
        <is>
          <t>60mL/3s/30s</t>
        </is>
      </c>
      <c r="AS82" s="1">
        <f>IF(AM82="", "", (AL82-AM82)*1000/(AK82-AK81))</f>
        <v/>
      </c>
      <c r="AT82" s="1">
        <f>IF(AS82="","",AS82/AP$2/3)</f>
        <v/>
      </c>
      <c r="AU82" s="1">
        <f>IF(AS82="","", 100*_xlfn.STDEV.P(AS81:AS82)/AVERAGE(AS81:AS82))</f>
        <v/>
      </c>
      <c r="AV82" s="8">
        <f t="array" ref="AV82">IF(AS82="","", IFERROR(((IF(AS$5&lt;&gt;"", AS$5*AK$5, 0) + SUMPRODUCT(--(AS$6:AS82&lt;&gt;""), AS$6:AS82, (AK$6:AK82-AK$5:AK81)))/1000), ""))</f>
        <v/>
      </c>
    </row>
    <row r="83">
      <c r="A83" s="1">
        <f>A82+10</f>
        <v/>
      </c>
      <c r="B83" s="1">
        <f>C82</f>
        <v/>
      </c>
      <c r="E83" t="inlineStr">
        <is>
          <t>60mL/3s/30s</t>
        </is>
      </c>
      <c r="I83" s="1">
        <f>IF(C83="", "", (B83-C83)*1000/(A83-A82))</f>
        <v/>
      </c>
      <c r="J83" s="1">
        <f>IF(I83="","",I83/F$2/3)</f>
        <v/>
      </c>
      <c r="K83" s="1">
        <f>IF(I83="","", 100*_xlfn.STDEV.P(I82:I83)/AVERAGE(I82:I83))</f>
        <v/>
      </c>
      <c r="L83" s="8">
        <f t="array" ref="L83">IF(I83="","", IFERROR(((IF(I$5&lt;&gt;"", I$5*A$5, 0) + SUMPRODUCT(--(I$6:I83&lt;&gt;""), I$6:I83, (A$6:A83-A$5:A82)))/1000), ""))</f>
        <v/>
      </c>
      <c r="M83" s="1">
        <f>M82+10</f>
        <v/>
      </c>
      <c r="N83" s="1">
        <f>O82</f>
        <v/>
      </c>
      <c r="Q83" t="inlineStr">
        <is>
          <t>60mL/3s/30s</t>
        </is>
      </c>
      <c r="U83" s="1">
        <f>IF(O83="", "", (N83-O83)*1000/(M83-M82))</f>
        <v/>
      </c>
      <c r="V83" s="1">
        <f>IF(U83="","",U83/R$2/3)</f>
        <v/>
      </c>
      <c r="W83" s="1">
        <f>IF(U83="","", 100*_xlfn.STDEV.P(U82:U83)/AVERAGE(U82:U83))</f>
        <v/>
      </c>
      <c r="X83" s="8">
        <f t="array" ref="X83">IF(U83="","", IFERROR(((IF(U$5&lt;&gt;"", U$5*M$5, 0) + SUMPRODUCT(--(U$6:U83&lt;&gt;""), U$6:U83, (M$6:M83-M$5:M82)))/1000), ""))</f>
        <v/>
      </c>
      <c r="Y83" s="1">
        <f>Y82+10</f>
        <v/>
      </c>
      <c r="Z83" s="1">
        <f>AA82</f>
        <v/>
      </c>
      <c r="AC83" t="inlineStr">
        <is>
          <t>60mL/3s/30s</t>
        </is>
      </c>
      <c r="AG83" s="1">
        <f>IF(AA83="", "", (Z83-AA83)*1000/(Y83-Y82))</f>
        <v/>
      </c>
      <c r="AH83" s="1">
        <f>IF(AG83="","",AG83/AD$2/3)</f>
        <v/>
      </c>
      <c r="AI83" s="1">
        <f>IF(AG83="","", 100*_xlfn.STDEV.P(AG82:AG83)/AVERAGE(AG82:AG83))</f>
        <v/>
      </c>
      <c r="AJ83" s="8">
        <f t="array" ref="AJ83">IF(AG83="","", IFERROR(((IF(AG$5&lt;&gt;"", AG$5*Y$5, 0) + SUMPRODUCT(--(AG$6:AG83&lt;&gt;""), AG$6:AG83, (Y$6:Y83-Y$5:Y82)))/1000), ""))</f>
        <v/>
      </c>
      <c r="AK83" s="1">
        <f>AK82+10</f>
        <v/>
      </c>
      <c r="AL83" s="1">
        <f>AM82</f>
        <v/>
      </c>
      <c r="AO83" t="inlineStr">
        <is>
          <t>60mL/3s/30s</t>
        </is>
      </c>
      <c r="AS83" s="1">
        <f>IF(AM83="", "", (AL83-AM83)*1000/(AK83-AK82))</f>
        <v/>
      </c>
      <c r="AT83" s="1">
        <f>IF(AS83="","",AS83/AP$2/3)</f>
        <v/>
      </c>
      <c r="AU83" s="1">
        <f>IF(AS83="","", 100*_xlfn.STDEV.P(AS82:AS83)/AVERAGE(AS82:AS83))</f>
        <v/>
      </c>
      <c r="AV83" s="8">
        <f t="array" ref="AV83">IF(AS83="","", IFERROR(((IF(AS$5&lt;&gt;"", AS$5*AK$5, 0) + SUMPRODUCT(--(AS$6:AS83&lt;&gt;""), AS$6:AS83, (AK$6:AK83-AK$5:AK82)))/1000), ""))</f>
        <v/>
      </c>
    </row>
    <row r="84">
      <c r="A84" s="1">
        <f>A83+10</f>
        <v/>
      </c>
      <c r="B84" s="1">
        <f>C83</f>
        <v/>
      </c>
      <c r="E84" t="inlineStr">
        <is>
          <t>60mL/3s/30s</t>
        </is>
      </c>
      <c r="I84" s="1">
        <f>IF(C84="", "", (B84-C84)*1000/(A84-A83))</f>
        <v/>
      </c>
      <c r="J84" s="1">
        <f>IF(I84="","",I84/F$2/3)</f>
        <v/>
      </c>
      <c r="K84" s="1">
        <f>IF(I84="","", 100*_xlfn.STDEV.P(I83:I84)/AVERAGE(I83:I84))</f>
        <v/>
      </c>
      <c r="L84" s="8">
        <f t="array" ref="L84">IF(I84="","", IFERROR(((IF(I$5&lt;&gt;"", I$5*A$5, 0) + SUMPRODUCT(--(I$6:I84&lt;&gt;""), I$6:I84, (A$6:A84-A$5:A83)))/1000), ""))</f>
        <v/>
      </c>
      <c r="M84" s="1">
        <f>M83+10</f>
        <v/>
      </c>
      <c r="N84" s="1">
        <f>O83</f>
        <v/>
      </c>
      <c r="Q84" t="inlineStr">
        <is>
          <t>60mL/3s/30s</t>
        </is>
      </c>
      <c r="U84" s="1">
        <f>IF(O84="", "", (N84-O84)*1000/(M84-M83))</f>
        <v/>
      </c>
      <c r="V84" s="1">
        <f>IF(U84="","",U84/R$2/3)</f>
        <v/>
      </c>
      <c r="W84" s="1">
        <f>IF(U84="","", 100*_xlfn.STDEV.P(U83:U84)/AVERAGE(U83:U84))</f>
        <v/>
      </c>
      <c r="X84" s="8">
        <f t="array" ref="X84">IF(U84="","", IFERROR(((IF(U$5&lt;&gt;"", U$5*M$5, 0) + SUMPRODUCT(--(U$6:U84&lt;&gt;""), U$6:U84, (M$6:M84-M$5:M83)))/1000), ""))</f>
        <v/>
      </c>
      <c r="Y84" s="1">
        <f>Y83+10</f>
        <v/>
      </c>
      <c r="Z84" s="1">
        <f>AA83</f>
        <v/>
      </c>
      <c r="AC84" t="inlineStr">
        <is>
          <t>60mL/3s/30s</t>
        </is>
      </c>
      <c r="AG84" s="1">
        <f>IF(AA84="", "", (Z84-AA84)*1000/(Y84-Y83))</f>
        <v/>
      </c>
      <c r="AH84" s="1">
        <f>IF(AG84="","",AG84/AD$2/3)</f>
        <v/>
      </c>
      <c r="AI84" s="1">
        <f>IF(AG84="","", 100*_xlfn.STDEV.P(AG83:AG84)/AVERAGE(AG83:AG84))</f>
        <v/>
      </c>
      <c r="AJ84" s="8">
        <f t="array" ref="AJ84">IF(AG84="","", IFERROR(((IF(AG$5&lt;&gt;"", AG$5*Y$5, 0) + SUMPRODUCT(--(AG$6:AG84&lt;&gt;""), AG$6:AG84, (Y$6:Y84-Y$5:Y83)))/1000), ""))</f>
        <v/>
      </c>
      <c r="AK84" s="1">
        <f>AK83+10</f>
        <v/>
      </c>
      <c r="AL84" s="1">
        <f>AM83</f>
        <v/>
      </c>
      <c r="AO84" t="inlineStr">
        <is>
          <t>60mL/3s/30s</t>
        </is>
      </c>
      <c r="AS84" s="1">
        <f>IF(AM84="", "", (AL84-AM84)*1000/(AK84-AK83))</f>
        <v/>
      </c>
      <c r="AT84" s="1">
        <f>IF(AS84="","",AS84/AP$2/3)</f>
        <v/>
      </c>
      <c r="AU84" s="1">
        <f>IF(AS84="","", 100*_xlfn.STDEV.P(AS83:AS84)/AVERAGE(AS83:AS84))</f>
        <v/>
      </c>
      <c r="AV84" s="8">
        <f t="array" ref="AV84">IF(AS84="","", IFERROR(((IF(AS$5&lt;&gt;"", AS$5*AK$5, 0) + SUMPRODUCT(--(AS$6:AS84&lt;&gt;""), AS$6:AS84, (AK$6:AK84-AK$5:AK83)))/1000), ""))</f>
        <v/>
      </c>
    </row>
    <row r="85">
      <c r="A85" s="1">
        <f>A84+10</f>
        <v/>
      </c>
      <c r="B85" s="1">
        <f>C84</f>
        <v/>
      </c>
      <c r="E85" t="inlineStr">
        <is>
          <t>60mL/3s/30s</t>
        </is>
      </c>
      <c r="I85" s="1">
        <f>IF(C85="", "", (B85-C85)*1000/(A85-A84))</f>
        <v/>
      </c>
      <c r="J85" s="1">
        <f>IF(I85="","",I85/F$2/3)</f>
        <v/>
      </c>
      <c r="K85" s="1">
        <f>IF(I85="","", 100*_xlfn.STDEV.P(I84:I85)/AVERAGE(I84:I85))</f>
        <v/>
      </c>
      <c r="L85" s="8">
        <f t="array" ref="L85">IF(I85="","", IFERROR(((IF(I$5&lt;&gt;"", I$5*A$5, 0) + SUMPRODUCT(--(I$6:I85&lt;&gt;""), I$6:I85, (A$6:A85-A$5:A84)))/1000), ""))</f>
        <v/>
      </c>
      <c r="M85" s="1">
        <f>M84+10</f>
        <v/>
      </c>
      <c r="N85" s="1">
        <f>O84</f>
        <v/>
      </c>
      <c r="Q85" t="inlineStr">
        <is>
          <t>60mL/3s/30s</t>
        </is>
      </c>
      <c r="U85" s="1">
        <f>IF(O85="", "", (N85-O85)*1000/(M85-M84))</f>
        <v/>
      </c>
      <c r="V85" s="1">
        <f>IF(U85="","",U85/R$2/3)</f>
        <v/>
      </c>
      <c r="W85" s="1">
        <f>IF(U85="","", 100*_xlfn.STDEV.P(U84:U85)/AVERAGE(U84:U85))</f>
        <v/>
      </c>
      <c r="X85" s="8">
        <f t="array" ref="X85">IF(U85="","", IFERROR(((IF(U$5&lt;&gt;"", U$5*M$5, 0) + SUMPRODUCT(--(U$6:U85&lt;&gt;""), U$6:U85, (M$6:M85-M$5:M84)))/1000), ""))</f>
        <v/>
      </c>
      <c r="Y85" s="1">
        <f>Y84+10</f>
        <v/>
      </c>
      <c r="Z85" s="1">
        <f>AA84</f>
        <v/>
      </c>
      <c r="AC85" t="inlineStr">
        <is>
          <t>60mL/3s/30s</t>
        </is>
      </c>
      <c r="AG85" s="1">
        <f>IF(AA85="", "", (Z85-AA85)*1000/(Y85-Y84))</f>
        <v/>
      </c>
      <c r="AH85" s="1">
        <f>IF(AG85="","",AG85/AD$2/3)</f>
        <v/>
      </c>
      <c r="AI85" s="1">
        <f>IF(AG85="","", 100*_xlfn.STDEV.P(AG84:AG85)/AVERAGE(AG84:AG85))</f>
        <v/>
      </c>
      <c r="AJ85" s="8">
        <f t="array" ref="AJ85">IF(AG85="","", IFERROR(((IF(AG$5&lt;&gt;"", AG$5*Y$5, 0) + SUMPRODUCT(--(AG$6:AG85&lt;&gt;""), AG$6:AG85, (Y$6:Y85-Y$5:Y84)))/1000), ""))</f>
        <v/>
      </c>
      <c r="AK85" s="1">
        <f>AK84+10</f>
        <v/>
      </c>
      <c r="AL85" s="1">
        <f>AM84</f>
        <v/>
      </c>
      <c r="AO85" t="inlineStr">
        <is>
          <t>60mL/3s/30s</t>
        </is>
      </c>
      <c r="AS85" s="1">
        <f>IF(AM85="", "", (AL85-AM85)*1000/(AK85-AK84))</f>
        <v/>
      </c>
      <c r="AT85" s="1">
        <f>IF(AS85="","",AS85/AP$2/3)</f>
        <v/>
      </c>
      <c r="AU85" s="1">
        <f>IF(AS85="","", 100*_xlfn.STDEV.P(AS84:AS85)/AVERAGE(AS84:AS85))</f>
        <v/>
      </c>
      <c r="AV85" s="8">
        <f t="array" ref="AV85">IF(AS85="","", IFERROR(((IF(AS$5&lt;&gt;"", AS$5*AK$5, 0) + SUMPRODUCT(--(AS$6:AS85&lt;&gt;""), AS$6:AS85, (AK$6:AK85-AK$5:AK84)))/1000), ""))</f>
        <v/>
      </c>
    </row>
    <row r="86">
      <c r="A86" s="1">
        <f>A85+10</f>
        <v/>
      </c>
      <c r="B86" s="1">
        <f>C85</f>
        <v/>
      </c>
      <c r="E86" t="inlineStr">
        <is>
          <t>60mL/3s/30s</t>
        </is>
      </c>
      <c r="I86" s="1">
        <f>IF(C86="", "", (B86-C86)*1000/(A86-A85))</f>
        <v/>
      </c>
      <c r="J86" s="1">
        <f>IF(I86="","",I86/F$2/3)</f>
        <v/>
      </c>
      <c r="K86" s="1">
        <f>IF(I86="","", 100*_xlfn.STDEV.P(I85:I86)/AVERAGE(I85:I86))</f>
        <v/>
      </c>
      <c r="L86" s="8">
        <f t="array" ref="L86">IF(I86="","", IFERROR(((IF(I$5&lt;&gt;"", I$5*A$5, 0) + SUMPRODUCT(--(I$6:I86&lt;&gt;""), I$6:I86, (A$6:A86-A$5:A85)))/1000), ""))</f>
        <v/>
      </c>
      <c r="M86" s="1">
        <f>M85+10</f>
        <v/>
      </c>
      <c r="N86" s="1">
        <f>O85</f>
        <v/>
      </c>
      <c r="Q86" t="inlineStr">
        <is>
          <t>60mL/3s/30s</t>
        </is>
      </c>
      <c r="U86" s="1">
        <f>IF(O86="", "", (N86-O86)*1000/(M86-M85))</f>
        <v/>
      </c>
      <c r="V86" s="1">
        <f>IF(U86="","",U86/R$2/3)</f>
        <v/>
      </c>
      <c r="W86" s="1">
        <f>IF(U86="","", 100*_xlfn.STDEV.P(U85:U86)/AVERAGE(U85:U86))</f>
        <v/>
      </c>
      <c r="X86" s="8">
        <f t="array" ref="X86">IF(U86="","", IFERROR(((IF(U$5&lt;&gt;"", U$5*M$5, 0) + SUMPRODUCT(--(U$6:U86&lt;&gt;""), U$6:U86, (M$6:M86-M$5:M85)))/1000), ""))</f>
        <v/>
      </c>
      <c r="Y86" s="1">
        <f>Y85+10</f>
        <v/>
      </c>
      <c r="Z86" s="1">
        <f>AA85</f>
        <v/>
      </c>
      <c r="AC86" t="inlineStr">
        <is>
          <t>60mL/3s/30s</t>
        </is>
      </c>
      <c r="AG86" s="1">
        <f>IF(AA86="", "", (Z86-AA86)*1000/(Y86-Y85))</f>
        <v/>
      </c>
      <c r="AH86" s="1">
        <f>IF(AG86="","",AG86/AD$2/3)</f>
        <v/>
      </c>
      <c r="AI86" s="1">
        <f>IF(AG86="","", 100*_xlfn.STDEV.P(AG85:AG86)/AVERAGE(AG85:AG86))</f>
        <v/>
      </c>
      <c r="AJ86" s="8">
        <f t="array" ref="AJ86">IF(AG86="","", IFERROR(((IF(AG$5&lt;&gt;"", AG$5*Y$5, 0) + SUMPRODUCT(--(AG$6:AG86&lt;&gt;""), AG$6:AG86, (Y$6:Y86-Y$5:Y85)))/1000), ""))</f>
        <v/>
      </c>
      <c r="AK86" s="1">
        <f>AK85+10</f>
        <v/>
      </c>
      <c r="AL86" s="1">
        <f>AM85</f>
        <v/>
      </c>
      <c r="AO86" t="inlineStr">
        <is>
          <t>60mL/3s/30s</t>
        </is>
      </c>
      <c r="AS86" s="1">
        <f>IF(AM86="", "", (AL86-AM86)*1000/(AK86-AK85))</f>
        <v/>
      </c>
      <c r="AT86" s="1">
        <f>IF(AS86="","",AS86/AP$2/3)</f>
        <v/>
      </c>
      <c r="AU86" s="1">
        <f>IF(AS86="","", 100*_xlfn.STDEV.P(AS85:AS86)/AVERAGE(AS85:AS86))</f>
        <v/>
      </c>
      <c r="AV86" s="8">
        <f t="array" ref="AV86">IF(AS86="","", IFERROR(((IF(AS$5&lt;&gt;"", AS$5*AK$5, 0) + SUMPRODUCT(--(AS$6:AS86&lt;&gt;""), AS$6:AS86, (AK$6:AK86-AK$5:AK85)))/1000), ""))</f>
        <v/>
      </c>
    </row>
    <row r="87">
      <c r="A87" s="1">
        <f>A86+10</f>
        <v/>
      </c>
      <c r="B87" s="1">
        <f>C86</f>
        <v/>
      </c>
      <c r="E87" t="inlineStr">
        <is>
          <t>60mL/3s/30s</t>
        </is>
      </c>
      <c r="I87" s="1">
        <f>IF(C87="", "", (B87-C87)*1000/(A87-A86))</f>
        <v/>
      </c>
      <c r="J87" s="1">
        <f>IF(I87="","",I87/F$2/3)</f>
        <v/>
      </c>
      <c r="K87" s="1">
        <f>IF(I87="","", 100*_xlfn.STDEV.P(I86:I87)/AVERAGE(I86:I87))</f>
        <v/>
      </c>
      <c r="L87" s="8">
        <f t="array" ref="L87">IF(I87="","", IFERROR(((IF(I$5&lt;&gt;"", I$5*A$5, 0) + SUMPRODUCT(--(I$6:I87&lt;&gt;""), I$6:I87, (A$6:A87-A$5:A86)))/1000), ""))</f>
        <v/>
      </c>
      <c r="M87" s="1">
        <f>M86+10</f>
        <v/>
      </c>
      <c r="N87" s="1">
        <f>O86</f>
        <v/>
      </c>
      <c r="Q87" t="inlineStr">
        <is>
          <t>60mL/3s/30s</t>
        </is>
      </c>
      <c r="U87" s="1">
        <f>IF(O87="", "", (N87-O87)*1000/(M87-M86))</f>
        <v/>
      </c>
      <c r="V87" s="1">
        <f>IF(U87="","",U87/R$2/3)</f>
        <v/>
      </c>
      <c r="W87" s="1">
        <f>IF(U87="","", 100*_xlfn.STDEV.P(U86:U87)/AVERAGE(U86:U87))</f>
        <v/>
      </c>
      <c r="X87" s="8">
        <f t="array" ref="X87">IF(U87="","", IFERROR(((IF(U$5&lt;&gt;"", U$5*M$5, 0) + SUMPRODUCT(--(U$6:U87&lt;&gt;""), U$6:U87, (M$6:M87-M$5:M86)))/1000), ""))</f>
        <v/>
      </c>
      <c r="Y87" s="1">
        <f>Y86+10</f>
        <v/>
      </c>
      <c r="Z87" s="1">
        <f>AA86</f>
        <v/>
      </c>
      <c r="AC87" t="inlineStr">
        <is>
          <t>60mL/3s/30s</t>
        </is>
      </c>
      <c r="AG87" s="1">
        <f>IF(AA87="", "", (Z87-AA87)*1000/(Y87-Y86))</f>
        <v/>
      </c>
      <c r="AH87" s="1">
        <f>IF(AG87="","",AG87/AD$2/3)</f>
        <v/>
      </c>
      <c r="AI87" s="1">
        <f>IF(AG87="","", 100*_xlfn.STDEV.P(AG86:AG87)/AVERAGE(AG86:AG87))</f>
        <v/>
      </c>
      <c r="AJ87" s="8">
        <f t="array" ref="AJ87">IF(AG87="","", IFERROR(((IF(AG$5&lt;&gt;"", AG$5*Y$5, 0) + SUMPRODUCT(--(AG$6:AG87&lt;&gt;""), AG$6:AG87, (Y$6:Y87-Y$5:Y86)))/1000), ""))</f>
        <v/>
      </c>
      <c r="AK87" s="1">
        <f>AK86+10</f>
        <v/>
      </c>
      <c r="AL87" s="1">
        <f>AM86</f>
        <v/>
      </c>
      <c r="AO87" t="inlineStr">
        <is>
          <t>60mL/3s/30s</t>
        </is>
      </c>
      <c r="AS87" s="1">
        <f>IF(AM87="", "", (AL87-AM87)*1000/(AK87-AK86))</f>
        <v/>
      </c>
      <c r="AT87" s="1">
        <f>IF(AS87="","",AS87/AP$2/3)</f>
        <v/>
      </c>
      <c r="AU87" s="1">
        <f>IF(AS87="","", 100*_xlfn.STDEV.P(AS86:AS87)/AVERAGE(AS86:AS87))</f>
        <v/>
      </c>
      <c r="AV87" s="8">
        <f t="array" ref="AV87">IF(AS87="","", IFERROR(((IF(AS$5&lt;&gt;"", AS$5*AK$5, 0) + SUMPRODUCT(--(AS$6:AS87&lt;&gt;""), AS$6:AS87, (AK$6:AK87-AK$5:AK86)))/1000), ""))</f>
        <v/>
      </c>
    </row>
    <row r="88">
      <c r="A88" s="1">
        <f>A87+10</f>
        <v/>
      </c>
      <c r="B88" s="1">
        <f>C87</f>
        <v/>
      </c>
      <c r="E88" t="inlineStr">
        <is>
          <t>60mL/3s/30s</t>
        </is>
      </c>
      <c r="I88" s="1">
        <f>IF(C88="", "", (B88-C88)*1000/(A88-A87))</f>
        <v/>
      </c>
      <c r="J88" s="1">
        <f>IF(I88="","",I88/F$2/3)</f>
        <v/>
      </c>
      <c r="K88" s="1">
        <f>IF(I88="","", 100*_xlfn.STDEV.P(I87:I88)/AVERAGE(I87:I88))</f>
        <v/>
      </c>
      <c r="L88" s="8">
        <f t="array" ref="L88">IF(I88="","", IFERROR(((IF(I$5&lt;&gt;"", I$5*A$5, 0) + SUMPRODUCT(--(I$6:I88&lt;&gt;""), I$6:I88, (A$6:A88-A$5:A87)))/1000), ""))</f>
        <v/>
      </c>
      <c r="M88" s="1">
        <f>M87+10</f>
        <v/>
      </c>
      <c r="N88" s="1">
        <f>O87</f>
        <v/>
      </c>
      <c r="Q88" t="inlineStr">
        <is>
          <t>60mL/3s/30s</t>
        </is>
      </c>
      <c r="U88" s="1">
        <f>IF(O88="", "", (N88-O88)*1000/(M88-M87))</f>
        <v/>
      </c>
      <c r="V88" s="1">
        <f>IF(U88="","",U88/R$2/3)</f>
        <v/>
      </c>
      <c r="W88" s="1">
        <f>IF(U88="","", 100*_xlfn.STDEV.P(U87:U88)/AVERAGE(U87:U88))</f>
        <v/>
      </c>
      <c r="X88" s="8">
        <f t="array" ref="X88">IF(U88="","", IFERROR(((IF(U$5&lt;&gt;"", U$5*M$5, 0) + SUMPRODUCT(--(U$6:U88&lt;&gt;""), U$6:U88, (M$6:M88-M$5:M87)))/1000), ""))</f>
        <v/>
      </c>
      <c r="Y88" s="1">
        <f>Y87+10</f>
        <v/>
      </c>
      <c r="Z88" s="1">
        <f>AA87</f>
        <v/>
      </c>
      <c r="AC88" t="inlineStr">
        <is>
          <t>60mL/3s/30s</t>
        </is>
      </c>
      <c r="AG88" s="1">
        <f>IF(AA88="", "", (Z88-AA88)*1000/(Y88-Y87))</f>
        <v/>
      </c>
      <c r="AH88" s="1">
        <f>IF(AG88="","",AG88/AD$2/3)</f>
        <v/>
      </c>
      <c r="AI88" s="1">
        <f>IF(AG88="","", 100*_xlfn.STDEV.P(AG87:AG88)/AVERAGE(AG87:AG88))</f>
        <v/>
      </c>
      <c r="AJ88" s="8">
        <f t="array" ref="AJ88">IF(AG88="","", IFERROR(((IF(AG$5&lt;&gt;"", AG$5*Y$5, 0) + SUMPRODUCT(--(AG$6:AG88&lt;&gt;""), AG$6:AG88, (Y$6:Y88-Y$5:Y87)))/1000), ""))</f>
        <v/>
      </c>
      <c r="AK88" s="1">
        <f>AK87+10</f>
        <v/>
      </c>
      <c r="AL88" s="1">
        <f>AM87</f>
        <v/>
      </c>
      <c r="AO88" t="inlineStr">
        <is>
          <t>60mL/3s/30s</t>
        </is>
      </c>
      <c r="AS88" s="1">
        <f>IF(AM88="", "", (AL88-AM88)*1000/(AK88-AK87))</f>
        <v/>
      </c>
      <c r="AT88" s="1">
        <f>IF(AS88="","",AS88/AP$2/3)</f>
        <v/>
      </c>
      <c r="AU88" s="1">
        <f>IF(AS88="","", 100*_xlfn.STDEV.P(AS87:AS88)/AVERAGE(AS87:AS88))</f>
        <v/>
      </c>
      <c r="AV88" s="8">
        <f t="array" ref="AV88">IF(AS88="","", IFERROR(((IF(AS$5&lt;&gt;"", AS$5*AK$5, 0) + SUMPRODUCT(--(AS$6:AS88&lt;&gt;""), AS$6:AS88, (AK$6:AK88-AK$5:AK87)))/1000), ""))</f>
        <v/>
      </c>
    </row>
    <row r="89">
      <c r="A89" s="1">
        <f>A88+10</f>
        <v/>
      </c>
      <c r="B89" s="1">
        <f>C88</f>
        <v/>
      </c>
      <c r="E89" t="inlineStr">
        <is>
          <t>60mL/3s/30s</t>
        </is>
      </c>
      <c r="I89" s="1">
        <f>IF(C89="", "", (B89-C89)*1000/(A89-A88))</f>
        <v/>
      </c>
      <c r="J89" s="1">
        <f>IF(I89="","",I89/F$2/3)</f>
        <v/>
      </c>
      <c r="K89" s="1">
        <f>IF(I89="","", 100*_xlfn.STDEV.P(I88:I89)/AVERAGE(I88:I89))</f>
        <v/>
      </c>
      <c r="L89" s="8">
        <f t="array" ref="L89">IF(I89="","", IFERROR(((IF(I$5&lt;&gt;"", I$5*A$5, 0) + SUMPRODUCT(--(I$6:I89&lt;&gt;""), I$6:I89, (A$6:A89-A$5:A88)))/1000), ""))</f>
        <v/>
      </c>
      <c r="M89" s="1">
        <f>M88+10</f>
        <v/>
      </c>
      <c r="N89" s="1">
        <f>O88</f>
        <v/>
      </c>
      <c r="Q89" t="inlineStr">
        <is>
          <t>60mL/3s/30s</t>
        </is>
      </c>
      <c r="U89" s="1">
        <f>IF(O89="", "", (N89-O89)*1000/(M89-M88))</f>
        <v/>
      </c>
      <c r="V89" s="1">
        <f>IF(U89="","",U89/R$2/3)</f>
        <v/>
      </c>
      <c r="W89" s="1">
        <f>IF(U89="","", 100*_xlfn.STDEV.P(U88:U89)/AVERAGE(U88:U89))</f>
        <v/>
      </c>
      <c r="X89" s="8">
        <f t="array" ref="X89">IF(U89="","", IFERROR(((IF(U$5&lt;&gt;"", U$5*M$5, 0) + SUMPRODUCT(--(U$6:U89&lt;&gt;""), U$6:U89, (M$6:M89-M$5:M88)))/1000), ""))</f>
        <v/>
      </c>
      <c r="Y89" s="1">
        <f>Y88+10</f>
        <v/>
      </c>
      <c r="Z89" s="1">
        <f>AA88</f>
        <v/>
      </c>
      <c r="AC89" t="inlineStr">
        <is>
          <t>60mL/3s/30s</t>
        </is>
      </c>
      <c r="AG89" s="1">
        <f>IF(AA89="", "", (Z89-AA89)*1000/(Y89-Y88))</f>
        <v/>
      </c>
      <c r="AH89" s="1">
        <f>IF(AG89="","",AG89/AD$2/3)</f>
        <v/>
      </c>
      <c r="AI89" s="1">
        <f>IF(AG89="","", 100*_xlfn.STDEV.P(AG88:AG89)/AVERAGE(AG88:AG89))</f>
        <v/>
      </c>
      <c r="AJ89" s="8">
        <f t="array" ref="AJ89">IF(AG89="","", IFERROR(((IF(AG$5&lt;&gt;"", AG$5*Y$5, 0) + SUMPRODUCT(--(AG$6:AG89&lt;&gt;""), AG$6:AG89, (Y$6:Y89-Y$5:Y88)))/1000), ""))</f>
        <v/>
      </c>
      <c r="AK89" s="1">
        <f>AK88+10</f>
        <v/>
      </c>
      <c r="AL89" s="1">
        <f>AM88</f>
        <v/>
      </c>
      <c r="AO89" t="inlineStr">
        <is>
          <t>60mL/3s/30s</t>
        </is>
      </c>
      <c r="AS89" s="1">
        <f>IF(AM89="", "", (AL89-AM89)*1000/(AK89-AK88))</f>
        <v/>
      </c>
      <c r="AT89" s="1">
        <f>IF(AS89="","",AS89/AP$2/3)</f>
        <v/>
      </c>
      <c r="AU89" s="1">
        <f>IF(AS89="","", 100*_xlfn.STDEV.P(AS88:AS89)/AVERAGE(AS88:AS89))</f>
        <v/>
      </c>
      <c r="AV89" s="8">
        <f t="array" ref="AV89">IF(AS89="","", IFERROR(((IF(AS$5&lt;&gt;"", AS$5*AK$5, 0) + SUMPRODUCT(--(AS$6:AS89&lt;&gt;""), AS$6:AS89, (AK$6:AK89-AK$5:AK88)))/1000), ""))</f>
        <v/>
      </c>
    </row>
    <row r="90">
      <c r="A90" s="1">
        <f>A89+10</f>
        <v/>
      </c>
      <c r="B90" s="1">
        <f>C89</f>
        <v/>
      </c>
      <c r="E90" t="inlineStr">
        <is>
          <t>60mL/3s/30s</t>
        </is>
      </c>
      <c r="I90" s="1">
        <f>IF(C90="", "", (B90-C90)*1000/(A90-A89))</f>
        <v/>
      </c>
      <c r="J90" s="1">
        <f>IF(I90="","",I90/F$2/3)</f>
        <v/>
      </c>
      <c r="K90" s="1">
        <f>IF(I90="","", 100*_xlfn.STDEV.P(I89:I90)/AVERAGE(I89:I90))</f>
        <v/>
      </c>
      <c r="L90" s="8">
        <f t="array" ref="L90">IF(I90="","", IFERROR(((IF(I$5&lt;&gt;"", I$5*A$5, 0) + SUMPRODUCT(--(I$6:I90&lt;&gt;""), I$6:I90, (A$6:A90-A$5:A89)))/1000), ""))</f>
        <v/>
      </c>
      <c r="M90" s="1">
        <f>M89+10</f>
        <v/>
      </c>
      <c r="N90" s="1">
        <f>O89</f>
        <v/>
      </c>
      <c r="Q90" t="inlineStr">
        <is>
          <t>60mL/3s/30s</t>
        </is>
      </c>
      <c r="U90" s="1">
        <f>IF(O90="", "", (N90-O90)*1000/(M90-M89))</f>
        <v/>
      </c>
      <c r="V90" s="1">
        <f>IF(U90="","",U90/R$2/3)</f>
        <v/>
      </c>
      <c r="W90" s="1">
        <f>IF(U90="","", 100*_xlfn.STDEV.P(U89:U90)/AVERAGE(U89:U90))</f>
        <v/>
      </c>
      <c r="X90" s="8">
        <f t="array" ref="X90">IF(U90="","", IFERROR(((IF(U$5&lt;&gt;"", U$5*M$5, 0) + SUMPRODUCT(--(U$6:U90&lt;&gt;""), U$6:U90, (M$6:M90-M$5:M89)))/1000), ""))</f>
        <v/>
      </c>
      <c r="Y90" s="1">
        <f>Y89+10</f>
        <v/>
      </c>
      <c r="Z90" s="1">
        <f>AA89</f>
        <v/>
      </c>
      <c r="AC90" t="inlineStr">
        <is>
          <t>60mL/3s/30s</t>
        </is>
      </c>
      <c r="AG90" s="1">
        <f>IF(AA90="", "", (Z90-AA90)*1000/(Y90-Y89))</f>
        <v/>
      </c>
      <c r="AH90" s="1">
        <f>IF(AG90="","",AG90/AD$2/3)</f>
        <v/>
      </c>
      <c r="AI90" s="1">
        <f>IF(AG90="","", 100*_xlfn.STDEV.P(AG89:AG90)/AVERAGE(AG89:AG90))</f>
        <v/>
      </c>
      <c r="AJ90" s="8">
        <f t="array" ref="AJ90">IF(AG90="","", IFERROR(((IF(AG$5&lt;&gt;"", AG$5*Y$5, 0) + SUMPRODUCT(--(AG$6:AG90&lt;&gt;""), AG$6:AG90, (Y$6:Y90-Y$5:Y89)))/1000), ""))</f>
        <v/>
      </c>
      <c r="AK90" s="1">
        <f>AK89+10</f>
        <v/>
      </c>
      <c r="AL90" s="1">
        <f>AM89</f>
        <v/>
      </c>
      <c r="AO90" t="inlineStr">
        <is>
          <t>60mL/3s/30s</t>
        </is>
      </c>
      <c r="AS90" s="1">
        <f>IF(AM90="", "", (AL90-AM90)*1000/(AK90-AK89))</f>
        <v/>
      </c>
      <c r="AT90" s="1">
        <f>IF(AS90="","",AS90/AP$2/3)</f>
        <v/>
      </c>
      <c r="AU90" s="1">
        <f>IF(AS90="","", 100*_xlfn.STDEV.P(AS89:AS90)/AVERAGE(AS89:AS90))</f>
        <v/>
      </c>
      <c r="AV90" s="8">
        <f t="array" ref="AV90">IF(AS90="","", IFERROR(((IF(AS$5&lt;&gt;"", AS$5*AK$5, 0) + SUMPRODUCT(--(AS$6:AS90&lt;&gt;""), AS$6:AS90, (AK$6:AK90-AK$5:AK89)))/1000), ""))</f>
        <v/>
      </c>
    </row>
    <row r="91">
      <c r="A91" s="1">
        <f>A90+10</f>
        <v/>
      </c>
      <c r="B91" s="1">
        <f>C90</f>
        <v/>
      </c>
      <c r="E91" t="inlineStr">
        <is>
          <t>60mL/3s/30s</t>
        </is>
      </c>
      <c r="I91" s="1">
        <f>IF(C91="", "", (B91-C91)*1000/(A91-A90))</f>
        <v/>
      </c>
      <c r="J91" s="1">
        <f>IF(I91="","",I91/F$2/3)</f>
        <v/>
      </c>
      <c r="K91" s="1">
        <f>IF(I91="","", 100*_xlfn.STDEV.P(I90:I91)/AVERAGE(I90:I91))</f>
        <v/>
      </c>
      <c r="L91" s="8">
        <f t="array" ref="L91">IF(I91="","", IFERROR(((IF(I$5&lt;&gt;"", I$5*A$5, 0) + SUMPRODUCT(--(I$6:I91&lt;&gt;""), I$6:I91, (A$6:A91-A$5:A90)))/1000), ""))</f>
        <v/>
      </c>
      <c r="M91" s="1">
        <f>M90+10</f>
        <v/>
      </c>
      <c r="N91" s="1">
        <f>O90</f>
        <v/>
      </c>
      <c r="Q91" t="inlineStr">
        <is>
          <t>60mL/3s/30s</t>
        </is>
      </c>
      <c r="U91" s="1">
        <f>IF(O91="", "", (N91-O91)*1000/(M91-M90))</f>
        <v/>
      </c>
      <c r="V91" s="1">
        <f>IF(U91="","",U91/R$2/3)</f>
        <v/>
      </c>
      <c r="W91" s="1">
        <f>IF(U91="","", 100*_xlfn.STDEV.P(U90:U91)/AVERAGE(U90:U91))</f>
        <v/>
      </c>
      <c r="X91" s="8">
        <f t="array" ref="X91">IF(U91="","", IFERROR(((IF(U$5&lt;&gt;"", U$5*M$5, 0) + SUMPRODUCT(--(U$6:U91&lt;&gt;""), U$6:U91, (M$6:M91-M$5:M90)))/1000), ""))</f>
        <v/>
      </c>
      <c r="Y91" s="1">
        <f>Y90+10</f>
        <v/>
      </c>
      <c r="Z91" s="1">
        <f>AA90</f>
        <v/>
      </c>
      <c r="AC91" t="inlineStr">
        <is>
          <t>60mL/3s/30s</t>
        </is>
      </c>
      <c r="AG91" s="1">
        <f>IF(AA91="", "", (Z91-AA91)*1000/(Y91-Y90))</f>
        <v/>
      </c>
      <c r="AH91" s="1">
        <f>IF(AG91="","",AG91/AD$2/3)</f>
        <v/>
      </c>
      <c r="AI91" s="1">
        <f>IF(AG91="","", 100*_xlfn.STDEV.P(AG90:AG91)/AVERAGE(AG90:AG91))</f>
        <v/>
      </c>
      <c r="AJ91" s="8">
        <f t="array" ref="AJ91">IF(AG91="","", IFERROR(((IF(AG$5&lt;&gt;"", AG$5*Y$5, 0) + SUMPRODUCT(--(AG$6:AG91&lt;&gt;""), AG$6:AG91, (Y$6:Y91-Y$5:Y90)))/1000), ""))</f>
        <v/>
      </c>
      <c r="AK91" s="1">
        <f>AK90+10</f>
        <v/>
      </c>
      <c r="AL91" s="1">
        <f>AM90</f>
        <v/>
      </c>
      <c r="AO91" t="inlineStr">
        <is>
          <t>60mL/3s/30s</t>
        </is>
      </c>
      <c r="AS91" s="1">
        <f>IF(AM91="", "", (AL91-AM91)*1000/(AK91-AK90))</f>
        <v/>
      </c>
      <c r="AT91" s="1">
        <f>IF(AS91="","",AS91/AP$2/3)</f>
        <v/>
      </c>
      <c r="AU91" s="1">
        <f>IF(AS91="","", 100*_xlfn.STDEV.P(AS90:AS91)/AVERAGE(AS90:AS91))</f>
        <v/>
      </c>
      <c r="AV91" s="8">
        <f t="array" ref="AV91">IF(AS91="","", IFERROR(((IF(AS$5&lt;&gt;"", AS$5*AK$5, 0) + SUMPRODUCT(--(AS$6:AS91&lt;&gt;""), AS$6:AS91, (AK$6:AK91-AK$5:AK90)))/1000), ""))</f>
        <v/>
      </c>
    </row>
    <row r="92">
      <c r="A92" s="1">
        <f>A91+10</f>
        <v/>
      </c>
      <c r="B92" s="1">
        <f>C91</f>
        <v/>
      </c>
      <c r="E92" t="inlineStr">
        <is>
          <t>60mL/3s/30s</t>
        </is>
      </c>
      <c r="I92" s="1">
        <f>IF(C92="", "", (B92-C92)*1000/(A92-A91))</f>
        <v/>
      </c>
      <c r="J92" s="1">
        <f>IF(I92="","",I92/F$2/3)</f>
        <v/>
      </c>
      <c r="K92" s="1">
        <f>IF(I92="","", 100*_xlfn.STDEV.P(I91:I92)/AVERAGE(I91:I92))</f>
        <v/>
      </c>
      <c r="L92" s="8">
        <f t="array" ref="L92">IF(I92="","", IFERROR(((IF(I$5&lt;&gt;"", I$5*A$5, 0) + SUMPRODUCT(--(I$6:I92&lt;&gt;""), I$6:I92, (A$6:A92-A$5:A91)))/1000), ""))</f>
        <v/>
      </c>
      <c r="M92" s="1">
        <f>M91+10</f>
        <v/>
      </c>
      <c r="N92" s="1">
        <f>O91</f>
        <v/>
      </c>
      <c r="Q92" t="inlineStr">
        <is>
          <t>60mL/3s/30s</t>
        </is>
      </c>
      <c r="U92" s="1">
        <f>IF(O92="", "", (N92-O92)*1000/(M92-M91))</f>
        <v/>
      </c>
      <c r="V92" s="1">
        <f>IF(U92="","",U92/R$2/3)</f>
        <v/>
      </c>
      <c r="W92" s="1">
        <f>IF(U92="","", 100*_xlfn.STDEV.P(U91:U92)/AVERAGE(U91:U92))</f>
        <v/>
      </c>
      <c r="X92" s="8">
        <f t="array" ref="X92">IF(U92="","", IFERROR(((IF(U$5&lt;&gt;"", U$5*M$5, 0) + SUMPRODUCT(--(U$6:U92&lt;&gt;""), U$6:U92, (M$6:M92-M$5:M91)))/1000), ""))</f>
        <v/>
      </c>
      <c r="Y92" s="1">
        <f>Y91+10</f>
        <v/>
      </c>
      <c r="Z92" s="1">
        <f>AA91</f>
        <v/>
      </c>
      <c r="AC92" t="inlineStr">
        <is>
          <t>60mL/3s/30s</t>
        </is>
      </c>
      <c r="AG92" s="1">
        <f>IF(AA92="", "", (Z92-AA92)*1000/(Y92-Y91))</f>
        <v/>
      </c>
      <c r="AH92" s="1">
        <f>IF(AG92="","",AG92/AD$2/3)</f>
        <v/>
      </c>
      <c r="AI92" s="1">
        <f>IF(AG92="","", 100*_xlfn.STDEV.P(AG91:AG92)/AVERAGE(AG91:AG92))</f>
        <v/>
      </c>
      <c r="AJ92" s="8">
        <f t="array" ref="AJ92">IF(AG92="","", IFERROR(((IF(AG$5&lt;&gt;"", AG$5*Y$5, 0) + SUMPRODUCT(--(AG$6:AG92&lt;&gt;""), AG$6:AG92, (Y$6:Y92-Y$5:Y91)))/1000), ""))</f>
        <v/>
      </c>
      <c r="AK92" s="1">
        <f>AK91+10</f>
        <v/>
      </c>
      <c r="AL92" s="1">
        <f>AM91</f>
        <v/>
      </c>
      <c r="AO92" t="inlineStr">
        <is>
          <t>60mL/3s/30s</t>
        </is>
      </c>
      <c r="AS92" s="1">
        <f>IF(AM92="", "", (AL92-AM92)*1000/(AK92-AK91))</f>
        <v/>
      </c>
      <c r="AT92" s="1">
        <f>IF(AS92="","",AS92/AP$2/3)</f>
        <v/>
      </c>
      <c r="AU92" s="1">
        <f>IF(AS92="","", 100*_xlfn.STDEV.P(AS91:AS92)/AVERAGE(AS91:AS92))</f>
        <v/>
      </c>
      <c r="AV92" s="8">
        <f t="array" ref="AV92">IF(AS92="","", IFERROR(((IF(AS$5&lt;&gt;"", AS$5*AK$5, 0) + SUMPRODUCT(--(AS$6:AS92&lt;&gt;""), AS$6:AS92, (AK$6:AK92-AK$5:AK91)))/1000), ""))</f>
        <v/>
      </c>
    </row>
    <row r="93">
      <c r="A93" s="1">
        <f>A92+10</f>
        <v/>
      </c>
      <c r="B93" s="1">
        <f>C92</f>
        <v/>
      </c>
      <c r="E93" t="inlineStr">
        <is>
          <t>60mL/3s/30s</t>
        </is>
      </c>
      <c r="I93" s="1">
        <f>IF(C93="", "", (B93-C93)*1000/(A93-A92))</f>
        <v/>
      </c>
      <c r="J93" s="1">
        <f>IF(I93="","",I93/F$2/3)</f>
        <v/>
      </c>
      <c r="K93" s="1">
        <f>IF(I93="","", 100*_xlfn.STDEV.P(I92:I93)/AVERAGE(I92:I93))</f>
        <v/>
      </c>
      <c r="L93" s="8">
        <f t="array" ref="L93">IF(I93="","", IFERROR(((IF(I$5&lt;&gt;"", I$5*A$5, 0) + SUMPRODUCT(--(I$6:I93&lt;&gt;""), I$6:I93, (A$6:A93-A$5:A92)))/1000), ""))</f>
        <v/>
      </c>
      <c r="M93" s="1">
        <f>M92+10</f>
        <v/>
      </c>
      <c r="N93" s="1">
        <f>O92</f>
        <v/>
      </c>
      <c r="Q93" t="inlineStr">
        <is>
          <t>60mL/3s/30s</t>
        </is>
      </c>
      <c r="U93" s="1">
        <f>IF(O93="", "", (N93-O93)*1000/(M93-M92))</f>
        <v/>
      </c>
      <c r="V93" s="1">
        <f>IF(U93="","",U93/R$2/3)</f>
        <v/>
      </c>
      <c r="W93" s="1">
        <f>IF(U93="","", 100*_xlfn.STDEV.P(U92:U93)/AVERAGE(U92:U93))</f>
        <v/>
      </c>
      <c r="X93" s="8">
        <f t="array" ref="X93">IF(U93="","", IFERROR(((IF(U$5&lt;&gt;"", U$5*M$5, 0) + SUMPRODUCT(--(U$6:U93&lt;&gt;""), U$6:U93, (M$6:M93-M$5:M92)))/1000), ""))</f>
        <v/>
      </c>
      <c r="Y93" s="1">
        <f>Y92+10</f>
        <v/>
      </c>
      <c r="Z93" s="1">
        <f>AA92</f>
        <v/>
      </c>
      <c r="AC93" t="inlineStr">
        <is>
          <t>60mL/3s/30s</t>
        </is>
      </c>
      <c r="AG93" s="1">
        <f>IF(AA93="", "", (Z93-AA93)*1000/(Y93-Y92))</f>
        <v/>
      </c>
      <c r="AH93" s="1">
        <f>IF(AG93="","",AG93/AD$2/3)</f>
        <v/>
      </c>
      <c r="AI93" s="1">
        <f>IF(AG93="","", 100*_xlfn.STDEV.P(AG92:AG93)/AVERAGE(AG92:AG93))</f>
        <v/>
      </c>
      <c r="AJ93" s="8">
        <f t="array" ref="AJ93">IF(AG93="","", IFERROR(((IF(AG$5&lt;&gt;"", AG$5*Y$5, 0) + SUMPRODUCT(--(AG$6:AG93&lt;&gt;""), AG$6:AG93, (Y$6:Y93-Y$5:Y92)))/1000), ""))</f>
        <v/>
      </c>
      <c r="AK93" s="1">
        <f>AK92+10</f>
        <v/>
      </c>
      <c r="AL93" s="1">
        <f>AM92</f>
        <v/>
      </c>
      <c r="AO93" t="inlineStr">
        <is>
          <t>60mL/3s/30s</t>
        </is>
      </c>
      <c r="AS93" s="1">
        <f>IF(AM93="", "", (AL93-AM93)*1000/(AK93-AK92))</f>
        <v/>
      </c>
      <c r="AT93" s="1">
        <f>IF(AS93="","",AS93/AP$2/3)</f>
        <v/>
      </c>
      <c r="AU93" s="1">
        <f>IF(AS93="","", 100*_xlfn.STDEV.P(AS92:AS93)/AVERAGE(AS92:AS93))</f>
        <v/>
      </c>
      <c r="AV93" s="8">
        <f t="array" ref="AV93">IF(AS93="","", IFERROR(((IF(AS$5&lt;&gt;"", AS$5*AK$5, 0) + SUMPRODUCT(--(AS$6:AS93&lt;&gt;""), AS$6:AS93, (AK$6:AK93-AK$5:AK92)))/1000), ""))</f>
        <v/>
      </c>
    </row>
    <row r="94">
      <c r="A94" s="1">
        <f>A93+10</f>
        <v/>
      </c>
      <c r="B94" s="1">
        <f>C93</f>
        <v/>
      </c>
      <c r="E94" t="inlineStr">
        <is>
          <t>60mL/3s/30s</t>
        </is>
      </c>
      <c r="I94" s="1">
        <f>IF(C94="", "", (B94-C94)*1000/(A94-A93))</f>
        <v/>
      </c>
      <c r="J94" s="1">
        <f>IF(I94="","",I94/F$2/3)</f>
        <v/>
      </c>
      <c r="K94" s="1">
        <f>IF(I94="","", 100*_xlfn.STDEV.P(I93:I94)/AVERAGE(I93:I94))</f>
        <v/>
      </c>
      <c r="L94" s="8">
        <f t="array" ref="L94">IF(I94="","", IFERROR(((IF(I$5&lt;&gt;"", I$5*A$5, 0) + SUMPRODUCT(--(I$6:I94&lt;&gt;""), I$6:I94, (A$6:A94-A$5:A93)))/1000), ""))</f>
        <v/>
      </c>
      <c r="M94" s="1">
        <f>M93+10</f>
        <v/>
      </c>
      <c r="N94" s="1">
        <f>O93</f>
        <v/>
      </c>
      <c r="Q94" t="inlineStr">
        <is>
          <t>60mL/3s/30s</t>
        </is>
      </c>
      <c r="U94" s="1">
        <f>IF(O94="", "", (N94-O94)*1000/(M94-M93))</f>
        <v/>
      </c>
      <c r="V94" s="1">
        <f>IF(U94="","",U94/R$2/3)</f>
        <v/>
      </c>
      <c r="W94" s="1">
        <f>IF(U94="","", 100*_xlfn.STDEV.P(U93:U94)/AVERAGE(U93:U94))</f>
        <v/>
      </c>
      <c r="X94" s="8">
        <f t="array" ref="X94">IF(U94="","", IFERROR(((IF(U$5&lt;&gt;"", U$5*M$5, 0) + SUMPRODUCT(--(U$6:U94&lt;&gt;""), U$6:U94, (M$6:M94-M$5:M93)))/1000), ""))</f>
        <v/>
      </c>
      <c r="Y94" s="1">
        <f>Y93+10</f>
        <v/>
      </c>
      <c r="Z94" s="1">
        <f>AA93</f>
        <v/>
      </c>
      <c r="AC94" t="inlineStr">
        <is>
          <t>60mL/3s/30s</t>
        </is>
      </c>
      <c r="AG94" s="1">
        <f>IF(AA94="", "", (Z94-AA94)*1000/(Y94-Y93))</f>
        <v/>
      </c>
      <c r="AH94" s="1">
        <f>IF(AG94="","",AG94/AD$2/3)</f>
        <v/>
      </c>
      <c r="AI94" s="1">
        <f>IF(AG94="","", 100*_xlfn.STDEV.P(AG93:AG94)/AVERAGE(AG93:AG94))</f>
        <v/>
      </c>
      <c r="AJ94" s="8">
        <f t="array" ref="AJ94">IF(AG94="","", IFERROR(((IF(AG$5&lt;&gt;"", AG$5*Y$5, 0) + SUMPRODUCT(--(AG$6:AG94&lt;&gt;""), AG$6:AG94, (Y$6:Y94-Y$5:Y93)))/1000), ""))</f>
        <v/>
      </c>
      <c r="AK94" s="1">
        <f>AK93+10</f>
        <v/>
      </c>
      <c r="AL94" s="1">
        <f>AM93</f>
        <v/>
      </c>
      <c r="AO94" t="inlineStr">
        <is>
          <t>60mL/3s/30s</t>
        </is>
      </c>
      <c r="AS94" s="1">
        <f>IF(AM94="", "", (AL94-AM94)*1000/(AK94-AK93))</f>
        <v/>
      </c>
      <c r="AT94" s="1">
        <f>IF(AS94="","",AS94/AP$2/3)</f>
        <v/>
      </c>
      <c r="AU94" s="1">
        <f>IF(AS94="","", 100*_xlfn.STDEV.P(AS93:AS94)/AVERAGE(AS93:AS94))</f>
        <v/>
      </c>
      <c r="AV94" s="8">
        <f t="array" ref="AV94">IF(AS94="","", IFERROR(((IF(AS$5&lt;&gt;"", AS$5*AK$5, 0) + SUMPRODUCT(--(AS$6:AS94&lt;&gt;""), AS$6:AS94, (AK$6:AK94-AK$5:AK93)))/1000), ""))</f>
        <v/>
      </c>
    </row>
    <row r="95">
      <c r="A95" s="1">
        <f>A94+10</f>
        <v/>
      </c>
      <c r="B95" s="1">
        <f>C94</f>
        <v/>
      </c>
      <c r="E95" t="inlineStr">
        <is>
          <t>60mL/3s/30s</t>
        </is>
      </c>
      <c r="I95" s="1">
        <f>IF(C95="", "", (B95-C95)*1000/(A95-A94))</f>
        <v/>
      </c>
      <c r="J95" s="1">
        <f>IF(I95="","",I95/F$2/3)</f>
        <v/>
      </c>
      <c r="K95" s="1">
        <f>IF(I95="","", 100*_xlfn.STDEV.P(I94:I95)/AVERAGE(I94:I95))</f>
        <v/>
      </c>
      <c r="L95" s="8">
        <f t="array" ref="L95">IF(I95="","", IFERROR(((IF(I$5&lt;&gt;"", I$5*A$5, 0) + SUMPRODUCT(--(I$6:I95&lt;&gt;""), I$6:I95, (A$6:A95-A$5:A94)))/1000), ""))</f>
        <v/>
      </c>
      <c r="M95" s="1">
        <f>M94+10</f>
        <v/>
      </c>
      <c r="N95" s="1">
        <f>O94</f>
        <v/>
      </c>
      <c r="Q95" t="inlineStr">
        <is>
          <t>60mL/3s/30s</t>
        </is>
      </c>
      <c r="U95" s="1">
        <f>IF(O95="", "", (N95-O95)*1000/(M95-M94))</f>
        <v/>
      </c>
      <c r="V95" s="1">
        <f>IF(U95="","",U95/R$2/3)</f>
        <v/>
      </c>
      <c r="W95" s="1">
        <f>IF(U95="","", 100*_xlfn.STDEV.P(U94:U95)/AVERAGE(U94:U95))</f>
        <v/>
      </c>
      <c r="X95" s="8">
        <f t="array" ref="X95">IF(U95="","", IFERROR(((IF(U$5&lt;&gt;"", U$5*M$5, 0) + SUMPRODUCT(--(U$6:U95&lt;&gt;""), U$6:U95, (M$6:M95-M$5:M94)))/1000), ""))</f>
        <v/>
      </c>
      <c r="Y95" s="1">
        <f>Y94+10</f>
        <v/>
      </c>
      <c r="Z95" s="1">
        <f>AA94</f>
        <v/>
      </c>
      <c r="AC95" t="inlineStr">
        <is>
          <t>60mL/3s/30s</t>
        </is>
      </c>
      <c r="AG95" s="1">
        <f>IF(AA95="", "", (Z95-AA95)*1000/(Y95-Y94))</f>
        <v/>
      </c>
      <c r="AH95" s="1">
        <f>IF(AG95="","",AG95/AD$2/3)</f>
        <v/>
      </c>
      <c r="AI95" s="1">
        <f>IF(AG95="","", 100*_xlfn.STDEV.P(AG94:AG95)/AVERAGE(AG94:AG95))</f>
        <v/>
      </c>
      <c r="AJ95" s="8">
        <f t="array" ref="AJ95">IF(AG95="","", IFERROR(((IF(AG$5&lt;&gt;"", AG$5*Y$5, 0) + SUMPRODUCT(--(AG$6:AG95&lt;&gt;""), AG$6:AG95, (Y$6:Y95-Y$5:Y94)))/1000), ""))</f>
        <v/>
      </c>
      <c r="AK95" s="1">
        <f>AK94+10</f>
        <v/>
      </c>
      <c r="AL95" s="1">
        <f>AM94</f>
        <v/>
      </c>
      <c r="AO95" t="inlineStr">
        <is>
          <t>60mL/3s/30s</t>
        </is>
      </c>
      <c r="AS95" s="1">
        <f>IF(AM95="", "", (AL95-AM95)*1000/(AK95-AK94))</f>
        <v/>
      </c>
      <c r="AT95" s="1">
        <f>IF(AS95="","",AS95/AP$2/3)</f>
        <v/>
      </c>
      <c r="AU95" s="1">
        <f>IF(AS95="","", 100*_xlfn.STDEV.P(AS94:AS95)/AVERAGE(AS94:AS95))</f>
        <v/>
      </c>
      <c r="AV95" s="8">
        <f t="array" ref="AV95">IF(AS95="","", IFERROR(((IF(AS$5&lt;&gt;"", AS$5*AK$5, 0) + SUMPRODUCT(--(AS$6:AS95&lt;&gt;""), AS$6:AS95, (AK$6:AK95-AK$5:AK94)))/1000), ""))</f>
        <v/>
      </c>
    </row>
    <row r="96">
      <c r="A96" s="1">
        <f>A95+10</f>
        <v/>
      </c>
      <c r="B96" s="1">
        <f>C95</f>
        <v/>
      </c>
      <c r="E96" t="inlineStr">
        <is>
          <t>60mL/3s/30s</t>
        </is>
      </c>
      <c r="I96" s="1">
        <f>IF(C96="", "", (B96-C96)*1000/(A96-A95))</f>
        <v/>
      </c>
      <c r="J96" s="1">
        <f>IF(I96="","",I96/F$2/3)</f>
        <v/>
      </c>
      <c r="K96" s="1">
        <f>IF(I96="","", 100*_xlfn.STDEV.P(I95:I96)/AVERAGE(I95:I96))</f>
        <v/>
      </c>
      <c r="L96" s="8">
        <f t="array" ref="L96">IF(I96="","", IFERROR(((IF(I$5&lt;&gt;"", I$5*A$5, 0) + SUMPRODUCT(--(I$6:I96&lt;&gt;""), I$6:I96, (A$6:A96-A$5:A95)))/1000), ""))</f>
        <v/>
      </c>
      <c r="M96" s="1">
        <f>M95+10</f>
        <v/>
      </c>
      <c r="N96" s="1">
        <f>O95</f>
        <v/>
      </c>
      <c r="Q96" t="inlineStr">
        <is>
          <t>60mL/3s/30s</t>
        </is>
      </c>
      <c r="U96" s="1">
        <f>IF(O96="", "", (N96-O96)*1000/(M96-M95))</f>
        <v/>
      </c>
      <c r="V96" s="1">
        <f>IF(U96="","",U96/R$2/3)</f>
        <v/>
      </c>
      <c r="W96" s="1">
        <f>IF(U96="","", 100*_xlfn.STDEV.P(U95:U96)/AVERAGE(U95:U96))</f>
        <v/>
      </c>
      <c r="X96" s="8">
        <f t="array" ref="X96">IF(U96="","", IFERROR(((IF(U$5&lt;&gt;"", U$5*M$5, 0) + SUMPRODUCT(--(U$6:U96&lt;&gt;""), U$6:U96, (M$6:M96-M$5:M95)))/1000), ""))</f>
        <v/>
      </c>
      <c r="Y96" s="1">
        <f>Y95+10</f>
        <v/>
      </c>
      <c r="Z96" s="1">
        <f>AA95</f>
        <v/>
      </c>
      <c r="AC96" t="inlineStr">
        <is>
          <t>60mL/3s/30s</t>
        </is>
      </c>
      <c r="AG96" s="1">
        <f>IF(AA96="", "", (Z96-AA96)*1000/(Y96-Y95))</f>
        <v/>
      </c>
      <c r="AH96" s="1">
        <f>IF(AG96="","",AG96/AD$2/3)</f>
        <v/>
      </c>
      <c r="AI96" s="1">
        <f>IF(AG96="","", 100*_xlfn.STDEV.P(AG95:AG96)/AVERAGE(AG95:AG96))</f>
        <v/>
      </c>
      <c r="AJ96" s="8">
        <f t="array" ref="AJ96">IF(AG96="","", IFERROR(((IF(AG$5&lt;&gt;"", AG$5*Y$5, 0) + SUMPRODUCT(--(AG$6:AG96&lt;&gt;""), AG$6:AG96, (Y$6:Y96-Y$5:Y95)))/1000), ""))</f>
        <v/>
      </c>
      <c r="AK96" s="1">
        <f>AK95+10</f>
        <v/>
      </c>
      <c r="AL96" s="1">
        <f>AM95</f>
        <v/>
      </c>
      <c r="AO96" t="inlineStr">
        <is>
          <t>60mL/3s/30s</t>
        </is>
      </c>
      <c r="AS96" s="1">
        <f>IF(AM96="", "", (AL96-AM96)*1000/(AK96-AK95))</f>
        <v/>
      </c>
      <c r="AT96" s="1">
        <f>IF(AS96="","",AS96/AP$2/3)</f>
        <v/>
      </c>
      <c r="AU96" s="1">
        <f>IF(AS96="","", 100*_xlfn.STDEV.P(AS95:AS96)/AVERAGE(AS95:AS96))</f>
        <v/>
      </c>
      <c r="AV96" s="8">
        <f t="array" ref="AV96">IF(AS96="","", IFERROR(((IF(AS$5&lt;&gt;"", AS$5*AK$5, 0) + SUMPRODUCT(--(AS$6:AS96&lt;&gt;""), AS$6:AS96, (AK$6:AK96-AK$5:AK95)))/1000), ""))</f>
        <v/>
      </c>
    </row>
    <row r="97">
      <c r="A97" s="1">
        <f>A96+10</f>
        <v/>
      </c>
      <c r="B97" s="1">
        <f>C96</f>
        <v/>
      </c>
      <c r="E97" t="inlineStr">
        <is>
          <t>60mL/3s/30s</t>
        </is>
      </c>
      <c r="I97" s="1">
        <f>IF(C97="", "", (B97-C97)*1000/(A97-A96))</f>
        <v/>
      </c>
      <c r="J97" s="1">
        <f>IF(I97="","",I97/F$2/3)</f>
        <v/>
      </c>
      <c r="K97" s="1">
        <f>IF(I97="","", 100*_xlfn.STDEV.P(I96:I97)/AVERAGE(I96:I97))</f>
        <v/>
      </c>
      <c r="L97" s="8">
        <f t="array" ref="L97">IF(I97="","", IFERROR(((IF(I$5&lt;&gt;"", I$5*A$5, 0) + SUMPRODUCT(--(I$6:I97&lt;&gt;""), I$6:I97, (A$6:A97-A$5:A96)))/1000), ""))</f>
        <v/>
      </c>
      <c r="M97" s="1">
        <f>M96+10</f>
        <v/>
      </c>
      <c r="N97" s="1">
        <f>O96</f>
        <v/>
      </c>
      <c r="Q97" t="inlineStr">
        <is>
          <t>60mL/3s/30s</t>
        </is>
      </c>
      <c r="U97" s="1">
        <f>IF(O97="", "", (N97-O97)*1000/(M97-M96))</f>
        <v/>
      </c>
      <c r="V97" s="1">
        <f>IF(U97="","",U97/R$2/3)</f>
        <v/>
      </c>
      <c r="W97" s="1">
        <f>IF(U97="","", 100*_xlfn.STDEV.P(U96:U97)/AVERAGE(U96:U97))</f>
        <v/>
      </c>
      <c r="X97" s="8">
        <f t="array" ref="X97">IF(U97="","", IFERROR(((IF(U$5&lt;&gt;"", U$5*M$5, 0) + SUMPRODUCT(--(U$6:U97&lt;&gt;""), U$6:U97, (M$6:M97-M$5:M96)))/1000), ""))</f>
        <v/>
      </c>
      <c r="Y97" s="1">
        <f>Y96+10</f>
        <v/>
      </c>
      <c r="Z97" s="1">
        <f>AA96</f>
        <v/>
      </c>
      <c r="AC97" t="inlineStr">
        <is>
          <t>60mL/3s/30s</t>
        </is>
      </c>
      <c r="AG97" s="1">
        <f>IF(AA97="", "", (Z97-AA97)*1000/(Y97-Y96))</f>
        <v/>
      </c>
      <c r="AH97" s="1">
        <f>IF(AG97="","",AG97/AD$2/3)</f>
        <v/>
      </c>
      <c r="AI97" s="1">
        <f>IF(AG97="","", 100*_xlfn.STDEV.P(AG96:AG97)/AVERAGE(AG96:AG97))</f>
        <v/>
      </c>
      <c r="AJ97" s="8">
        <f t="array" ref="AJ97">IF(AG97="","", IFERROR(((IF(AG$5&lt;&gt;"", AG$5*Y$5, 0) + SUMPRODUCT(--(AG$6:AG97&lt;&gt;""), AG$6:AG97, (Y$6:Y97-Y$5:Y96)))/1000), ""))</f>
        <v/>
      </c>
      <c r="AK97" s="1">
        <f>AK96+10</f>
        <v/>
      </c>
      <c r="AL97" s="1">
        <f>AM96</f>
        <v/>
      </c>
      <c r="AO97" t="inlineStr">
        <is>
          <t>60mL/3s/30s</t>
        </is>
      </c>
      <c r="AS97" s="1">
        <f>IF(AM97="", "", (AL97-AM97)*1000/(AK97-AK96))</f>
        <v/>
      </c>
      <c r="AT97" s="1">
        <f>IF(AS97="","",AS97/AP$2/3)</f>
        <v/>
      </c>
      <c r="AU97" s="1">
        <f>IF(AS97="","", 100*_xlfn.STDEV.P(AS96:AS97)/AVERAGE(AS96:AS97))</f>
        <v/>
      </c>
      <c r="AV97" s="8">
        <f t="array" ref="AV97">IF(AS97="","", IFERROR(((IF(AS$5&lt;&gt;"", AS$5*AK$5, 0) + SUMPRODUCT(--(AS$6:AS97&lt;&gt;""), AS$6:AS97, (AK$6:AK97-AK$5:AK96)))/1000), ""))</f>
        <v/>
      </c>
    </row>
    <row r="98">
      <c r="A98" s="1">
        <f>A97+10</f>
        <v/>
      </c>
      <c r="B98" s="1">
        <f>C97</f>
        <v/>
      </c>
      <c r="E98" t="inlineStr">
        <is>
          <t>60mL/3s/30s</t>
        </is>
      </c>
      <c r="I98" s="1">
        <f>IF(C98="", "", (B98-C98)*1000/(A98-A97))</f>
        <v/>
      </c>
      <c r="J98" s="1">
        <f>IF(I98="","",I98/F$2/3)</f>
        <v/>
      </c>
      <c r="K98" s="1">
        <f>IF(I98="","", 100*_xlfn.STDEV.P(I97:I98)/AVERAGE(I97:I98))</f>
        <v/>
      </c>
      <c r="L98" s="8">
        <f t="array" ref="L98">IF(I98="","", IFERROR(((IF(I$5&lt;&gt;"", I$5*A$5, 0) + SUMPRODUCT(--(I$6:I98&lt;&gt;""), I$6:I98, (A$6:A98-A$5:A97)))/1000), ""))</f>
        <v/>
      </c>
      <c r="M98" s="1">
        <f>M97+10</f>
        <v/>
      </c>
      <c r="N98" s="1">
        <f>O97</f>
        <v/>
      </c>
      <c r="Q98" t="inlineStr">
        <is>
          <t>60mL/3s/30s</t>
        </is>
      </c>
      <c r="U98" s="1">
        <f>IF(O98="", "", (N98-O98)*1000/(M98-M97))</f>
        <v/>
      </c>
      <c r="V98" s="1">
        <f>IF(U98="","",U98/R$2/3)</f>
        <v/>
      </c>
      <c r="W98" s="1">
        <f>IF(U98="","", 100*_xlfn.STDEV.P(U97:U98)/AVERAGE(U97:U98))</f>
        <v/>
      </c>
      <c r="X98" s="8">
        <f t="array" ref="X98">IF(U98="","", IFERROR(((IF(U$5&lt;&gt;"", U$5*M$5, 0) + SUMPRODUCT(--(U$6:U98&lt;&gt;""), U$6:U98, (M$6:M98-M$5:M97)))/1000), ""))</f>
        <v/>
      </c>
      <c r="Y98" s="1">
        <f>Y97+10</f>
        <v/>
      </c>
      <c r="Z98" s="1">
        <f>AA97</f>
        <v/>
      </c>
      <c r="AC98" t="inlineStr">
        <is>
          <t>60mL/3s/30s</t>
        </is>
      </c>
      <c r="AG98" s="1">
        <f>IF(AA98="", "", (Z98-AA98)*1000/(Y98-Y97))</f>
        <v/>
      </c>
      <c r="AH98" s="1">
        <f>IF(AG98="","",AG98/AD$2/3)</f>
        <v/>
      </c>
      <c r="AI98" s="1">
        <f>IF(AG98="","", 100*_xlfn.STDEV.P(AG97:AG98)/AVERAGE(AG97:AG98))</f>
        <v/>
      </c>
      <c r="AJ98" s="8">
        <f t="array" ref="AJ98">IF(AG98="","", IFERROR(((IF(AG$5&lt;&gt;"", AG$5*Y$5, 0) + SUMPRODUCT(--(AG$6:AG98&lt;&gt;""), AG$6:AG98, (Y$6:Y98-Y$5:Y97)))/1000), ""))</f>
        <v/>
      </c>
      <c r="AK98" s="1">
        <f>AK97+10</f>
        <v/>
      </c>
      <c r="AL98" s="1">
        <f>AM97</f>
        <v/>
      </c>
      <c r="AO98" t="inlineStr">
        <is>
          <t>60mL/3s/30s</t>
        </is>
      </c>
      <c r="AS98" s="1">
        <f>IF(AM98="", "", (AL98-AM98)*1000/(AK98-AK97))</f>
        <v/>
      </c>
      <c r="AT98" s="1">
        <f>IF(AS98="","",AS98/AP$2/3)</f>
        <v/>
      </c>
      <c r="AU98" s="1">
        <f>IF(AS98="","", 100*_xlfn.STDEV.P(AS97:AS98)/AVERAGE(AS97:AS98))</f>
        <v/>
      </c>
      <c r="AV98" s="8">
        <f t="array" ref="AV98">IF(AS98="","", IFERROR(((IF(AS$5&lt;&gt;"", AS$5*AK$5, 0) + SUMPRODUCT(--(AS$6:AS98&lt;&gt;""), AS$6:AS98, (AK$6:AK98-AK$5:AK97)))/1000), ""))</f>
        <v/>
      </c>
    </row>
    <row r="99">
      <c r="A99" s="1">
        <f>A98+10</f>
        <v/>
      </c>
      <c r="B99" s="1">
        <f>C98</f>
        <v/>
      </c>
      <c r="E99" t="inlineStr">
        <is>
          <t>60mL/3s/30s</t>
        </is>
      </c>
      <c r="I99" s="1">
        <f>IF(C99="", "", (B99-C99)*1000/(A99-A98))</f>
        <v/>
      </c>
      <c r="J99" s="1">
        <f>IF(I99="","",I99/F$2/3)</f>
        <v/>
      </c>
      <c r="K99" s="1">
        <f>IF(I99="","", 100*_xlfn.STDEV.P(I98:I99)/AVERAGE(I98:I99))</f>
        <v/>
      </c>
      <c r="L99" s="8">
        <f t="array" ref="L99">IF(I99="","", IFERROR(((IF(I$5&lt;&gt;"", I$5*A$5, 0) + SUMPRODUCT(--(I$6:I99&lt;&gt;""), I$6:I99, (A$6:A99-A$5:A98)))/1000), ""))</f>
        <v/>
      </c>
      <c r="M99" s="1">
        <f>M98+10</f>
        <v/>
      </c>
      <c r="N99" s="1">
        <f>O98</f>
        <v/>
      </c>
      <c r="Q99" t="inlineStr">
        <is>
          <t>60mL/3s/30s</t>
        </is>
      </c>
      <c r="U99" s="1">
        <f>IF(O99="", "", (N99-O99)*1000/(M99-M98))</f>
        <v/>
      </c>
      <c r="V99" s="1">
        <f>IF(U99="","",U99/R$2/3)</f>
        <v/>
      </c>
      <c r="W99" s="1">
        <f>IF(U99="","", 100*_xlfn.STDEV.P(U98:U99)/AVERAGE(U98:U99))</f>
        <v/>
      </c>
      <c r="X99" s="8">
        <f t="array" ref="X99">IF(U99="","", IFERROR(((IF(U$5&lt;&gt;"", U$5*M$5, 0) + SUMPRODUCT(--(U$6:U99&lt;&gt;""), U$6:U99, (M$6:M99-M$5:M98)))/1000), ""))</f>
        <v/>
      </c>
      <c r="Y99" s="1">
        <f>Y98+10</f>
        <v/>
      </c>
      <c r="Z99" s="1">
        <f>AA98</f>
        <v/>
      </c>
      <c r="AC99" t="inlineStr">
        <is>
          <t>60mL/3s/30s</t>
        </is>
      </c>
      <c r="AG99" s="1">
        <f>IF(AA99="", "", (Z99-AA99)*1000/(Y99-Y98))</f>
        <v/>
      </c>
      <c r="AH99" s="1">
        <f>IF(AG99="","",AG99/AD$2/3)</f>
        <v/>
      </c>
      <c r="AI99" s="1">
        <f>IF(AG99="","", 100*_xlfn.STDEV.P(AG98:AG99)/AVERAGE(AG98:AG99))</f>
        <v/>
      </c>
      <c r="AJ99" s="8">
        <f t="array" ref="AJ99">IF(AG99="","", IFERROR(((IF(AG$5&lt;&gt;"", AG$5*Y$5, 0) + SUMPRODUCT(--(AG$6:AG99&lt;&gt;""), AG$6:AG99, (Y$6:Y99-Y$5:Y98)))/1000), ""))</f>
        <v/>
      </c>
      <c r="AK99" s="1">
        <f>AK98+10</f>
        <v/>
      </c>
      <c r="AL99" s="1">
        <f>AM98</f>
        <v/>
      </c>
      <c r="AO99" t="inlineStr">
        <is>
          <t>60mL/3s/30s</t>
        </is>
      </c>
      <c r="AS99" s="1">
        <f>IF(AM99="", "", (AL99-AM99)*1000/(AK99-AK98))</f>
        <v/>
      </c>
      <c r="AT99" s="1">
        <f>IF(AS99="","",AS99/AP$2/3)</f>
        <v/>
      </c>
      <c r="AU99" s="1">
        <f>IF(AS99="","", 100*_xlfn.STDEV.P(AS98:AS99)/AVERAGE(AS98:AS99))</f>
        <v/>
      </c>
      <c r="AV99" s="8">
        <f t="array" ref="AV99">IF(AS99="","", IFERROR(((IF(AS$5&lt;&gt;"", AS$5*AK$5, 0) + SUMPRODUCT(--(AS$6:AS99&lt;&gt;""), AS$6:AS99, (AK$6:AK99-AK$5:AK98)))/1000), ""))</f>
        <v/>
      </c>
    </row>
    <row r="100">
      <c r="A100" s="1">
        <f>A99+10</f>
        <v/>
      </c>
      <c r="B100" s="1">
        <f>C99</f>
        <v/>
      </c>
      <c r="E100" t="inlineStr">
        <is>
          <t>60mL/3s/30s</t>
        </is>
      </c>
      <c r="I100" s="1">
        <f>IF(C100="", "", (B100-C100)*1000/(A100-A99))</f>
        <v/>
      </c>
      <c r="J100" s="1">
        <f>IF(I100="","",I100/F$2/3)</f>
        <v/>
      </c>
      <c r="K100" s="1">
        <f>IF(I100="","", 100*_xlfn.STDEV.P(I99:I100)/AVERAGE(I99:I100))</f>
        <v/>
      </c>
      <c r="L100" s="8">
        <f t="array" ref="L100">IF(I100="","", IFERROR(((IF(I$5&lt;&gt;"", I$5*A$5, 0) + SUMPRODUCT(--(I$6:I100&lt;&gt;""), I$6:I100, (A$6:A100-A$5:A99)))/1000), ""))</f>
        <v/>
      </c>
      <c r="M100" s="1">
        <f>M99+10</f>
        <v/>
      </c>
      <c r="N100" s="1">
        <f>O99</f>
        <v/>
      </c>
      <c r="Q100" t="inlineStr">
        <is>
          <t>60mL/3s/30s</t>
        </is>
      </c>
      <c r="U100" s="1">
        <f>IF(O100="", "", (N100-O100)*1000/(M100-M99))</f>
        <v/>
      </c>
      <c r="V100" s="1">
        <f>IF(U100="","",U100/R$2/3)</f>
        <v/>
      </c>
      <c r="W100" s="1">
        <f>IF(U100="","", 100*_xlfn.STDEV.P(U99:U100)/AVERAGE(U99:U100))</f>
        <v/>
      </c>
      <c r="X100" s="8">
        <f t="array" ref="X100">IF(U100="","", IFERROR(((IF(U$5&lt;&gt;"", U$5*M$5, 0) + SUMPRODUCT(--(U$6:U100&lt;&gt;""), U$6:U100, (M$6:M100-M$5:M99)))/1000), ""))</f>
        <v/>
      </c>
      <c r="Y100" s="1">
        <f>Y99+10</f>
        <v/>
      </c>
      <c r="Z100" s="1">
        <f>AA99</f>
        <v/>
      </c>
      <c r="AC100" t="inlineStr">
        <is>
          <t>60mL/3s/30s</t>
        </is>
      </c>
      <c r="AG100" s="1">
        <f>IF(AA100="", "", (Z100-AA100)*1000/(Y100-Y99))</f>
        <v/>
      </c>
      <c r="AH100" s="1">
        <f>IF(AG100="","",AG100/AD$2/3)</f>
        <v/>
      </c>
      <c r="AI100" s="1">
        <f>IF(AG100="","", 100*_xlfn.STDEV.P(AG99:AG100)/AVERAGE(AG99:AG100))</f>
        <v/>
      </c>
      <c r="AJ100" s="8">
        <f t="array" ref="AJ100">IF(AG100="","", IFERROR(((IF(AG$5&lt;&gt;"", AG$5*Y$5, 0) + SUMPRODUCT(--(AG$6:AG100&lt;&gt;""), AG$6:AG100, (Y$6:Y100-Y$5:Y99)))/1000), ""))</f>
        <v/>
      </c>
      <c r="AK100" s="1">
        <f>AK99+10</f>
        <v/>
      </c>
      <c r="AL100" s="1">
        <f>AM99</f>
        <v/>
      </c>
      <c r="AO100" t="inlineStr">
        <is>
          <t>60mL/3s/30s</t>
        </is>
      </c>
      <c r="AS100" s="1">
        <f>IF(AM100="", "", (AL100-AM100)*1000/(AK100-AK99))</f>
        <v/>
      </c>
      <c r="AT100" s="1">
        <f>IF(AS100="","",AS100/AP$2/3)</f>
        <v/>
      </c>
      <c r="AU100" s="1">
        <f>IF(AS100="","", 100*_xlfn.STDEV.P(AS99:AS100)/AVERAGE(AS99:AS100))</f>
        <v/>
      </c>
      <c r="AV100" s="8">
        <f t="array" ref="AV100">IF(AS100="","", IFERROR(((IF(AS$5&lt;&gt;"", AS$5*AK$5, 0) + SUMPRODUCT(--(AS$6:AS100&lt;&gt;""), AS$6:AS100, (AK$6:AK100-AK$5:AK99)))/1000), ""))</f>
        <v/>
      </c>
    </row>
    <row r="101">
      <c r="A101" s="1">
        <f>A100+10</f>
        <v/>
      </c>
      <c r="B101" s="1">
        <f>C100</f>
        <v/>
      </c>
      <c r="E101" t="inlineStr">
        <is>
          <t>60mL/3s/30s</t>
        </is>
      </c>
      <c r="I101" s="1">
        <f>IF(C101="", "", (B101-C101)*1000/(A101-A100))</f>
        <v/>
      </c>
      <c r="J101" s="1">
        <f>IF(I101="","",I101/F$2/3)</f>
        <v/>
      </c>
      <c r="K101" s="1">
        <f>IF(I101="","", 100*_xlfn.STDEV.P(I100:I101)/AVERAGE(I100:I101))</f>
        <v/>
      </c>
      <c r="L101" s="8">
        <f t="array" ref="L101">IF(I101="","", IFERROR(((IF(I$5&lt;&gt;"", I$5*A$5, 0) + SUMPRODUCT(--(I$6:I101&lt;&gt;""), I$6:I101, (A$6:A101-A$5:A100)))/1000), ""))</f>
        <v/>
      </c>
      <c r="M101" s="1">
        <f>M100+10</f>
        <v/>
      </c>
      <c r="N101" s="1">
        <f>O100</f>
        <v/>
      </c>
      <c r="Q101" t="inlineStr">
        <is>
          <t>60mL/3s/30s</t>
        </is>
      </c>
      <c r="U101" s="1">
        <f>IF(O101="", "", (N101-O101)*1000/(M101-M100))</f>
        <v/>
      </c>
      <c r="V101" s="1">
        <f>IF(U101="","",U101/R$2/3)</f>
        <v/>
      </c>
      <c r="W101" s="1">
        <f>IF(U101="","", 100*_xlfn.STDEV.P(U100:U101)/AVERAGE(U100:U101))</f>
        <v/>
      </c>
      <c r="X101" s="8">
        <f t="array" ref="X101">IF(U101="","", IFERROR(((IF(U$5&lt;&gt;"", U$5*M$5, 0) + SUMPRODUCT(--(U$6:U101&lt;&gt;""), U$6:U101, (M$6:M101-M$5:M100)))/1000), ""))</f>
        <v/>
      </c>
      <c r="Y101" s="1">
        <f>Y100+10</f>
        <v/>
      </c>
      <c r="Z101" s="1">
        <f>AA100</f>
        <v/>
      </c>
      <c r="AC101" t="inlineStr">
        <is>
          <t>60mL/3s/30s</t>
        </is>
      </c>
      <c r="AG101" s="1">
        <f>IF(AA101="", "", (Z101-AA101)*1000/(Y101-Y100))</f>
        <v/>
      </c>
      <c r="AH101" s="1">
        <f>IF(AG101="","",AG101/AD$2/3)</f>
        <v/>
      </c>
      <c r="AI101" s="1">
        <f>IF(AG101="","", 100*_xlfn.STDEV.P(AG100:AG101)/AVERAGE(AG100:AG101))</f>
        <v/>
      </c>
      <c r="AJ101" s="8">
        <f t="array" ref="AJ101">IF(AG101="","", IFERROR(((IF(AG$5&lt;&gt;"", AG$5*Y$5, 0) + SUMPRODUCT(--(AG$6:AG101&lt;&gt;""), AG$6:AG101, (Y$6:Y101-Y$5:Y100)))/1000), ""))</f>
        <v/>
      </c>
      <c r="AK101" s="1">
        <f>AK100+10</f>
        <v/>
      </c>
      <c r="AL101" s="1">
        <f>AM100</f>
        <v/>
      </c>
      <c r="AO101" t="inlineStr">
        <is>
          <t>60mL/3s/30s</t>
        </is>
      </c>
      <c r="AS101" s="1">
        <f>IF(AM101="", "", (AL101-AM101)*1000/(AK101-AK100))</f>
        <v/>
      </c>
      <c r="AT101" s="1">
        <f>IF(AS101="","",AS101/AP$2/3)</f>
        <v/>
      </c>
      <c r="AU101" s="1">
        <f>IF(AS101="","", 100*_xlfn.STDEV.P(AS100:AS101)/AVERAGE(AS100:AS101))</f>
        <v/>
      </c>
      <c r="AV101" s="8">
        <f t="array" ref="AV101">IF(AS101="","", IFERROR(((IF(AS$5&lt;&gt;"", AS$5*AK$5, 0) + SUMPRODUCT(--(AS$6:AS101&lt;&gt;""), AS$6:AS101, (AK$6:AK101-AK$5:AK100)))/1000), ""))</f>
        <v/>
      </c>
    </row>
    <row r="102">
      <c r="A102" s="1">
        <f>A101+10</f>
        <v/>
      </c>
      <c r="B102" s="1">
        <f>C101</f>
        <v/>
      </c>
      <c r="E102" t="inlineStr">
        <is>
          <t>60mL/3s/30s</t>
        </is>
      </c>
      <c r="I102" s="1">
        <f>IF(C102="", "", (B102-C102)*1000/(A102-A101))</f>
        <v/>
      </c>
      <c r="J102" s="1">
        <f>IF(I102="","",I102/F$2/3)</f>
        <v/>
      </c>
      <c r="K102" s="1">
        <f>IF(I102="","", 100*_xlfn.STDEV.P(I101:I102)/AVERAGE(I101:I102))</f>
        <v/>
      </c>
      <c r="L102" s="8">
        <f t="array" ref="L102">IF(I102="","", IFERROR(((IF(I$5&lt;&gt;"", I$5*A$5, 0) + SUMPRODUCT(--(I$6:I102&lt;&gt;""), I$6:I102, (A$6:A102-A$5:A101)))/1000), ""))</f>
        <v/>
      </c>
      <c r="M102" s="1">
        <f>M101+10</f>
        <v/>
      </c>
      <c r="N102" s="1">
        <f>O101</f>
        <v/>
      </c>
      <c r="Q102" t="inlineStr">
        <is>
          <t>60mL/3s/30s</t>
        </is>
      </c>
      <c r="U102" s="1">
        <f>IF(O102="", "", (N102-O102)*1000/(M102-M101))</f>
        <v/>
      </c>
      <c r="V102" s="1">
        <f>IF(U102="","",U102/R$2/3)</f>
        <v/>
      </c>
      <c r="W102" s="1">
        <f>IF(U102="","", 100*_xlfn.STDEV.P(U101:U102)/AVERAGE(U101:U102))</f>
        <v/>
      </c>
      <c r="X102" s="8">
        <f t="array" ref="X102">IF(U102="","", IFERROR(((IF(U$5&lt;&gt;"", U$5*M$5, 0) + SUMPRODUCT(--(U$6:U102&lt;&gt;""), U$6:U102, (M$6:M102-M$5:M101)))/1000), ""))</f>
        <v/>
      </c>
      <c r="Y102" s="1">
        <f>Y101+10</f>
        <v/>
      </c>
      <c r="Z102" s="1">
        <f>AA101</f>
        <v/>
      </c>
      <c r="AC102" t="inlineStr">
        <is>
          <t>60mL/3s/30s</t>
        </is>
      </c>
      <c r="AG102" s="1">
        <f>IF(AA102="", "", (Z102-AA102)*1000/(Y102-Y101))</f>
        <v/>
      </c>
      <c r="AH102" s="1">
        <f>IF(AG102="","",AG102/AD$2/3)</f>
        <v/>
      </c>
      <c r="AI102" s="1">
        <f>IF(AG102="","", 100*_xlfn.STDEV.P(AG101:AG102)/AVERAGE(AG101:AG102))</f>
        <v/>
      </c>
      <c r="AJ102" s="8">
        <f t="array" ref="AJ102">IF(AG102="","", IFERROR(((IF(AG$5&lt;&gt;"", AG$5*Y$5, 0) + SUMPRODUCT(--(AG$6:AG102&lt;&gt;""), AG$6:AG102, (Y$6:Y102-Y$5:Y101)))/1000), ""))</f>
        <v/>
      </c>
      <c r="AK102" s="1">
        <f>AK101+10</f>
        <v/>
      </c>
      <c r="AL102" s="1">
        <f>AM101</f>
        <v/>
      </c>
      <c r="AO102" t="inlineStr">
        <is>
          <t>60mL/3s/30s</t>
        </is>
      </c>
      <c r="AS102" s="1">
        <f>IF(AM102="", "", (AL102-AM102)*1000/(AK102-AK101))</f>
        <v/>
      </c>
      <c r="AT102" s="1">
        <f>IF(AS102="","",AS102/AP$2/3)</f>
        <v/>
      </c>
      <c r="AU102" s="1">
        <f>IF(AS102="","", 100*_xlfn.STDEV.P(AS101:AS102)/AVERAGE(AS101:AS102))</f>
        <v/>
      </c>
      <c r="AV102" s="8">
        <f t="array" ref="AV102">IF(AS102="","", IFERROR(((IF(AS$5&lt;&gt;"", AS$5*AK$5, 0) + SUMPRODUCT(--(AS$6:AS102&lt;&gt;""), AS$6:AS102, (AK$6:AK102-AK$5:AK101)))/1000), ""))</f>
        <v/>
      </c>
    </row>
    <row r="103">
      <c r="A103" s="1">
        <f>A102+10</f>
        <v/>
      </c>
      <c r="B103" s="1">
        <f>C102</f>
        <v/>
      </c>
      <c r="E103" t="inlineStr">
        <is>
          <t>60mL/3s/30s</t>
        </is>
      </c>
      <c r="I103" s="1">
        <f>IF(C103="", "", (B103-C103)*1000/(A103-A102))</f>
        <v/>
      </c>
      <c r="J103" s="1">
        <f>IF(I103="","",I103/F$2/3)</f>
        <v/>
      </c>
      <c r="K103" s="1">
        <f>IF(I103="","", 100*_xlfn.STDEV.P(I102:I103)/AVERAGE(I102:I103))</f>
        <v/>
      </c>
      <c r="L103" s="8">
        <f t="array" ref="L103">IF(I103="","", IFERROR(((IF(I$5&lt;&gt;"", I$5*A$5, 0) + SUMPRODUCT(--(I$6:I103&lt;&gt;""), I$6:I103, (A$6:A103-A$5:A102)))/1000), ""))</f>
        <v/>
      </c>
      <c r="M103" s="1">
        <f>M102+10</f>
        <v/>
      </c>
      <c r="N103" s="1">
        <f>O102</f>
        <v/>
      </c>
      <c r="Q103" t="inlineStr">
        <is>
          <t>60mL/3s/30s</t>
        </is>
      </c>
      <c r="U103" s="1">
        <f>IF(O103="", "", (N103-O103)*1000/(M103-M102))</f>
        <v/>
      </c>
      <c r="V103" s="1">
        <f>IF(U103="","",U103/R$2/3)</f>
        <v/>
      </c>
      <c r="W103" s="1">
        <f>IF(U103="","", 100*_xlfn.STDEV.P(U102:U103)/AVERAGE(U102:U103))</f>
        <v/>
      </c>
      <c r="X103" s="8">
        <f t="array" ref="X103">IF(U103="","", IFERROR(((IF(U$5&lt;&gt;"", U$5*M$5, 0) + SUMPRODUCT(--(U$6:U103&lt;&gt;""), U$6:U103, (M$6:M103-M$5:M102)))/1000), ""))</f>
        <v/>
      </c>
      <c r="Y103" s="1">
        <f>Y102+10</f>
        <v/>
      </c>
      <c r="Z103" s="1">
        <f>AA102</f>
        <v/>
      </c>
      <c r="AC103" t="inlineStr">
        <is>
          <t>60mL/3s/30s</t>
        </is>
      </c>
      <c r="AG103" s="1">
        <f>IF(AA103="", "", (Z103-AA103)*1000/(Y103-Y102))</f>
        <v/>
      </c>
      <c r="AH103" s="1">
        <f>IF(AG103="","",AG103/AD$2/3)</f>
        <v/>
      </c>
      <c r="AI103" s="1">
        <f>IF(AG103="","", 100*_xlfn.STDEV.P(AG102:AG103)/AVERAGE(AG102:AG103))</f>
        <v/>
      </c>
      <c r="AJ103" s="8">
        <f t="array" ref="AJ103">IF(AG103="","", IFERROR(((IF(AG$5&lt;&gt;"", AG$5*Y$5, 0) + SUMPRODUCT(--(AG$6:AG103&lt;&gt;""), AG$6:AG103, (Y$6:Y103-Y$5:Y102)))/1000), ""))</f>
        <v/>
      </c>
      <c r="AK103" s="1">
        <f>AK102+10</f>
        <v/>
      </c>
      <c r="AL103" s="1">
        <f>AM102</f>
        <v/>
      </c>
      <c r="AO103" t="inlineStr">
        <is>
          <t>60mL/3s/30s</t>
        </is>
      </c>
      <c r="AS103" s="1">
        <f>IF(AM103="", "", (AL103-AM103)*1000/(AK103-AK102))</f>
        <v/>
      </c>
      <c r="AT103" s="1">
        <f>IF(AS103="","",AS103/AP$2/3)</f>
        <v/>
      </c>
      <c r="AU103" s="1">
        <f>IF(AS103="","", 100*_xlfn.STDEV.P(AS102:AS103)/AVERAGE(AS102:AS103))</f>
        <v/>
      </c>
      <c r="AV103" s="8">
        <f t="array" ref="AV103">IF(AS103="","", IFERROR(((IF(AS$5&lt;&gt;"", AS$5*AK$5, 0) + SUMPRODUCT(--(AS$6:AS103&lt;&gt;""), AS$6:AS103, (AK$6:AK103-AK$5:AK102)))/1000), ""))</f>
        <v/>
      </c>
    </row>
    <row r="104">
      <c r="A104" s="1">
        <f>A103+10</f>
        <v/>
      </c>
      <c r="B104" s="1">
        <f>C103</f>
        <v/>
      </c>
      <c r="E104" t="inlineStr">
        <is>
          <t>60mL/3s/30s</t>
        </is>
      </c>
      <c r="I104" s="1">
        <f>IF(C104="", "", (B104-C104)*1000/(A104-A103))</f>
        <v/>
      </c>
      <c r="J104" s="1">
        <f>IF(I104="","",I104/F$2/3)</f>
        <v/>
      </c>
      <c r="K104" s="1">
        <f>IF(I104="","", 100*_xlfn.STDEV.P(I103:I104)/AVERAGE(I103:I104))</f>
        <v/>
      </c>
      <c r="L104" s="8">
        <f t="array" ref="L104">IF(I104="","", IFERROR(((IF(I$5&lt;&gt;"", I$5*A$5, 0) + SUMPRODUCT(--(I$6:I104&lt;&gt;""), I$6:I104, (A$6:A104-A$5:A103)))/1000), ""))</f>
        <v/>
      </c>
      <c r="M104" s="1">
        <f>M103+10</f>
        <v/>
      </c>
      <c r="N104" s="1">
        <f>O103</f>
        <v/>
      </c>
      <c r="Q104" t="inlineStr">
        <is>
          <t>60mL/3s/30s</t>
        </is>
      </c>
      <c r="U104" s="1">
        <f>IF(O104="", "", (N104-O104)*1000/(M104-M103))</f>
        <v/>
      </c>
      <c r="V104" s="1">
        <f>IF(U104="","",U104/R$2/3)</f>
        <v/>
      </c>
      <c r="W104" s="1">
        <f>IF(U104="","", 100*_xlfn.STDEV.P(U103:U104)/AVERAGE(U103:U104))</f>
        <v/>
      </c>
      <c r="X104" s="8">
        <f t="array" ref="X104">IF(U104="","", IFERROR(((IF(U$5&lt;&gt;"", U$5*M$5, 0) + SUMPRODUCT(--(U$6:U104&lt;&gt;""), U$6:U104, (M$6:M104-M$5:M103)))/1000), ""))</f>
        <v/>
      </c>
      <c r="Y104" s="1">
        <f>Y103+10</f>
        <v/>
      </c>
      <c r="Z104" s="1">
        <f>AA103</f>
        <v/>
      </c>
      <c r="AC104" t="inlineStr">
        <is>
          <t>60mL/3s/30s</t>
        </is>
      </c>
      <c r="AG104" s="1">
        <f>IF(AA104="", "", (Z104-AA104)*1000/(Y104-Y103))</f>
        <v/>
      </c>
      <c r="AH104" s="1">
        <f>IF(AG104="","",AG104/AD$2/3)</f>
        <v/>
      </c>
      <c r="AI104" s="1">
        <f>IF(AG104="","", 100*_xlfn.STDEV.P(AG103:AG104)/AVERAGE(AG103:AG104))</f>
        <v/>
      </c>
      <c r="AJ104" s="8">
        <f t="array" ref="AJ104">IF(AG104="","", IFERROR(((IF(AG$5&lt;&gt;"", AG$5*Y$5, 0) + SUMPRODUCT(--(AG$6:AG104&lt;&gt;""), AG$6:AG104, (Y$6:Y104-Y$5:Y103)))/1000), ""))</f>
        <v/>
      </c>
      <c r="AK104" s="1">
        <f>AK103+10</f>
        <v/>
      </c>
      <c r="AL104" s="1">
        <f>AM103</f>
        <v/>
      </c>
      <c r="AO104" t="inlineStr">
        <is>
          <t>60mL/3s/30s</t>
        </is>
      </c>
      <c r="AS104" s="1">
        <f>IF(AM104="", "", (AL104-AM104)*1000/(AK104-AK103))</f>
        <v/>
      </c>
      <c r="AT104" s="1">
        <f>IF(AS104="","",AS104/AP$2/3)</f>
        <v/>
      </c>
      <c r="AU104" s="1">
        <f>IF(AS104="","", 100*_xlfn.STDEV.P(AS103:AS104)/AVERAGE(AS103:AS104))</f>
        <v/>
      </c>
      <c r="AV104" s="8">
        <f t="array" ref="AV104">IF(AS104="","", IFERROR(((IF(AS$5&lt;&gt;"", AS$5*AK$5, 0) + SUMPRODUCT(--(AS$6:AS104&lt;&gt;""), AS$6:AS104, (AK$6:AK104-AK$5:AK103)))/1000), ""))</f>
        <v/>
      </c>
    </row>
    <row r="105">
      <c r="A105" s="1">
        <f>A104+10</f>
        <v/>
      </c>
      <c r="B105" s="1">
        <f>C104</f>
        <v/>
      </c>
      <c r="E105" t="inlineStr">
        <is>
          <t>60mL/3s/30s</t>
        </is>
      </c>
      <c r="I105" s="1">
        <f>IF(C105="", "", (B105-C105)*1000/(A105-A104))</f>
        <v/>
      </c>
      <c r="J105" s="1">
        <f>IF(I105="","",I105/F$2/3)</f>
        <v/>
      </c>
      <c r="K105" s="1">
        <f>IF(I105="","", 100*_xlfn.STDEV.P(I104:I105)/AVERAGE(I104:I105))</f>
        <v/>
      </c>
      <c r="L105" s="8">
        <f t="array" ref="L105">IF(I105="","", IFERROR(((IF(I$5&lt;&gt;"", I$5*A$5, 0) + SUMPRODUCT(--(I$6:I105&lt;&gt;""), I$6:I105, (A$6:A105-A$5:A104)))/1000), ""))</f>
        <v/>
      </c>
      <c r="M105" s="1">
        <f>M104+10</f>
        <v/>
      </c>
      <c r="N105" s="1">
        <f>O104</f>
        <v/>
      </c>
      <c r="Q105" t="inlineStr">
        <is>
          <t>60mL/3s/30s</t>
        </is>
      </c>
      <c r="U105" s="1">
        <f>IF(O105="", "", (N105-O105)*1000/(M105-M104))</f>
        <v/>
      </c>
      <c r="V105" s="1">
        <f>IF(U105="","",U105/R$2/3)</f>
        <v/>
      </c>
      <c r="W105" s="1">
        <f>IF(U105="","", 100*_xlfn.STDEV.P(U104:U105)/AVERAGE(U104:U105))</f>
        <v/>
      </c>
      <c r="X105" s="8">
        <f t="array" ref="X105">IF(U105="","", IFERROR(((IF(U$5&lt;&gt;"", U$5*M$5, 0) + SUMPRODUCT(--(U$6:U105&lt;&gt;""), U$6:U105, (M$6:M105-M$5:M104)))/1000), ""))</f>
        <v/>
      </c>
      <c r="Y105" s="1">
        <f>Y104+10</f>
        <v/>
      </c>
      <c r="Z105" s="1">
        <f>AA104</f>
        <v/>
      </c>
      <c r="AC105" t="inlineStr">
        <is>
          <t>60mL/3s/30s</t>
        </is>
      </c>
      <c r="AG105" s="1">
        <f>IF(AA105="", "", (Z105-AA105)*1000/(Y105-Y104))</f>
        <v/>
      </c>
      <c r="AH105" s="1">
        <f>IF(AG105="","",AG105/AD$2/3)</f>
        <v/>
      </c>
      <c r="AI105" s="1">
        <f>IF(AG105="","", 100*_xlfn.STDEV.P(AG104:AG105)/AVERAGE(AG104:AG105))</f>
        <v/>
      </c>
      <c r="AJ105" s="8">
        <f t="array" ref="AJ105">IF(AG105="","", IFERROR(((IF(AG$5&lt;&gt;"", AG$5*Y$5, 0) + SUMPRODUCT(--(AG$6:AG105&lt;&gt;""), AG$6:AG105, (Y$6:Y105-Y$5:Y104)))/1000), ""))</f>
        <v/>
      </c>
      <c r="AK105" s="1">
        <f>AK104+10</f>
        <v/>
      </c>
      <c r="AL105" s="1">
        <f>AM104</f>
        <v/>
      </c>
      <c r="AO105" t="inlineStr">
        <is>
          <t>60mL/3s/30s</t>
        </is>
      </c>
      <c r="AS105" s="1">
        <f>IF(AM105="", "", (AL105-AM105)*1000/(AK105-AK104))</f>
        <v/>
      </c>
      <c r="AT105" s="1">
        <f>IF(AS105="","",AS105/AP$2/3)</f>
        <v/>
      </c>
      <c r="AU105" s="1">
        <f>IF(AS105="","", 100*_xlfn.STDEV.P(AS104:AS105)/AVERAGE(AS104:AS105))</f>
        <v/>
      </c>
      <c r="AV105" s="8">
        <f t="array" ref="AV105">IF(AS105="","", IFERROR(((IF(AS$5&lt;&gt;"", AS$5*AK$5, 0) + SUMPRODUCT(--(AS$6:AS105&lt;&gt;""), AS$6:AS105, (AK$6:AK105-AK$5:AK104)))/1000), ""))</f>
        <v/>
      </c>
    </row>
    <row r="106">
      <c r="A106" s="1">
        <f>A105+10</f>
        <v/>
      </c>
      <c r="B106" s="1">
        <f>C105</f>
        <v/>
      </c>
      <c r="E106" t="inlineStr">
        <is>
          <t>60mL/3s/30s</t>
        </is>
      </c>
      <c r="I106" s="1">
        <f>IF(C106="", "", (B106-C106)*1000/(A106-A105))</f>
        <v/>
      </c>
      <c r="J106" s="1">
        <f>IF(I106="","",I106/F$2/3)</f>
        <v/>
      </c>
      <c r="K106" s="1">
        <f>IF(I106="","", 100*_xlfn.STDEV.P(I105:I106)/AVERAGE(I105:I106))</f>
        <v/>
      </c>
      <c r="L106" s="8">
        <f t="array" ref="L106">IF(I106="","", IFERROR(((IF(I$5&lt;&gt;"", I$5*A$5, 0) + SUMPRODUCT(--(I$6:I106&lt;&gt;""), I$6:I106, (A$6:A106-A$5:A105)))/1000), ""))</f>
        <v/>
      </c>
      <c r="M106" s="1">
        <f>M105+10</f>
        <v/>
      </c>
      <c r="N106" s="1">
        <f>O105</f>
        <v/>
      </c>
      <c r="Q106" t="inlineStr">
        <is>
          <t>60mL/3s/30s</t>
        </is>
      </c>
      <c r="U106" s="1">
        <f>IF(O106="", "", (N106-O106)*1000/(M106-M105))</f>
        <v/>
      </c>
      <c r="V106" s="1">
        <f>IF(U106="","",U106/R$2/3)</f>
        <v/>
      </c>
      <c r="W106" s="1">
        <f>IF(U106="","", 100*_xlfn.STDEV.P(U105:U106)/AVERAGE(U105:U106))</f>
        <v/>
      </c>
      <c r="X106" s="8">
        <f t="array" ref="X106">IF(U106="","", IFERROR(((IF(U$5&lt;&gt;"", U$5*M$5, 0) + SUMPRODUCT(--(U$6:U106&lt;&gt;""), U$6:U106, (M$6:M106-M$5:M105)))/1000), ""))</f>
        <v/>
      </c>
      <c r="Y106" s="1">
        <f>Y105+10</f>
        <v/>
      </c>
      <c r="Z106" s="1">
        <f>AA105</f>
        <v/>
      </c>
      <c r="AC106" t="inlineStr">
        <is>
          <t>60mL/3s/30s</t>
        </is>
      </c>
      <c r="AG106" s="1">
        <f>IF(AA106="", "", (Z106-AA106)*1000/(Y106-Y105))</f>
        <v/>
      </c>
      <c r="AH106" s="1">
        <f>IF(AG106="","",AG106/AD$2/3)</f>
        <v/>
      </c>
      <c r="AI106" s="1">
        <f>IF(AG106="","", 100*_xlfn.STDEV.P(AG105:AG106)/AVERAGE(AG105:AG106))</f>
        <v/>
      </c>
      <c r="AJ106" s="8">
        <f t="array" ref="AJ106">IF(AG106="","", IFERROR(((IF(AG$5&lt;&gt;"", AG$5*Y$5, 0) + SUMPRODUCT(--(AG$6:AG106&lt;&gt;""), AG$6:AG106, (Y$6:Y106-Y$5:Y105)))/1000), ""))</f>
        <v/>
      </c>
      <c r="AK106" s="1">
        <f>AK105+10</f>
        <v/>
      </c>
      <c r="AL106" s="1">
        <f>AM105</f>
        <v/>
      </c>
      <c r="AO106" t="inlineStr">
        <is>
          <t>60mL/3s/30s</t>
        </is>
      </c>
      <c r="AS106" s="1">
        <f>IF(AM106="", "", (AL106-AM106)*1000/(AK106-AK105))</f>
        <v/>
      </c>
      <c r="AT106" s="1">
        <f>IF(AS106="","",AS106/AP$2/3)</f>
        <v/>
      </c>
      <c r="AU106" s="1">
        <f>IF(AS106="","", 100*_xlfn.STDEV.P(AS105:AS106)/AVERAGE(AS105:AS106))</f>
        <v/>
      </c>
      <c r="AV106" s="8">
        <f t="array" ref="AV106">IF(AS106="","", IFERROR(((IF(AS$5&lt;&gt;"", AS$5*AK$5, 0) + SUMPRODUCT(--(AS$6:AS106&lt;&gt;""), AS$6:AS106, (AK$6:AK106-AK$5:AK105)))/1000), ""))</f>
        <v/>
      </c>
    </row>
    <row r="107">
      <c r="A107" s="1">
        <f>A106+10</f>
        <v/>
      </c>
      <c r="B107" s="1">
        <f>C106</f>
        <v/>
      </c>
      <c r="E107" t="inlineStr">
        <is>
          <t>60mL/3s/30s</t>
        </is>
      </c>
      <c r="I107" s="1">
        <f>IF(C107="", "", (B107-C107)*1000/(A107-A106))</f>
        <v/>
      </c>
      <c r="J107" s="1">
        <f>IF(I107="","",I107/F$2/3)</f>
        <v/>
      </c>
      <c r="K107" s="1">
        <f>IF(I107="","", 100*_xlfn.STDEV.P(I106:I107)/AVERAGE(I106:I107))</f>
        <v/>
      </c>
      <c r="L107" s="8">
        <f t="array" ref="L107">IF(I107="","", IFERROR(((IF(I$5&lt;&gt;"", I$5*A$5, 0) + SUMPRODUCT(--(I$6:I107&lt;&gt;""), I$6:I107, (A$6:A107-A$5:A106)))/1000), ""))</f>
        <v/>
      </c>
      <c r="M107" s="1">
        <f>M106+10</f>
        <v/>
      </c>
      <c r="N107" s="1">
        <f>O106</f>
        <v/>
      </c>
      <c r="Q107" t="inlineStr">
        <is>
          <t>60mL/3s/30s</t>
        </is>
      </c>
      <c r="U107" s="1">
        <f>IF(O107="", "", (N107-O107)*1000/(M107-M106))</f>
        <v/>
      </c>
      <c r="V107" s="1">
        <f>IF(U107="","",U107/R$2/3)</f>
        <v/>
      </c>
      <c r="W107" s="1">
        <f>IF(U107="","", 100*_xlfn.STDEV.P(U106:U107)/AVERAGE(U106:U107))</f>
        <v/>
      </c>
      <c r="X107" s="8">
        <f t="array" ref="X107">IF(U107="","", IFERROR(((IF(U$5&lt;&gt;"", U$5*M$5, 0) + SUMPRODUCT(--(U$6:U107&lt;&gt;""), U$6:U107, (M$6:M107-M$5:M106)))/1000), ""))</f>
        <v/>
      </c>
      <c r="Y107" s="1">
        <f>Y106+10</f>
        <v/>
      </c>
      <c r="Z107" s="1">
        <f>AA106</f>
        <v/>
      </c>
      <c r="AC107" t="inlineStr">
        <is>
          <t>60mL/3s/30s</t>
        </is>
      </c>
      <c r="AG107" s="1">
        <f>IF(AA107="", "", (Z107-AA107)*1000/(Y107-Y106))</f>
        <v/>
      </c>
      <c r="AH107" s="1">
        <f>IF(AG107="","",AG107/AD$2/3)</f>
        <v/>
      </c>
      <c r="AI107" s="1">
        <f>IF(AG107="","", 100*_xlfn.STDEV.P(AG106:AG107)/AVERAGE(AG106:AG107))</f>
        <v/>
      </c>
      <c r="AJ107" s="8">
        <f t="array" ref="AJ107">IF(AG107="","", IFERROR(((IF(AG$5&lt;&gt;"", AG$5*Y$5, 0) + SUMPRODUCT(--(AG$6:AG107&lt;&gt;""), AG$6:AG107, (Y$6:Y107-Y$5:Y106)))/1000), ""))</f>
        <v/>
      </c>
      <c r="AK107" s="1">
        <f>AK106+10</f>
        <v/>
      </c>
      <c r="AL107" s="1">
        <f>AM106</f>
        <v/>
      </c>
      <c r="AO107" t="inlineStr">
        <is>
          <t>60mL/3s/30s</t>
        </is>
      </c>
      <c r="AS107" s="1">
        <f>IF(AM107="", "", (AL107-AM107)*1000/(AK107-AK106))</f>
        <v/>
      </c>
      <c r="AT107" s="1">
        <f>IF(AS107="","",AS107/AP$2/3)</f>
        <v/>
      </c>
      <c r="AU107" s="1">
        <f>IF(AS107="","", 100*_xlfn.STDEV.P(AS106:AS107)/AVERAGE(AS106:AS107))</f>
        <v/>
      </c>
      <c r="AV107" s="8">
        <f t="array" ref="AV107">IF(AS107="","", IFERROR(((IF(AS$5&lt;&gt;"", AS$5*AK$5, 0) + SUMPRODUCT(--(AS$6:AS107&lt;&gt;""), AS$6:AS107, (AK$6:AK107-AK$5:AK106)))/1000), ""))</f>
        <v/>
      </c>
    </row>
    <row r="108">
      <c r="A108" s="1">
        <f>A107+10</f>
        <v/>
      </c>
      <c r="B108" s="1">
        <f>C107</f>
        <v/>
      </c>
      <c r="E108" t="inlineStr">
        <is>
          <t>60mL/3s/30s</t>
        </is>
      </c>
      <c r="I108" s="1">
        <f>IF(C108="", "", (B108-C108)*1000/(A108-A107))</f>
        <v/>
      </c>
      <c r="J108" s="1">
        <f>IF(I108="","",I108/F$2/3)</f>
        <v/>
      </c>
      <c r="K108" s="1">
        <f>IF(I108="","", 100*_xlfn.STDEV.P(I107:I108)/AVERAGE(I107:I108))</f>
        <v/>
      </c>
      <c r="L108" s="8">
        <f t="array" ref="L108">IF(I108="","", IFERROR(((IF(I$5&lt;&gt;"", I$5*A$5, 0) + SUMPRODUCT(--(I$6:I108&lt;&gt;""), I$6:I108, (A$6:A108-A$5:A107)))/1000), ""))</f>
        <v/>
      </c>
      <c r="M108" s="1">
        <f>M107+10</f>
        <v/>
      </c>
      <c r="N108" s="1">
        <f>O107</f>
        <v/>
      </c>
      <c r="Q108" t="inlineStr">
        <is>
          <t>60mL/3s/30s</t>
        </is>
      </c>
      <c r="U108" s="1">
        <f>IF(O108="", "", (N108-O108)*1000/(M108-M107))</f>
        <v/>
      </c>
      <c r="V108" s="1">
        <f>IF(U108="","",U108/R$2/3)</f>
        <v/>
      </c>
      <c r="W108" s="1">
        <f>IF(U108="","", 100*_xlfn.STDEV.P(U107:U108)/AVERAGE(U107:U108))</f>
        <v/>
      </c>
      <c r="X108" s="8">
        <f t="array" ref="X108">IF(U108="","", IFERROR(((IF(U$5&lt;&gt;"", U$5*M$5, 0) + SUMPRODUCT(--(U$6:U108&lt;&gt;""), U$6:U108, (M$6:M108-M$5:M107)))/1000), ""))</f>
        <v/>
      </c>
      <c r="Y108" s="1">
        <f>Y107+10</f>
        <v/>
      </c>
      <c r="Z108" s="1">
        <f>AA107</f>
        <v/>
      </c>
      <c r="AC108" t="inlineStr">
        <is>
          <t>60mL/3s/30s</t>
        </is>
      </c>
      <c r="AG108" s="1">
        <f>IF(AA108="", "", (Z108-AA108)*1000/(Y108-Y107))</f>
        <v/>
      </c>
      <c r="AH108" s="1">
        <f>IF(AG108="","",AG108/AD$2/3)</f>
        <v/>
      </c>
      <c r="AI108" s="1">
        <f>IF(AG108="","", 100*_xlfn.STDEV.P(AG107:AG108)/AVERAGE(AG107:AG108))</f>
        <v/>
      </c>
      <c r="AJ108" s="8">
        <f t="array" ref="AJ108">IF(AG108="","", IFERROR(((IF(AG$5&lt;&gt;"", AG$5*Y$5, 0) + SUMPRODUCT(--(AG$6:AG108&lt;&gt;""), AG$6:AG108, (Y$6:Y108-Y$5:Y107)))/1000), ""))</f>
        <v/>
      </c>
      <c r="AK108" s="1">
        <f>AK107+10</f>
        <v/>
      </c>
      <c r="AL108" s="1">
        <f>AM107</f>
        <v/>
      </c>
      <c r="AO108" t="inlineStr">
        <is>
          <t>60mL/3s/30s</t>
        </is>
      </c>
      <c r="AS108" s="1">
        <f>IF(AM108="", "", (AL108-AM108)*1000/(AK108-AK107))</f>
        <v/>
      </c>
      <c r="AT108" s="1">
        <f>IF(AS108="","",AS108/AP$2/3)</f>
        <v/>
      </c>
      <c r="AU108" s="1">
        <f>IF(AS108="","", 100*_xlfn.STDEV.P(AS107:AS108)/AVERAGE(AS107:AS108))</f>
        <v/>
      </c>
      <c r="AV108" s="8">
        <f t="array" ref="AV108">IF(AS108="","", IFERROR(((IF(AS$5&lt;&gt;"", AS$5*AK$5, 0) + SUMPRODUCT(--(AS$6:AS108&lt;&gt;""), AS$6:AS108, (AK$6:AK108-AK$5:AK107)))/1000), ""))</f>
        <v/>
      </c>
    </row>
    <row r="109">
      <c r="A109" s="1">
        <f>A108+10</f>
        <v/>
      </c>
      <c r="B109" s="1">
        <f>C108</f>
        <v/>
      </c>
      <c r="E109" t="inlineStr">
        <is>
          <t>60mL/3s/30s</t>
        </is>
      </c>
      <c r="I109" s="1">
        <f>IF(C109="", "", (B109-C109)*1000/(A109-A108))</f>
        <v/>
      </c>
      <c r="J109" s="1">
        <f>IF(I109="","",I109/F$2/3)</f>
        <v/>
      </c>
      <c r="K109" s="1">
        <f>IF(I109="","", 100*_xlfn.STDEV.P(I108:I109)/AVERAGE(I108:I109))</f>
        <v/>
      </c>
      <c r="L109" s="8">
        <f t="array" ref="L109">IF(I109="","", IFERROR(((IF(I$5&lt;&gt;"", I$5*A$5, 0) + SUMPRODUCT(--(I$6:I109&lt;&gt;""), I$6:I109, (A$6:A109-A$5:A108)))/1000), ""))</f>
        <v/>
      </c>
      <c r="M109" s="1">
        <f>M108+10</f>
        <v/>
      </c>
      <c r="N109" s="1">
        <f>O108</f>
        <v/>
      </c>
      <c r="Q109" t="inlineStr">
        <is>
          <t>60mL/3s/30s</t>
        </is>
      </c>
      <c r="U109" s="1">
        <f>IF(O109="", "", (N109-O109)*1000/(M109-M108))</f>
        <v/>
      </c>
      <c r="V109" s="1">
        <f>IF(U109="","",U109/R$2/3)</f>
        <v/>
      </c>
      <c r="W109" s="1">
        <f>IF(U109="","", 100*_xlfn.STDEV.P(U108:U109)/AVERAGE(U108:U109))</f>
        <v/>
      </c>
      <c r="X109" s="8">
        <f t="array" ref="X109">IF(U109="","", IFERROR(((IF(U$5&lt;&gt;"", U$5*M$5, 0) + SUMPRODUCT(--(U$6:U109&lt;&gt;""), U$6:U109, (M$6:M109-M$5:M108)))/1000), ""))</f>
        <v/>
      </c>
      <c r="Y109" s="1">
        <f>Y108+10</f>
        <v/>
      </c>
      <c r="Z109" s="1">
        <f>AA108</f>
        <v/>
      </c>
      <c r="AC109" t="inlineStr">
        <is>
          <t>60mL/3s/30s</t>
        </is>
      </c>
      <c r="AG109" s="1">
        <f>IF(AA109="", "", (Z109-AA109)*1000/(Y109-Y108))</f>
        <v/>
      </c>
      <c r="AH109" s="1">
        <f>IF(AG109="","",AG109/AD$2/3)</f>
        <v/>
      </c>
      <c r="AI109" s="1">
        <f>IF(AG109="","", 100*_xlfn.STDEV.P(AG108:AG109)/AVERAGE(AG108:AG109))</f>
        <v/>
      </c>
      <c r="AJ109" s="8">
        <f t="array" ref="AJ109">IF(AG109="","", IFERROR(((IF(AG$5&lt;&gt;"", AG$5*Y$5, 0) + SUMPRODUCT(--(AG$6:AG109&lt;&gt;""), AG$6:AG109, (Y$6:Y109-Y$5:Y108)))/1000), ""))</f>
        <v/>
      </c>
      <c r="AK109" s="1">
        <f>AK108+10</f>
        <v/>
      </c>
      <c r="AL109" s="1">
        <f>AM108</f>
        <v/>
      </c>
      <c r="AO109" t="inlineStr">
        <is>
          <t>60mL/3s/30s</t>
        </is>
      </c>
      <c r="AS109" s="1">
        <f>IF(AM109="", "", (AL109-AM109)*1000/(AK109-AK108))</f>
        <v/>
      </c>
      <c r="AT109" s="1">
        <f>IF(AS109="","",AS109/AP$2/3)</f>
        <v/>
      </c>
      <c r="AU109" s="1">
        <f>IF(AS109="","", 100*_xlfn.STDEV.P(AS108:AS109)/AVERAGE(AS108:AS109))</f>
        <v/>
      </c>
      <c r="AV109" s="8">
        <f t="array" ref="AV109">IF(AS109="","", IFERROR(((IF(AS$5&lt;&gt;"", AS$5*AK$5, 0) + SUMPRODUCT(--(AS$6:AS109&lt;&gt;""), AS$6:AS109, (AK$6:AK109-AK$5:AK108)))/1000), ""))</f>
        <v/>
      </c>
    </row>
    <row r="110">
      <c r="A110" s="1">
        <f>A109+10</f>
        <v/>
      </c>
      <c r="B110" s="1">
        <f>C109</f>
        <v/>
      </c>
      <c r="E110" t="inlineStr">
        <is>
          <t>60mL/3s/30s</t>
        </is>
      </c>
      <c r="I110" s="1">
        <f>IF(C110="", "", (B110-C110)*1000/(A110-A109))</f>
        <v/>
      </c>
      <c r="J110" s="1">
        <f>IF(I110="","",I110/F$2/3)</f>
        <v/>
      </c>
      <c r="K110" s="1">
        <f>IF(I110="","", 100*_xlfn.STDEV.P(I109:I110)/AVERAGE(I109:I110))</f>
        <v/>
      </c>
      <c r="L110" s="8">
        <f t="array" ref="L110">IF(I110="","", IFERROR(((IF(I$5&lt;&gt;"", I$5*A$5, 0) + SUMPRODUCT(--(I$6:I110&lt;&gt;""), I$6:I110, (A$6:A110-A$5:A109)))/1000), ""))</f>
        <v/>
      </c>
      <c r="M110" s="1">
        <f>M109+10</f>
        <v/>
      </c>
      <c r="N110" s="1">
        <f>O109</f>
        <v/>
      </c>
      <c r="Q110" t="inlineStr">
        <is>
          <t>60mL/3s/30s</t>
        </is>
      </c>
      <c r="U110" s="1">
        <f>IF(O110="", "", (N110-O110)*1000/(M110-M109))</f>
        <v/>
      </c>
      <c r="V110" s="1">
        <f>IF(U110="","",U110/R$2/3)</f>
        <v/>
      </c>
      <c r="W110" s="1">
        <f>IF(U110="","", 100*_xlfn.STDEV.P(U109:U110)/AVERAGE(U109:U110))</f>
        <v/>
      </c>
      <c r="X110" s="8">
        <f t="array" ref="X110">IF(U110="","", IFERROR(((IF(U$5&lt;&gt;"", U$5*M$5, 0) + SUMPRODUCT(--(U$6:U110&lt;&gt;""), U$6:U110, (M$6:M110-M$5:M109)))/1000), ""))</f>
        <v/>
      </c>
      <c r="Y110" s="1">
        <f>Y109+10</f>
        <v/>
      </c>
      <c r="Z110" s="1">
        <f>AA109</f>
        <v/>
      </c>
      <c r="AC110" t="inlineStr">
        <is>
          <t>60mL/3s/30s</t>
        </is>
      </c>
      <c r="AG110" s="1">
        <f>IF(AA110="", "", (Z110-AA110)*1000/(Y110-Y109))</f>
        <v/>
      </c>
      <c r="AH110" s="1">
        <f>IF(AG110="","",AG110/AD$2/3)</f>
        <v/>
      </c>
      <c r="AI110" s="1">
        <f>IF(AG110="","", 100*_xlfn.STDEV.P(AG109:AG110)/AVERAGE(AG109:AG110))</f>
        <v/>
      </c>
      <c r="AJ110" s="8">
        <f t="array" ref="AJ110">IF(AG110="","", IFERROR(((IF(AG$5&lt;&gt;"", AG$5*Y$5, 0) + SUMPRODUCT(--(AG$6:AG110&lt;&gt;""), AG$6:AG110, (Y$6:Y110-Y$5:Y109)))/1000), ""))</f>
        <v/>
      </c>
      <c r="AK110" s="1">
        <f>AK109+10</f>
        <v/>
      </c>
      <c r="AL110" s="1">
        <f>AM109</f>
        <v/>
      </c>
      <c r="AO110" t="inlineStr">
        <is>
          <t>60mL/3s/30s</t>
        </is>
      </c>
      <c r="AS110" s="1">
        <f>IF(AM110="", "", (AL110-AM110)*1000/(AK110-AK109))</f>
        <v/>
      </c>
      <c r="AT110" s="1">
        <f>IF(AS110="","",AS110/AP$2/3)</f>
        <v/>
      </c>
      <c r="AU110" s="1">
        <f>IF(AS110="","", 100*_xlfn.STDEV.P(AS109:AS110)/AVERAGE(AS109:AS110))</f>
        <v/>
      </c>
      <c r="AV110" s="8">
        <f t="array" ref="AV110">IF(AS110="","", IFERROR(((IF(AS$5&lt;&gt;"", AS$5*AK$5, 0) + SUMPRODUCT(--(AS$6:AS110&lt;&gt;""), AS$6:AS110, (AK$6:AK110-AK$5:AK109)))/1000), ""))</f>
        <v/>
      </c>
    </row>
    <row r="111">
      <c r="A111" s="1">
        <f>A110+10</f>
        <v/>
      </c>
      <c r="B111" s="1">
        <f>C110</f>
        <v/>
      </c>
      <c r="E111" t="inlineStr">
        <is>
          <t>60mL/3s/30s</t>
        </is>
      </c>
      <c r="I111" s="1">
        <f>IF(C111="", "", (B111-C111)*1000/(A111-A110))</f>
        <v/>
      </c>
      <c r="J111" s="1">
        <f>IF(I111="","",I111/F$2/3)</f>
        <v/>
      </c>
      <c r="K111" s="1">
        <f>IF(I111="","", 100*_xlfn.STDEV.P(I110:I111)/AVERAGE(I110:I111))</f>
        <v/>
      </c>
      <c r="L111" s="8">
        <f t="array" ref="L111">IF(I111="","", IFERROR(((IF(I$5&lt;&gt;"", I$5*A$5, 0) + SUMPRODUCT(--(I$6:I111&lt;&gt;""), I$6:I111, (A$6:A111-A$5:A110)))/1000), ""))</f>
        <v/>
      </c>
      <c r="M111" s="1">
        <f>M110+10</f>
        <v/>
      </c>
      <c r="N111" s="1">
        <f>O110</f>
        <v/>
      </c>
      <c r="Q111" t="inlineStr">
        <is>
          <t>60mL/3s/30s</t>
        </is>
      </c>
      <c r="U111" s="1">
        <f>IF(O111="", "", (N111-O111)*1000/(M111-M110))</f>
        <v/>
      </c>
      <c r="V111" s="1">
        <f>IF(U111="","",U111/R$2/3)</f>
        <v/>
      </c>
      <c r="W111" s="1">
        <f>IF(U111="","", 100*_xlfn.STDEV.P(U110:U111)/AVERAGE(U110:U111))</f>
        <v/>
      </c>
      <c r="X111" s="8">
        <f t="array" ref="X111">IF(U111="","", IFERROR(((IF(U$5&lt;&gt;"", U$5*M$5, 0) + SUMPRODUCT(--(U$6:U111&lt;&gt;""), U$6:U111, (M$6:M111-M$5:M110)))/1000), ""))</f>
        <v/>
      </c>
      <c r="Y111" s="1">
        <f>Y110+10</f>
        <v/>
      </c>
      <c r="Z111" s="1">
        <f>AA110</f>
        <v/>
      </c>
      <c r="AC111" t="inlineStr">
        <is>
          <t>60mL/3s/30s</t>
        </is>
      </c>
      <c r="AG111" s="1">
        <f>IF(AA111="", "", (Z111-AA111)*1000/(Y111-Y110))</f>
        <v/>
      </c>
      <c r="AH111" s="1">
        <f>IF(AG111="","",AG111/AD$2/3)</f>
        <v/>
      </c>
      <c r="AI111" s="1">
        <f>IF(AG111="","", 100*_xlfn.STDEV.P(AG110:AG111)/AVERAGE(AG110:AG111))</f>
        <v/>
      </c>
      <c r="AJ111" s="8">
        <f t="array" ref="AJ111">IF(AG111="","", IFERROR(((IF(AG$5&lt;&gt;"", AG$5*Y$5, 0) + SUMPRODUCT(--(AG$6:AG111&lt;&gt;""), AG$6:AG111, (Y$6:Y111-Y$5:Y110)))/1000), ""))</f>
        <v/>
      </c>
      <c r="AK111" s="1">
        <f>AK110+10</f>
        <v/>
      </c>
      <c r="AL111" s="1">
        <f>AM110</f>
        <v/>
      </c>
      <c r="AO111" t="inlineStr">
        <is>
          <t>60mL/3s/30s</t>
        </is>
      </c>
      <c r="AS111" s="1">
        <f>IF(AM111="", "", (AL111-AM111)*1000/(AK111-AK110))</f>
        <v/>
      </c>
      <c r="AT111" s="1">
        <f>IF(AS111="","",AS111/AP$2/3)</f>
        <v/>
      </c>
      <c r="AU111" s="1">
        <f>IF(AS111="","", 100*_xlfn.STDEV.P(AS110:AS111)/AVERAGE(AS110:AS111))</f>
        <v/>
      </c>
      <c r="AV111" s="8">
        <f t="array" ref="AV111">IF(AS111="","", IFERROR(((IF(AS$5&lt;&gt;"", AS$5*AK$5, 0) + SUMPRODUCT(--(AS$6:AS111&lt;&gt;""), AS$6:AS111, (AK$6:AK111-AK$5:AK110)))/1000), ""))</f>
        <v/>
      </c>
    </row>
    <row r="112">
      <c r="A112" s="1">
        <f>A111+10</f>
        <v/>
      </c>
      <c r="B112" s="1">
        <f>C111</f>
        <v/>
      </c>
      <c r="E112" t="inlineStr">
        <is>
          <t>60mL/3s/30s</t>
        </is>
      </c>
      <c r="I112" s="1">
        <f>IF(C112="", "", (B112-C112)*1000/(A112-A111))</f>
        <v/>
      </c>
      <c r="J112" s="1">
        <f>IF(I112="","",I112/F$2/3)</f>
        <v/>
      </c>
      <c r="K112" s="1">
        <f>IF(I112="","", 100*_xlfn.STDEV.P(I111:I112)/AVERAGE(I111:I112))</f>
        <v/>
      </c>
      <c r="L112" s="8">
        <f t="array" ref="L112">IF(I112="","", IFERROR(((IF(I$5&lt;&gt;"", I$5*A$5, 0) + SUMPRODUCT(--(I$6:I112&lt;&gt;""), I$6:I112, (A$6:A112-A$5:A111)))/1000), ""))</f>
        <v/>
      </c>
      <c r="M112" s="1">
        <f>M111+10</f>
        <v/>
      </c>
      <c r="N112" s="1">
        <f>O111</f>
        <v/>
      </c>
      <c r="Q112" t="inlineStr">
        <is>
          <t>60mL/3s/30s</t>
        </is>
      </c>
      <c r="U112" s="1">
        <f>IF(O112="", "", (N112-O112)*1000/(M112-M111))</f>
        <v/>
      </c>
      <c r="V112" s="1">
        <f>IF(U112="","",U112/R$2/3)</f>
        <v/>
      </c>
      <c r="W112" s="1">
        <f>IF(U112="","", 100*_xlfn.STDEV.P(U111:U112)/AVERAGE(U111:U112))</f>
        <v/>
      </c>
      <c r="X112" s="8">
        <f t="array" ref="X112">IF(U112="","", IFERROR(((IF(U$5&lt;&gt;"", U$5*M$5, 0) + SUMPRODUCT(--(U$6:U112&lt;&gt;""), U$6:U112, (M$6:M112-M$5:M111)))/1000), ""))</f>
        <v/>
      </c>
      <c r="Y112" s="1">
        <f>Y111+10</f>
        <v/>
      </c>
      <c r="Z112" s="1">
        <f>AA111</f>
        <v/>
      </c>
      <c r="AC112" t="inlineStr">
        <is>
          <t>60mL/3s/30s</t>
        </is>
      </c>
      <c r="AG112" s="1">
        <f>IF(AA112="", "", (Z112-AA112)*1000/(Y112-Y111))</f>
        <v/>
      </c>
      <c r="AH112" s="1">
        <f>IF(AG112="","",AG112/AD$2/3)</f>
        <v/>
      </c>
      <c r="AI112" s="1">
        <f>IF(AG112="","", 100*_xlfn.STDEV.P(AG111:AG112)/AVERAGE(AG111:AG112))</f>
        <v/>
      </c>
      <c r="AJ112" s="8">
        <f t="array" ref="AJ112">IF(AG112="","", IFERROR(((IF(AG$5&lt;&gt;"", AG$5*Y$5, 0) + SUMPRODUCT(--(AG$6:AG112&lt;&gt;""), AG$6:AG112, (Y$6:Y112-Y$5:Y111)))/1000), ""))</f>
        <v/>
      </c>
      <c r="AK112" s="1">
        <f>AK111+10</f>
        <v/>
      </c>
      <c r="AL112" s="1">
        <f>AM111</f>
        <v/>
      </c>
      <c r="AO112" t="inlineStr">
        <is>
          <t>60mL/3s/30s</t>
        </is>
      </c>
      <c r="AS112" s="1">
        <f>IF(AM112="", "", (AL112-AM112)*1000/(AK112-AK111))</f>
        <v/>
      </c>
      <c r="AT112" s="1">
        <f>IF(AS112="","",AS112/AP$2/3)</f>
        <v/>
      </c>
      <c r="AU112" s="1">
        <f>IF(AS112="","", 100*_xlfn.STDEV.P(AS111:AS112)/AVERAGE(AS111:AS112))</f>
        <v/>
      </c>
      <c r="AV112" s="8">
        <f t="array" ref="AV112">IF(AS112="","", IFERROR(((IF(AS$5&lt;&gt;"", AS$5*AK$5, 0) + SUMPRODUCT(--(AS$6:AS112&lt;&gt;""), AS$6:AS112, (AK$6:AK112-AK$5:AK111)))/1000), ""))</f>
        <v/>
      </c>
    </row>
    <row r="113">
      <c r="A113" s="1">
        <f>A112+10</f>
        <v/>
      </c>
      <c r="B113" s="1">
        <f>C112</f>
        <v/>
      </c>
      <c r="E113" t="inlineStr">
        <is>
          <t>60mL/3s/30s</t>
        </is>
      </c>
      <c r="I113" s="1">
        <f>IF(C113="", "", (B113-C113)*1000/(A113-A112))</f>
        <v/>
      </c>
      <c r="J113" s="1">
        <f>IF(I113="","",I113/F$2/3)</f>
        <v/>
      </c>
      <c r="K113" s="1">
        <f>IF(I113="","", 100*_xlfn.STDEV.P(I112:I113)/AVERAGE(I112:I113))</f>
        <v/>
      </c>
      <c r="L113" s="8">
        <f t="array" ref="L113">IF(I113="","", IFERROR(((IF(I$5&lt;&gt;"", I$5*A$5, 0) + SUMPRODUCT(--(I$6:I113&lt;&gt;""), I$6:I113, (A$6:A113-A$5:A112)))/1000), ""))</f>
        <v/>
      </c>
      <c r="M113" s="1">
        <f>M112+10</f>
        <v/>
      </c>
      <c r="N113" s="1">
        <f>O112</f>
        <v/>
      </c>
      <c r="Q113" t="inlineStr">
        <is>
          <t>60mL/3s/30s</t>
        </is>
      </c>
      <c r="U113" s="1">
        <f>IF(O113="", "", (N113-O113)*1000/(M113-M112))</f>
        <v/>
      </c>
      <c r="V113" s="1">
        <f>IF(U113="","",U113/R$2/3)</f>
        <v/>
      </c>
      <c r="W113" s="1">
        <f>IF(U113="","", 100*_xlfn.STDEV.P(U112:U113)/AVERAGE(U112:U113))</f>
        <v/>
      </c>
      <c r="X113" s="8">
        <f t="array" ref="X113">IF(U113="","", IFERROR(((IF(U$5&lt;&gt;"", U$5*M$5, 0) + SUMPRODUCT(--(U$6:U113&lt;&gt;""), U$6:U113, (M$6:M113-M$5:M112)))/1000), ""))</f>
        <v/>
      </c>
      <c r="Y113" s="1">
        <f>Y112+10</f>
        <v/>
      </c>
      <c r="Z113" s="1">
        <f>AA112</f>
        <v/>
      </c>
      <c r="AC113" t="inlineStr">
        <is>
          <t>60mL/3s/30s</t>
        </is>
      </c>
      <c r="AG113" s="1">
        <f>IF(AA113="", "", (Z113-AA113)*1000/(Y113-Y112))</f>
        <v/>
      </c>
      <c r="AH113" s="1">
        <f>IF(AG113="","",AG113/AD$2/3)</f>
        <v/>
      </c>
      <c r="AI113" s="1">
        <f>IF(AG113="","", 100*_xlfn.STDEV.P(AG112:AG113)/AVERAGE(AG112:AG113))</f>
        <v/>
      </c>
      <c r="AJ113" s="8">
        <f t="array" ref="AJ113">IF(AG113="","", IFERROR(((IF(AG$5&lt;&gt;"", AG$5*Y$5, 0) + SUMPRODUCT(--(AG$6:AG113&lt;&gt;""), AG$6:AG113, (Y$6:Y113-Y$5:Y112)))/1000), ""))</f>
        <v/>
      </c>
      <c r="AK113" s="1">
        <f>AK112+10</f>
        <v/>
      </c>
      <c r="AL113" s="1">
        <f>AM112</f>
        <v/>
      </c>
      <c r="AO113" t="inlineStr">
        <is>
          <t>60mL/3s/30s</t>
        </is>
      </c>
      <c r="AS113" s="1">
        <f>IF(AM113="", "", (AL113-AM113)*1000/(AK113-AK112))</f>
        <v/>
      </c>
      <c r="AT113" s="1">
        <f>IF(AS113="","",AS113/AP$2/3)</f>
        <v/>
      </c>
      <c r="AU113" s="1">
        <f>IF(AS113="","", 100*_xlfn.STDEV.P(AS112:AS113)/AVERAGE(AS112:AS113))</f>
        <v/>
      </c>
      <c r="AV113" s="8">
        <f t="array" ref="AV113">IF(AS113="","", IFERROR(((IF(AS$5&lt;&gt;"", AS$5*AK$5, 0) + SUMPRODUCT(--(AS$6:AS113&lt;&gt;""), AS$6:AS113, (AK$6:AK113-AK$5:AK112)))/1000), ""))</f>
        <v/>
      </c>
    </row>
    <row r="114">
      <c r="A114" s="1">
        <f>A113+10</f>
        <v/>
      </c>
      <c r="B114" s="1">
        <f>C113</f>
        <v/>
      </c>
      <c r="E114" t="inlineStr">
        <is>
          <t>60mL/3s/30s</t>
        </is>
      </c>
      <c r="I114" s="1">
        <f>IF(C114="", "", (B114-C114)*1000/(A114-A113))</f>
        <v/>
      </c>
      <c r="J114" s="1">
        <f>IF(I114="","",I114/F$2/3)</f>
        <v/>
      </c>
      <c r="K114" s="1">
        <f>IF(I114="","", 100*_xlfn.STDEV.P(I113:I114)/AVERAGE(I113:I114))</f>
        <v/>
      </c>
      <c r="L114" s="8">
        <f t="array" ref="L114">IF(I114="","", IFERROR(((IF(I$5&lt;&gt;"", I$5*A$5, 0) + SUMPRODUCT(--(I$6:I114&lt;&gt;""), I$6:I114, (A$6:A114-A$5:A113)))/1000), ""))</f>
        <v/>
      </c>
      <c r="M114" s="1">
        <f>M113+10</f>
        <v/>
      </c>
      <c r="N114" s="1">
        <f>O113</f>
        <v/>
      </c>
      <c r="Q114" t="inlineStr">
        <is>
          <t>60mL/3s/30s</t>
        </is>
      </c>
      <c r="U114" s="1">
        <f>IF(O114="", "", (N114-O114)*1000/(M114-M113))</f>
        <v/>
      </c>
      <c r="V114" s="1">
        <f>IF(U114="","",U114/R$2/3)</f>
        <v/>
      </c>
      <c r="W114" s="1">
        <f>IF(U114="","", 100*_xlfn.STDEV.P(U113:U114)/AVERAGE(U113:U114))</f>
        <v/>
      </c>
      <c r="X114" s="8">
        <f t="array" ref="X114">IF(U114="","", IFERROR(((IF(U$5&lt;&gt;"", U$5*M$5, 0) + SUMPRODUCT(--(U$6:U114&lt;&gt;""), U$6:U114, (M$6:M114-M$5:M113)))/1000), ""))</f>
        <v/>
      </c>
      <c r="Y114" s="1">
        <f>Y113+10</f>
        <v/>
      </c>
      <c r="Z114" s="1">
        <f>AA113</f>
        <v/>
      </c>
      <c r="AC114" t="inlineStr">
        <is>
          <t>60mL/3s/30s</t>
        </is>
      </c>
      <c r="AG114" s="1">
        <f>IF(AA114="", "", (Z114-AA114)*1000/(Y114-Y113))</f>
        <v/>
      </c>
      <c r="AH114" s="1">
        <f>IF(AG114="","",AG114/AD$2/3)</f>
        <v/>
      </c>
      <c r="AI114" s="1">
        <f>IF(AG114="","", 100*_xlfn.STDEV.P(AG113:AG114)/AVERAGE(AG113:AG114))</f>
        <v/>
      </c>
      <c r="AJ114" s="8">
        <f t="array" ref="AJ114">IF(AG114="","", IFERROR(((IF(AG$5&lt;&gt;"", AG$5*Y$5, 0) + SUMPRODUCT(--(AG$6:AG114&lt;&gt;""), AG$6:AG114, (Y$6:Y114-Y$5:Y113)))/1000), ""))</f>
        <v/>
      </c>
      <c r="AK114" s="1">
        <f>AK113+10</f>
        <v/>
      </c>
      <c r="AL114" s="1">
        <f>AM113</f>
        <v/>
      </c>
      <c r="AO114" t="inlineStr">
        <is>
          <t>60mL/3s/30s</t>
        </is>
      </c>
      <c r="AS114" s="1">
        <f>IF(AM114="", "", (AL114-AM114)*1000/(AK114-AK113))</f>
        <v/>
      </c>
      <c r="AT114" s="1">
        <f>IF(AS114="","",AS114/AP$2/3)</f>
        <v/>
      </c>
      <c r="AU114" s="1">
        <f>IF(AS114="","", 100*_xlfn.STDEV.P(AS113:AS114)/AVERAGE(AS113:AS114))</f>
        <v/>
      </c>
      <c r="AV114" s="8">
        <f t="array" ref="AV114">IF(AS114="","", IFERROR(((IF(AS$5&lt;&gt;"", AS$5*AK$5, 0) + SUMPRODUCT(--(AS$6:AS114&lt;&gt;""), AS$6:AS114, (AK$6:AK114-AK$5:AK113)))/1000), ""))</f>
        <v/>
      </c>
    </row>
    <row r="115">
      <c r="A115" s="1">
        <f>A114+10</f>
        <v/>
      </c>
      <c r="B115" s="1">
        <f>C114</f>
        <v/>
      </c>
      <c r="E115" t="inlineStr">
        <is>
          <t>60mL/3s/30s</t>
        </is>
      </c>
      <c r="I115" s="1">
        <f>IF(C115="", "", (B115-C115)*1000/(A115-A114))</f>
        <v/>
      </c>
      <c r="J115" s="1">
        <f>IF(I115="","",I115/F$2/3)</f>
        <v/>
      </c>
      <c r="K115" s="1">
        <f>IF(I115="","", 100*_xlfn.STDEV.P(I114:I115)/AVERAGE(I114:I115))</f>
        <v/>
      </c>
      <c r="L115" s="8">
        <f t="array" ref="L115">IF(I115="","", IFERROR(((IF(I$5&lt;&gt;"", I$5*A$5, 0) + SUMPRODUCT(--(I$6:I115&lt;&gt;""), I$6:I115, (A$6:A115-A$5:A114)))/1000), ""))</f>
        <v/>
      </c>
      <c r="M115" s="1">
        <f>M114+10</f>
        <v/>
      </c>
      <c r="N115" s="1">
        <f>O114</f>
        <v/>
      </c>
      <c r="Q115" t="inlineStr">
        <is>
          <t>60mL/3s/30s</t>
        </is>
      </c>
      <c r="U115" s="1">
        <f>IF(O115="", "", (N115-O115)*1000/(M115-M114))</f>
        <v/>
      </c>
      <c r="V115" s="1">
        <f>IF(U115="","",U115/R$2/3)</f>
        <v/>
      </c>
      <c r="W115" s="1">
        <f>IF(U115="","", 100*_xlfn.STDEV.P(U114:U115)/AVERAGE(U114:U115))</f>
        <v/>
      </c>
      <c r="X115" s="8">
        <f t="array" ref="X115">IF(U115="","", IFERROR(((IF(U$5&lt;&gt;"", U$5*M$5, 0) + SUMPRODUCT(--(U$6:U115&lt;&gt;""), U$6:U115, (M$6:M115-M$5:M114)))/1000), ""))</f>
        <v/>
      </c>
      <c r="Y115" s="1">
        <f>Y114+10</f>
        <v/>
      </c>
      <c r="Z115" s="1">
        <f>AA114</f>
        <v/>
      </c>
      <c r="AC115" t="inlineStr">
        <is>
          <t>60mL/3s/30s</t>
        </is>
      </c>
      <c r="AG115" s="1">
        <f>IF(AA115="", "", (Z115-AA115)*1000/(Y115-Y114))</f>
        <v/>
      </c>
      <c r="AH115" s="1">
        <f>IF(AG115="","",AG115/AD$2/3)</f>
        <v/>
      </c>
      <c r="AI115" s="1">
        <f>IF(AG115="","", 100*_xlfn.STDEV.P(AG114:AG115)/AVERAGE(AG114:AG115))</f>
        <v/>
      </c>
      <c r="AJ115" s="8">
        <f t="array" ref="AJ115">IF(AG115="","", IFERROR(((IF(AG$5&lt;&gt;"", AG$5*Y$5, 0) + SUMPRODUCT(--(AG$6:AG115&lt;&gt;""), AG$6:AG115, (Y$6:Y115-Y$5:Y114)))/1000), ""))</f>
        <v/>
      </c>
      <c r="AK115" s="1">
        <f>AK114+10</f>
        <v/>
      </c>
      <c r="AL115" s="1">
        <f>AM114</f>
        <v/>
      </c>
      <c r="AO115" t="inlineStr">
        <is>
          <t>60mL/3s/30s</t>
        </is>
      </c>
      <c r="AS115" s="1">
        <f>IF(AM115="", "", (AL115-AM115)*1000/(AK115-AK114))</f>
        <v/>
      </c>
      <c r="AT115" s="1">
        <f>IF(AS115="","",AS115/AP$2/3)</f>
        <v/>
      </c>
      <c r="AU115" s="1">
        <f>IF(AS115="","", 100*_xlfn.STDEV.P(AS114:AS115)/AVERAGE(AS114:AS115))</f>
        <v/>
      </c>
      <c r="AV115" s="8">
        <f t="array" ref="AV115">IF(AS115="","", IFERROR(((IF(AS$5&lt;&gt;"", AS$5*AK$5, 0) + SUMPRODUCT(--(AS$6:AS115&lt;&gt;""), AS$6:AS115, (AK$6:AK115-AK$5:AK114)))/1000), ""))</f>
        <v/>
      </c>
    </row>
    <row r="116"/>
  </sheetData>
  <conditionalFormatting sqref="I5:I115 K5:L115">
    <cfRule type="containsErrors" priority="10" dxfId="0">
      <formula>ISERROR(I5)</formula>
    </cfRule>
  </conditionalFormatting>
  <conditionalFormatting sqref="K6:K115">
    <cfRule type="cellIs" priority="38" operator="between" dxfId="29">
      <formula>0</formula>
      <formula>15</formula>
    </cfRule>
    <cfRule type="cellIs" priority="39" operator="between" dxfId="28">
      <formula>15</formula>
      <formula>25</formula>
    </cfRule>
    <cfRule type="cellIs" priority="40" operator="between" dxfId="27">
      <formula>25</formula>
      <formula>1000</formula>
    </cfRule>
  </conditionalFormatting>
  <conditionalFormatting sqref="L2:L3">
    <cfRule type="containsErrors" priority="30" dxfId="0">
      <formula>ISERROR(L2)</formula>
    </cfRule>
  </conditionalFormatting>
  <conditionalFormatting sqref="U5:U115 W5:X115">
    <cfRule type="containsErrors" priority="6" dxfId="0">
      <formula>ISERROR(U5)</formula>
    </cfRule>
  </conditionalFormatting>
  <conditionalFormatting sqref="W6:W115">
    <cfRule type="cellIs" priority="35" operator="between" dxfId="29">
      <formula>0</formula>
      <formula>15</formula>
    </cfRule>
    <cfRule type="cellIs" priority="36" operator="between" dxfId="28">
      <formula>15</formula>
      <formula>25</formula>
    </cfRule>
    <cfRule type="cellIs" priority="37" operator="between" dxfId="27">
      <formula>25</formula>
      <formula>1000</formula>
    </cfRule>
  </conditionalFormatting>
  <conditionalFormatting sqref="X2:X3">
    <cfRule type="containsErrors" priority="29" dxfId="0">
      <formula>ISERROR(X2)</formula>
    </cfRule>
  </conditionalFormatting>
  <conditionalFormatting sqref="AG5:AG115 AI5:AJ115">
    <cfRule type="containsErrors" priority="5" dxfId="0">
      <formula>ISERROR(AG5)</formula>
    </cfRule>
  </conditionalFormatting>
  <conditionalFormatting sqref="AI6:AI115">
    <cfRule type="cellIs" priority="22" operator="between" dxfId="29">
      <formula>0</formula>
      <formula>15</formula>
    </cfRule>
    <cfRule type="cellIs" priority="23" operator="between" dxfId="28">
      <formula>15</formula>
      <formula>25</formula>
    </cfRule>
    <cfRule type="cellIs" priority="24" operator="between" dxfId="27">
      <formula>25</formula>
      <formula>1000</formula>
    </cfRule>
  </conditionalFormatting>
  <conditionalFormatting sqref="AJ2:AJ3">
    <cfRule type="containsErrors" priority="16" dxfId="0">
      <formula>ISERROR(AJ2)</formula>
    </cfRule>
  </conditionalFormatting>
  <conditionalFormatting sqref="AS5:AV115">
    <cfRule type="containsErrors" priority="4" dxfId="0">
      <formula>ISERROR(AS5)</formula>
    </cfRule>
  </conditionalFormatting>
  <conditionalFormatting sqref="AU6:AU115">
    <cfRule type="cellIs" priority="19" operator="between" dxfId="29">
      <formula>0</formula>
      <formula>15</formula>
    </cfRule>
    <cfRule type="cellIs" priority="20" operator="between" dxfId="28">
      <formula>15</formula>
      <formula>25</formula>
    </cfRule>
    <cfRule type="cellIs" priority="21" operator="between" dxfId="27">
      <formula>25</formula>
      <formula>1000</formula>
    </cfRule>
  </conditionalFormatting>
  <conditionalFormatting sqref="AV2:AV3">
    <cfRule type="containsErrors" priority="15" dxfId="0">
      <formula>ISERROR(AV2)</formula>
    </cfRule>
  </conditionalFormatting>
  <conditionalFormatting sqref="AH5:AH115">
    <cfRule type="containsErrors" priority="3" dxfId="0">
      <formula>ISERROR(AH5)</formula>
    </cfRule>
  </conditionalFormatting>
  <conditionalFormatting sqref="V5:V115">
    <cfRule type="containsErrors" priority="2" dxfId="0">
      <formula>ISERROR(V5)</formula>
    </cfRule>
  </conditionalFormatting>
  <conditionalFormatting sqref="J5:J115">
    <cfRule type="containsErrors" priority="1" dxfId="0">
      <formula>ISERROR(J5)</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Alexander Becquet</dc:creator>
  <dcterms:created xmlns:dcterms="http://purl.org/dc/terms/" xmlns:xsi="http://www.w3.org/2001/XMLSchema-instance" xsi:type="dcterms:W3CDTF">2024-08-21T19:14:19Z</dcterms:created>
  <dcterms:modified xmlns:dcterms="http://purl.org/dc/terms/" xmlns:xsi="http://www.w3.org/2001/XMLSchema-instance" xsi:type="dcterms:W3CDTF">2026-05-30T02:02:39Z</dcterms:modified>
  <cp:lastModifiedBy>Alexander Becquet</cp:lastModifiedBy>
</cp:coreProperties>
</file>